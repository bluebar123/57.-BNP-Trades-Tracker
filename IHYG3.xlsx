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5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07E9C06C-0BDE-4060-9103-EC0443037C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HYG vs AHW" sheetId="7" r:id="rId13"/>
    <sheet name="Dividends" sheetId="6" r:id="rId1"/>
    <sheet name="13a" sheetId="3" r:id="rId2"/>
    <sheet name="13" sheetId="2" r:id="rId3"/>
    <sheet name="13a (2)" sheetId="4" r:id="rId4"/>
    <sheet name="13 (2)" sheetId="5" r:id="rId5"/>
  </sheets>
  <externalReferences>
    <externalReference r:id="rId6"/>
  </externalReferenc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4" l="1" a="1"/>
  <c r="D6" i="6" a="1"/>
  <c r="A6" i="6" a="1"/>
  <c r="G6" i="6" a="1"/>
  <c r="O3" i="3" a="1"/>
  <c r="O3" i="4" a="1"/>
  <c r="O3" i="2" a="1"/>
  <c r="O3" i="5" a="1"/>
  <c r="Q3" i="3" a="1"/>
  <c r="Q3" i="5" a="1"/>
  <c r="Q3" i="2" a="1"/>
  <c r="Q3" i="4" a="1"/>
  <c r="S3" i="3" a="1"/>
  <c r="S3" i="4" a="1"/>
  <c r="S3" i="5" a="1"/>
  <c r="S3" i="2" a="1"/>
  <c r="Z3" i="3" a="1"/>
  <c r="AB3" i="3" a="1"/>
  <c r="AB3" i="5" a="1"/>
  <c r="Z3" i="5" a="1"/>
  <c r="Z3" i="4" a="1"/>
  <c r="AB3" i="2" a="1"/>
  <c r="X4" i="3" a="1"/>
  <c r="AB3" i="4" a="1"/>
  <c r="Z3" i="2" a="1"/>
  <c r="X4" i="5" a="1"/>
  <c r="X4" i="4" a="1"/>
  <c r="X4" i="2" a="1"/>
  <c r="C7" i="3" a="1"/>
  <c r="AI3" i="4" l="1"/>
  <c r="G6" i="6"/>
  <c r="A6" i="6"/>
  <c r="D6" i="6"/>
  <c r="O3" i="4"/>
  <c r="O3" i="3"/>
  <c r="O3" i="5"/>
  <c r="O3" i="2"/>
  <c r="Q3" i="4"/>
  <c r="Q3" i="2"/>
  <c r="Q3" i="5"/>
  <c r="Q3" i="3"/>
  <c r="S3" i="2"/>
  <c r="S3" i="5"/>
  <c r="S3" i="4"/>
  <c r="S3" i="3"/>
  <c r="X4" i="2"/>
  <c r="X4" i="4"/>
  <c r="X4" i="5"/>
  <c r="Z3" i="2"/>
  <c r="AB3" i="4"/>
  <c r="X4" i="3"/>
  <c r="AB3" i="2"/>
  <c r="Z3" i="4"/>
  <c r="Z3" i="5"/>
  <c r="AB3" i="5"/>
  <c r="AB3" i="3"/>
  <c r="Z3" i="3"/>
  <c r="C7" i="3"/>
  <c r="C7" i="4" a="1"/>
  <c r="C7" i="4"/>
  <c r="C7" i="2" a="1"/>
  <c r="C7" i="2"/>
  <c r="B7" i="2" a="1"/>
  <c r="B7" i="2"/>
  <c r="C7" i="5" a="1"/>
  <c r="C7" i="5"/>
  <c r="B7" i="5" a="1"/>
  <c r="B7" i="5"/>
  <c r="B9" i="3" a="1"/>
  <c r="B9" i="3"/>
  <c r="B9" i="4" a="1"/>
  <c r="B9" i="4"/>
  <c r="C9" i="3" a="1"/>
  <c r="C9" i="3"/>
  <c r="C9" i="4" a="1"/>
  <c r="C9" i="4"/>
  <c r="C9" i="2" a="1"/>
  <c r="C9" i="2"/>
  <c r="C9" i="5" a="1"/>
  <c r="C9" i="5"/>
  <c r="B9" i="2" a="1"/>
  <c r="B9" i="2"/>
  <c r="B9" i="5" a="1"/>
  <c r="B9" i="5"/>
  <c r="D9" i="3" a="1"/>
  <c r="D9" i="3"/>
  <c r="D9" i="4" a="1"/>
  <c r="D9" i="4"/>
  <c r="D9" i="2" a="1"/>
  <c r="D9" i="2"/>
  <c r="D9" i="5" a="1"/>
  <c r="D9" i="5"/>
  <c r="D5" i="5" l="1"/>
  <c r="C5" i="5"/>
  <c r="B5" i="5"/>
  <c r="D5" i="4"/>
  <c r="C5" i="4"/>
  <c r="B5" i="4"/>
  <c r="J14" i="3"/>
  <c r="D5" i="3"/>
  <c r="C5" i="3"/>
  <c r="B5" i="3"/>
  <c r="I3" i="3"/>
  <c r="H3" i="3"/>
  <c r="J14" i="2"/>
  <c r="D5" i="2"/>
  <c r="C5" i="2"/>
  <c r="B5" i="2"/>
  <c r="H2" i="2"/>
  <c r="U101" i="5" l="1"/>
  <c r="V101" i="5" s="1"/>
  <c r="U89" i="5"/>
  <c r="V89" i="5" s="1"/>
  <c r="U100" i="5"/>
  <c r="V100" i="5" s="1"/>
  <c r="U102" i="5"/>
  <c r="V102" i="5" s="1"/>
  <c r="U97" i="5"/>
  <c r="V97" i="5" s="1"/>
  <c r="U79" i="5"/>
  <c r="V79" i="5" s="1"/>
  <c r="U45" i="5"/>
  <c r="V45" i="5" s="1"/>
  <c r="U68" i="5"/>
  <c r="V68" i="5" s="1"/>
  <c r="U47" i="5"/>
  <c r="V47" i="5" s="1"/>
  <c r="U81" i="5"/>
  <c r="V81" i="5" s="1"/>
  <c r="U70" i="5"/>
  <c r="V70" i="5" s="1"/>
  <c r="U90" i="5"/>
  <c r="V90" i="5" s="1"/>
  <c r="U49" i="5"/>
  <c r="V49" i="5" s="1"/>
  <c r="U51" i="5"/>
  <c r="V51" i="5" s="1"/>
  <c r="U94" i="5"/>
  <c r="V94" i="5" s="1"/>
  <c r="U61" i="5"/>
  <c r="V61" i="5" s="1"/>
  <c r="U85" i="5"/>
  <c r="V85" i="5" s="1"/>
  <c r="U71" i="5"/>
  <c r="V71" i="5" s="1"/>
  <c r="U55" i="5"/>
  <c r="V55" i="5" s="1"/>
  <c r="U50" i="5"/>
  <c r="V50" i="5" s="1"/>
  <c r="U35" i="5"/>
  <c r="V35" i="5" s="1"/>
  <c r="U30" i="5"/>
  <c r="V30" i="5" s="1"/>
  <c r="U42" i="5"/>
  <c r="V42" i="5" s="1"/>
  <c r="U65" i="5"/>
  <c r="V65" i="5" s="1"/>
  <c r="U18" i="5"/>
  <c r="V18" i="5" s="1"/>
  <c r="U37" i="5"/>
  <c r="V37" i="5" s="1"/>
  <c r="U20" i="5"/>
  <c r="V20" i="5" s="1"/>
  <c r="U23" i="5"/>
  <c r="V23" i="5" s="1"/>
  <c r="U16" i="5"/>
  <c r="V16" i="5" s="1"/>
  <c r="U13" i="5"/>
  <c r="V13" i="5" s="1"/>
  <c r="U103" i="5"/>
  <c r="V103" i="5" s="1"/>
  <c r="U11" i="5"/>
  <c r="V11" i="5" s="1"/>
  <c r="U88" i="5"/>
  <c r="V88" i="5" s="1"/>
  <c r="U82" i="5"/>
  <c r="V82" i="5" s="1"/>
  <c r="U60" i="5"/>
  <c r="V60" i="5" s="1"/>
  <c r="U12" i="5"/>
  <c r="V12" i="5" s="1"/>
  <c r="U76" i="5"/>
  <c r="V76" i="5" s="1"/>
  <c r="U32" i="5"/>
  <c r="V32" i="5" s="1"/>
  <c r="U25" i="5"/>
  <c r="V25" i="5" s="1"/>
  <c r="U57" i="5"/>
  <c r="V57" i="5" s="1"/>
  <c r="U52" i="5"/>
  <c r="V52" i="5" s="1"/>
  <c r="U4" i="5"/>
  <c r="V4" i="5" s="1"/>
  <c r="U96" i="5"/>
  <c r="V96" i="5" s="1"/>
  <c r="U93" i="5"/>
  <c r="V93" i="5" s="1"/>
  <c r="U87" i="5"/>
  <c r="V87" i="5" s="1"/>
  <c r="U73" i="5"/>
  <c r="V73" i="5" s="1"/>
  <c r="U34" i="5"/>
  <c r="V34" i="5" s="1"/>
  <c r="U10" i="5"/>
  <c r="V10" i="5" s="1"/>
  <c r="U27" i="5"/>
  <c r="V27" i="5" s="1"/>
  <c r="U99" i="5"/>
  <c r="V99" i="5" s="1"/>
  <c r="U44" i="5"/>
  <c r="V44" i="5" s="1"/>
  <c r="U78" i="5"/>
  <c r="V78" i="5" s="1"/>
  <c r="U46" i="5"/>
  <c r="V46" i="5" s="1"/>
  <c r="U8" i="5"/>
  <c r="V8" i="5" s="1"/>
  <c r="U92" i="5"/>
  <c r="V92" i="5" s="1"/>
  <c r="U95" i="5"/>
  <c r="V95" i="5" s="1"/>
  <c r="U56" i="5"/>
  <c r="V56" i="5" s="1"/>
  <c r="U31" i="5"/>
  <c r="V31" i="5" s="1"/>
  <c r="U38" i="5"/>
  <c r="V38" i="5" s="1"/>
  <c r="U26" i="5"/>
  <c r="V26" i="5" s="1"/>
  <c r="U75" i="5"/>
  <c r="V75" i="5" s="1"/>
  <c r="U58" i="5"/>
  <c r="V58" i="5" s="1"/>
  <c r="U5" i="5"/>
  <c r="V5" i="5" s="1"/>
  <c r="U80" i="5"/>
  <c r="V80" i="5" s="1"/>
  <c r="U72" i="5"/>
  <c r="V72" i="5" s="1"/>
  <c r="U17" i="5"/>
  <c r="V17" i="5" s="1"/>
  <c r="U24" i="5"/>
  <c r="V24" i="5" s="1"/>
  <c r="U84" i="5"/>
  <c r="V84" i="5" s="1"/>
  <c r="U63" i="5"/>
  <c r="V63" i="5" s="1"/>
  <c r="U36" i="5"/>
  <c r="V36" i="5" s="1"/>
  <c r="U15" i="5"/>
  <c r="V15" i="5" s="1"/>
  <c r="U41" i="5"/>
  <c r="V41" i="5" s="1"/>
  <c r="U19" i="5"/>
  <c r="V19" i="5" s="1"/>
  <c r="U74" i="5"/>
  <c r="V74" i="5" s="1"/>
  <c r="U14" i="5"/>
  <c r="V14" i="5" s="1"/>
  <c r="U29" i="5"/>
  <c r="V29" i="5" s="1"/>
  <c r="U59" i="5"/>
  <c r="V59" i="5" s="1"/>
  <c r="U53" i="5"/>
  <c r="V53" i="5" s="1"/>
  <c r="U86" i="5"/>
  <c r="V86" i="5" s="1"/>
  <c r="U62" i="5"/>
  <c r="V62" i="5" s="1"/>
  <c r="U48" i="5"/>
  <c r="V48" i="5" s="1"/>
  <c r="U40" i="5"/>
  <c r="V40" i="5" s="1"/>
  <c r="U98" i="5"/>
  <c r="V98" i="5" s="1"/>
  <c r="U69" i="5"/>
  <c r="V69" i="5" s="1"/>
  <c r="U22" i="5"/>
  <c r="V22" i="5" s="1"/>
  <c r="U67" i="5"/>
  <c r="V67" i="5" s="1"/>
  <c r="U21" i="5"/>
  <c r="V21" i="5" s="1"/>
  <c r="U3" i="5"/>
  <c r="V3" i="5" s="1"/>
  <c r="U43" i="5"/>
  <c r="V43" i="5" s="1"/>
  <c r="U39" i="5"/>
  <c r="V39" i="5" s="1"/>
  <c r="U77" i="5"/>
  <c r="V77" i="5" s="1"/>
  <c r="U91" i="5"/>
  <c r="V91" i="5" s="1"/>
  <c r="U9" i="5"/>
  <c r="V9" i="5" s="1"/>
  <c r="U64" i="5"/>
  <c r="V64" i="5" s="1"/>
  <c r="U28" i="5"/>
  <c r="V28" i="5" s="1"/>
  <c r="U83" i="5"/>
  <c r="V83" i="5" s="1"/>
  <c r="U66" i="5"/>
  <c r="V66" i="5" s="1"/>
  <c r="U54" i="5"/>
  <c r="V54" i="5" s="1"/>
  <c r="U33" i="5"/>
  <c r="V33" i="5" s="1"/>
  <c r="U104" i="5"/>
  <c r="V104" i="5" s="1"/>
  <c r="U7" i="5"/>
  <c r="V7" i="5" s="1"/>
  <c r="U6" i="5"/>
  <c r="V6" i="5" s="1"/>
  <c r="AD263" i="5"/>
  <c r="AD144" i="4"/>
  <c r="AD285" i="4"/>
  <c r="AD253" i="4"/>
  <c r="AD221" i="4"/>
  <c r="AD189" i="4"/>
  <c r="AD142" i="4"/>
  <c r="AD126" i="4"/>
  <c r="AD110" i="4"/>
  <c r="AD78" i="4"/>
  <c r="AD274" i="4"/>
  <c r="AD242" i="4"/>
  <c r="AD178" i="4"/>
  <c r="AD167" i="4"/>
  <c r="AD151" i="4"/>
  <c r="AD135" i="4"/>
  <c r="AD273" i="4"/>
  <c r="AD241" i="4"/>
  <c r="AD209" i="4"/>
  <c r="AD177" i="4"/>
  <c r="AD160" i="4"/>
  <c r="AD128" i="4"/>
  <c r="AD153" i="4"/>
  <c r="AD137" i="4"/>
  <c r="AD121" i="4"/>
  <c r="AD272" i="4"/>
  <c r="AD240" i="4"/>
  <c r="AD208" i="4"/>
  <c r="AD176" i="4"/>
  <c r="AD293" i="4"/>
  <c r="AD229" i="4"/>
  <c r="AD197" i="4"/>
  <c r="AD162" i="4"/>
  <c r="AD146" i="4"/>
  <c r="AD114" i="4"/>
  <c r="AD282" i="4"/>
  <c r="AD218" i="4"/>
  <c r="AD186" i="4"/>
  <c r="AD271" i="4"/>
  <c r="AD239" i="4"/>
  <c r="AD207" i="4"/>
  <c r="AD175" i="4"/>
  <c r="AD155" i="4"/>
  <c r="AD139" i="4"/>
  <c r="AD107" i="4"/>
  <c r="AD196" i="4"/>
  <c r="AD281" i="4"/>
  <c r="AD249" i="4"/>
  <c r="AD217" i="4"/>
  <c r="AD185" i="4"/>
  <c r="AD164" i="4"/>
  <c r="AD148" i="4"/>
  <c r="AD132" i="4"/>
  <c r="AD116" i="4"/>
  <c r="AD291" i="4"/>
  <c r="AD259" i="4"/>
  <c r="AD227" i="4"/>
  <c r="AD195" i="4"/>
  <c r="AD269" i="4"/>
  <c r="AD237" i="4"/>
  <c r="AD205" i="4"/>
  <c r="AD166" i="4"/>
  <c r="AD247" i="4"/>
  <c r="AD215" i="4"/>
  <c r="AD183" i="4"/>
  <c r="AD278" i="4"/>
  <c r="AD267" i="4"/>
  <c r="AD235" i="4"/>
  <c r="AD203" i="4"/>
  <c r="AD171" i="4"/>
  <c r="AD145" i="4"/>
  <c r="AD211" i="4"/>
  <c r="AD290" i="4"/>
  <c r="AD248" i="4"/>
  <c r="AD230" i="4"/>
  <c r="AD190" i="4"/>
  <c r="AD170" i="4"/>
  <c r="AD92" i="4"/>
  <c r="AD82" i="4"/>
  <c r="AD65" i="4"/>
  <c r="AD37" i="4"/>
  <c r="AD21" i="4"/>
  <c r="AD268" i="4"/>
  <c r="AD105" i="4"/>
  <c r="AD97" i="4"/>
  <c r="AD53" i="4"/>
  <c r="AD30" i="4"/>
  <c r="AD14" i="4"/>
  <c r="AD77" i="4"/>
  <c r="AD46" i="4"/>
  <c r="AD288" i="4"/>
  <c r="AD226" i="4"/>
  <c r="AD206" i="4"/>
  <c r="AD188" i="4"/>
  <c r="AD169" i="4"/>
  <c r="AD102" i="4"/>
  <c r="AD60" i="4"/>
  <c r="AD224" i="4"/>
  <c r="AD265" i="4"/>
  <c r="AD149" i="4"/>
  <c r="AD286" i="4"/>
  <c r="AD163" i="4"/>
  <c r="AD99" i="4"/>
  <c r="AD223" i="4"/>
  <c r="AD264" i="4"/>
  <c r="AD202" i="4"/>
  <c r="AD138" i="4"/>
  <c r="AD91" i="4"/>
  <c r="AD57" i="4"/>
  <c r="AD284" i="4"/>
  <c r="AD243" i="4"/>
  <c r="AD181" i="4"/>
  <c r="AD262" i="4"/>
  <c r="AD222" i="4"/>
  <c r="AD141" i="4"/>
  <c r="AD118" i="4"/>
  <c r="AD96" i="4"/>
  <c r="AD201" i="4"/>
  <c r="AD280" i="4"/>
  <c r="AD180" i="4"/>
  <c r="AD258" i="4"/>
  <c r="AD238" i="4"/>
  <c r="AD220" i="4"/>
  <c r="AD200" i="4"/>
  <c r="AD255" i="4"/>
  <c r="AD214" i="4"/>
  <c r="AD125" i="4"/>
  <c r="AD79" i="4"/>
  <c r="AD18" i="4"/>
  <c r="AD56" i="4"/>
  <c r="AD23" i="4"/>
  <c r="AD140" i="4"/>
  <c r="AD134" i="4"/>
  <c r="AD115" i="4"/>
  <c r="AD111" i="4"/>
  <c r="AD100" i="4"/>
  <c r="AD59" i="4"/>
  <c r="AD45" i="4"/>
  <c r="AD26" i="4"/>
  <c r="AD212" i="4"/>
  <c r="AD213" i="4"/>
  <c r="AD174" i="4"/>
  <c r="AD89" i="4"/>
  <c r="AD72" i="4"/>
  <c r="AD34" i="4"/>
  <c r="AD254" i="4"/>
  <c r="AD120" i="4"/>
  <c r="AD252" i="4"/>
  <c r="AD172" i="4"/>
  <c r="AD42" i="4"/>
  <c r="AD39" i="4"/>
  <c r="AD150" i="4"/>
  <c r="AD124" i="4"/>
  <c r="AD103" i="4"/>
  <c r="AD31" i="4"/>
  <c r="AD74" i="4"/>
  <c r="AD58" i="4"/>
  <c r="AD41" i="4"/>
  <c r="AD246" i="4"/>
  <c r="AD75" i="4"/>
  <c r="AD20" i="4"/>
  <c r="AD8" i="4"/>
  <c r="AD17" i="4"/>
  <c r="AD44" i="4"/>
  <c r="AD119" i="4"/>
  <c r="AD68" i="4"/>
  <c r="AD52" i="4"/>
  <c r="AD287" i="4"/>
  <c r="AD245" i="4"/>
  <c r="AD204" i="4"/>
  <c r="AD85" i="4"/>
  <c r="AD71" i="4"/>
  <c r="AD47" i="4"/>
  <c r="AD88" i="4"/>
  <c r="AD55" i="4"/>
  <c r="AD36" i="4"/>
  <c r="AD236" i="4"/>
  <c r="AD198" i="4"/>
  <c r="AD168" i="4"/>
  <c r="AD81" i="4"/>
  <c r="AD64" i="4"/>
  <c r="AD28" i="4"/>
  <c r="AD25" i="4"/>
  <c r="AD6" i="4"/>
  <c r="AD277" i="4"/>
  <c r="AD106" i="4"/>
  <c r="AD95" i="4"/>
  <c r="AD61" i="4"/>
  <c r="AD194" i="4"/>
  <c r="AD276" i="4"/>
  <c r="AD154" i="4"/>
  <c r="AD234" i="4"/>
  <c r="AD193" i="4"/>
  <c r="AD109" i="4"/>
  <c r="AD84" i="4"/>
  <c r="AD22" i="4"/>
  <c r="AD159" i="4"/>
  <c r="AD143" i="4"/>
  <c r="AD133" i="4"/>
  <c r="AD67" i="4"/>
  <c r="AD49" i="4"/>
  <c r="AD275" i="4"/>
  <c r="AD192" i="4"/>
  <c r="AD127" i="4"/>
  <c r="AD233" i="4"/>
  <c r="AD122" i="4"/>
  <c r="AD113" i="4"/>
  <c r="AD27" i="4"/>
  <c r="AD257" i="4"/>
  <c r="AD83" i="4"/>
  <c r="AD50" i="4"/>
  <c r="AD43" i="4"/>
  <c r="AD9" i="4"/>
  <c r="AD256" i="4"/>
  <c r="AD12" i="4"/>
  <c r="AD76" i="4"/>
  <c r="AD73" i="4"/>
  <c r="AD24" i="4"/>
  <c r="AD5" i="4"/>
  <c r="AD266" i="4"/>
  <c r="AD101" i="4"/>
  <c r="AD32" i="4"/>
  <c r="AD117" i="4"/>
  <c r="AD11" i="4"/>
  <c r="AD232" i="4"/>
  <c r="AD112" i="4"/>
  <c r="AD63" i="4"/>
  <c r="AD29" i="4"/>
  <c r="AD48" i="4"/>
  <c r="AD108" i="4"/>
  <c r="AD66" i="4"/>
  <c r="AD4" i="4"/>
  <c r="AD16" i="4"/>
  <c r="AD225" i="4"/>
  <c r="AD80" i="4"/>
  <c r="AD19" i="4"/>
  <c r="AD270" i="4"/>
  <c r="AD90" i="4"/>
  <c r="AD35" i="4"/>
  <c r="AD216" i="4"/>
  <c r="AD33" i="4"/>
  <c r="AD131" i="4"/>
  <c r="AD157" i="4"/>
  <c r="AD70" i="4"/>
  <c r="AD54" i="4"/>
  <c r="AD191" i="4"/>
  <c r="AD86" i="4"/>
  <c r="AD15" i="4"/>
  <c r="AD147" i="4"/>
  <c r="AD51" i="4"/>
  <c r="AD3" i="4"/>
  <c r="AD152" i="4"/>
  <c r="AD87" i="4"/>
  <c r="AD38" i="4"/>
  <c r="AD69" i="4"/>
  <c r="AD40" i="4"/>
  <c r="AD182" i="4"/>
  <c r="AD93" i="4"/>
  <c r="AD184" i="4"/>
  <c r="AD136" i="4"/>
  <c r="AD165" i="4"/>
  <c r="AD13" i="4"/>
  <c r="AD104" i="4"/>
  <c r="AD10" i="4"/>
  <c r="AD179" i="4"/>
  <c r="U53" i="4"/>
  <c r="V53" i="4" s="1"/>
  <c r="U51" i="4"/>
  <c r="V51" i="4" s="1"/>
  <c r="U3" i="4"/>
  <c r="V3" i="4" s="1"/>
  <c r="U44" i="4"/>
  <c r="V44" i="4" s="1"/>
  <c r="U28" i="4"/>
  <c r="V28" i="4" s="1"/>
  <c r="U7" i="4"/>
  <c r="V7" i="4" s="1"/>
  <c r="U37" i="4"/>
  <c r="V37" i="4" s="1"/>
  <c r="U21" i="4"/>
  <c r="V21" i="4" s="1"/>
  <c r="U29" i="4"/>
  <c r="V29" i="4" s="1"/>
  <c r="U9" i="4"/>
  <c r="V9" i="4" s="1"/>
  <c r="U34" i="4"/>
  <c r="V34" i="4" s="1"/>
  <c r="U18" i="4"/>
  <c r="V18" i="4" s="1"/>
  <c r="U45" i="4"/>
  <c r="V45" i="4" s="1"/>
  <c r="U50" i="4"/>
  <c r="V50" i="4" s="1"/>
  <c r="U15" i="4"/>
  <c r="V15" i="4" s="1"/>
  <c r="U31" i="4"/>
  <c r="V31" i="4" s="1"/>
  <c r="U42" i="4"/>
  <c r="V42" i="4" s="1"/>
  <c r="U39" i="4"/>
  <c r="V39" i="4" s="1"/>
  <c r="U20" i="4"/>
  <c r="V20" i="4" s="1"/>
  <c r="U8" i="4"/>
  <c r="V8" i="4" s="1"/>
  <c r="U25" i="4"/>
  <c r="V25" i="4" s="1"/>
  <c r="U47" i="4"/>
  <c r="V47" i="4" s="1"/>
  <c r="U55" i="4"/>
  <c r="V55" i="4" s="1"/>
  <c r="U36" i="4"/>
  <c r="V36" i="4" s="1"/>
  <c r="U6" i="4"/>
  <c r="V6" i="4" s="1"/>
  <c r="U52" i="4"/>
  <c r="V52" i="4" s="1"/>
  <c r="U41" i="4"/>
  <c r="V41" i="4" s="1"/>
  <c r="U5" i="4"/>
  <c r="V5" i="4" s="1"/>
  <c r="U30" i="4"/>
  <c r="V30" i="4" s="1"/>
  <c r="U33" i="4"/>
  <c r="V33" i="4" s="1"/>
  <c r="U49" i="4"/>
  <c r="V49" i="4" s="1"/>
  <c r="U46" i="4"/>
  <c r="V46" i="4" s="1"/>
  <c r="U13" i="4"/>
  <c r="V13" i="4" s="1"/>
  <c r="U43" i="4"/>
  <c r="V43" i="4" s="1"/>
  <c r="U24" i="4"/>
  <c r="V24" i="4" s="1"/>
  <c r="U17" i="4"/>
  <c r="V17" i="4" s="1"/>
  <c r="U10" i="4"/>
  <c r="V10" i="4" s="1"/>
  <c r="U16" i="4"/>
  <c r="V16" i="4" s="1"/>
  <c r="U35" i="4"/>
  <c r="V35" i="4" s="1"/>
  <c r="U12" i="4"/>
  <c r="V12" i="4" s="1"/>
  <c r="U23" i="4"/>
  <c r="V23" i="4" s="1"/>
  <c r="U4" i="4"/>
  <c r="V4" i="4" s="1"/>
  <c r="U22" i="4"/>
  <c r="V22" i="4" s="1"/>
  <c r="U48" i="4"/>
  <c r="V48" i="4" s="1"/>
  <c r="U38" i="4"/>
  <c r="V38" i="4" s="1"/>
  <c r="U54" i="4"/>
  <c r="V54" i="4" s="1"/>
  <c r="U26" i="4"/>
  <c r="V26" i="4" s="1"/>
  <c r="U27" i="4"/>
  <c r="V27" i="4" s="1"/>
  <c r="U14" i="4"/>
  <c r="V14" i="4" s="1"/>
  <c r="U40" i="4"/>
  <c r="V40" i="4" s="1"/>
  <c r="U19" i="4"/>
  <c r="V19" i="4" s="1"/>
  <c r="U11" i="4"/>
  <c r="V11" i="4" s="1"/>
  <c r="U32" i="4"/>
  <c r="V32" i="4" s="1"/>
  <c r="AD271" i="3"/>
  <c r="AD275" i="3"/>
  <c r="AD55" i="3"/>
  <c r="AD97" i="3"/>
  <c r="AD206" i="3"/>
  <c r="AD53" i="3"/>
  <c r="AD138" i="3"/>
  <c r="AD178" i="3"/>
  <c r="U17" i="3"/>
  <c r="V17" i="3" s="1"/>
  <c r="AD146" i="3"/>
  <c r="AD126" i="2"/>
  <c r="AD239" i="2"/>
  <c r="AD260" i="2"/>
  <c r="AD214" i="2"/>
  <c r="AD30" i="2"/>
  <c r="AD92" i="2"/>
  <c r="AD57" i="2"/>
  <c r="AD46" i="2"/>
  <c r="AD190" i="2"/>
  <c r="AD94" i="2"/>
  <c r="AD133" i="2"/>
  <c r="AD97" i="2"/>
  <c r="AD113" i="2"/>
  <c r="U17" i="2"/>
  <c r="V17" i="2" s="1"/>
  <c r="U101" i="2"/>
  <c r="V101" i="2" s="1"/>
  <c r="U8" i="2"/>
  <c r="V8" i="2" s="1"/>
  <c r="U52" i="2"/>
  <c r="V52" i="2" s="1"/>
  <c r="U91" i="2"/>
  <c r="V91" i="2" s="1"/>
  <c r="U23" i="2"/>
  <c r="V23" i="2" s="1"/>
  <c r="U36" i="2"/>
  <c r="V36" i="2" s="1"/>
  <c r="U95" i="2"/>
  <c r="V95" i="2" s="1"/>
  <c r="U20" i="2"/>
  <c r="V20" i="2" s="1"/>
  <c r="U89" i="2"/>
  <c r="V89" i="2" s="1"/>
  <c r="U80" i="2"/>
  <c r="V80" i="2" s="1"/>
  <c r="U30" i="2"/>
  <c r="V30" i="2" s="1"/>
  <c r="U58" i="2"/>
  <c r="V58" i="2" s="1"/>
  <c r="U78" i="2"/>
  <c r="V78" i="2" s="1"/>
  <c r="U53" i="2"/>
  <c r="V53" i="2" s="1"/>
  <c r="U19" i="2"/>
  <c r="V19" i="2" s="1"/>
  <c r="U6" i="2"/>
  <c r="V6" i="2" s="1"/>
  <c r="U94" i="2"/>
  <c r="V94" i="2" s="1"/>
  <c r="U103" i="2"/>
  <c r="V103" i="2" s="1"/>
  <c r="U75" i="2"/>
  <c r="V75" i="2" s="1"/>
  <c r="U14" i="2"/>
  <c r="V14" i="2" s="1"/>
  <c r="U43" i="2"/>
  <c r="V43" i="2" s="1"/>
  <c r="U61" i="2"/>
  <c r="V61" i="2" s="1"/>
  <c r="AD10" i="2"/>
  <c r="U21" i="2" l="1"/>
  <c r="V21" i="2" s="1"/>
  <c r="AD68" i="2"/>
  <c r="U39" i="3"/>
  <c r="V39" i="3" s="1"/>
  <c r="U7" i="3"/>
  <c r="V7" i="3" s="1"/>
  <c r="AD181" i="5"/>
  <c r="AD54" i="5"/>
  <c r="U37" i="2"/>
  <c r="V37" i="2" s="1"/>
  <c r="AD24" i="2"/>
  <c r="AD49" i="2"/>
  <c r="U33" i="3"/>
  <c r="V33" i="3" s="1"/>
  <c r="AD279" i="4"/>
  <c r="AD250" i="4"/>
  <c r="AD199" i="4"/>
  <c r="AD33" i="5"/>
  <c r="U85" i="2"/>
  <c r="V85" i="2" s="1"/>
  <c r="AD84" i="2"/>
  <c r="AD63" i="2"/>
  <c r="U22" i="3"/>
  <c r="V22" i="3" s="1"/>
  <c r="AD231" i="4"/>
  <c r="AD56" i="5"/>
  <c r="U20" i="3"/>
  <c r="V20" i="3" s="1"/>
  <c r="AD93" i="2"/>
  <c r="AD99" i="2"/>
  <c r="U25" i="3"/>
  <c r="V25" i="3" s="1"/>
  <c r="AD289" i="4"/>
  <c r="AD173" i="4"/>
  <c r="AD98" i="4"/>
  <c r="AD263" i="4"/>
  <c r="AD35" i="5"/>
  <c r="AD118" i="2"/>
  <c r="U44" i="3"/>
  <c r="V44" i="3" s="1"/>
  <c r="AD19" i="5"/>
  <c r="U30" i="3"/>
  <c r="V30" i="3" s="1"/>
  <c r="AD162" i="2"/>
  <c r="U13" i="2"/>
  <c r="V13" i="2" s="1"/>
  <c r="AD271" i="2"/>
  <c r="AD185" i="2"/>
  <c r="U3" i="3"/>
  <c r="V3" i="3" s="1"/>
  <c r="AD130" i="4"/>
  <c r="AD210" i="4"/>
  <c r="AD15" i="5"/>
  <c r="AD143" i="2"/>
  <c r="U42" i="3"/>
  <c r="V42" i="3" s="1"/>
  <c r="AD131" i="5"/>
  <c r="U64" i="2"/>
  <c r="V64" i="2" s="1"/>
  <c r="AD123" i="2"/>
  <c r="U53" i="3"/>
  <c r="V53" i="3" s="1"/>
  <c r="AD62" i="4"/>
  <c r="AD195" i="5"/>
  <c r="AD152" i="2"/>
  <c r="U68" i="2"/>
  <c r="V68" i="2" s="1"/>
  <c r="AD148" i="2"/>
  <c r="AD266" i="2"/>
  <c r="U24" i="3"/>
  <c r="V24" i="3" s="1"/>
  <c r="AD120" i="5"/>
  <c r="AD156" i="5"/>
  <c r="U29" i="3"/>
  <c r="V29" i="3" s="1"/>
  <c r="AD24" i="5"/>
  <c r="U42" i="2"/>
  <c r="V42" i="2" s="1"/>
  <c r="U77" i="2"/>
  <c r="V77" i="2" s="1"/>
  <c r="AD19" i="2"/>
  <c r="AD218" i="2"/>
  <c r="U11" i="3"/>
  <c r="V11" i="3" s="1"/>
  <c r="AD261" i="4"/>
  <c r="AD94" i="4"/>
  <c r="AD160" i="5"/>
  <c r="U23" i="3"/>
  <c r="V23" i="3" s="1"/>
  <c r="AD193" i="2"/>
  <c r="AD145" i="2"/>
  <c r="AD10" i="5"/>
  <c r="AD39" i="2"/>
  <c r="AD269" i="2"/>
  <c r="U83" i="2"/>
  <c r="V83" i="2" s="1"/>
  <c r="AD160" i="2"/>
  <c r="AD265" i="2"/>
  <c r="AD158" i="4"/>
  <c r="U98" i="2"/>
  <c r="V98" i="2" s="1"/>
  <c r="AD62" i="2"/>
  <c r="AD142" i="2"/>
  <c r="AD106" i="2"/>
  <c r="AD138" i="2"/>
  <c r="AD187" i="4"/>
  <c r="U49" i="2"/>
  <c r="V49" i="2" s="1"/>
  <c r="U33" i="2"/>
  <c r="V33" i="2" s="1"/>
  <c r="U10" i="2"/>
  <c r="V10" i="2" s="1"/>
  <c r="AD53" i="2"/>
  <c r="AD32" i="3"/>
  <c r="AD244" i="4"/>
  <c r="AD7" i="4"/>
  <c r="AD228" i="4"/>
  <c r="AD219" i="4"/>
  <c r="AD50" i="2"/>
  <c r="AD45" i="3"/>
  <c r="AD260" i="4"/>
  <c r="AD251" i="4"/>
  <c r="U60" i="2"/>
  <c r="V60" i="2" s="1"/>
  <c r="AD116" i="2"/>
  <c r="U3" i="2"/>
  <c r="V3" i="2" s="1"/>
  <c r="AD136" i="2"/>
  <c r="AD129" i="4"/>
  <c r="AD292" i="4"/>
  <c r="AD283" i="4"/>
  <c r="AD242" i="5"/>
  <c r="AD11" i="2"/>
  <c r="AD252" i="3"/>
  <c r="U45" i="2"/>
  <c r="V45" i="2" s="1"/>
  <c r="AD257" i="2"/>
  <c r="AD156" i="4"/>
  <c r="AD161" i="4"/>
  <c r="AD123" i="4"/>
  <c r="U59" i="2"/>
  <c r="V59" i="2" s="1"/>
  <c r="AD183" i="2"/>
  <c r="AD247" i="5"/>
  <c r="AD249" i="5"/>
  <c r="AD239" i="5"/>
  <c r="AD81" i="5"/>
  <c r="AD45" i="5"/>
  <c r="AD230" i="5"/>
  <c r="AD8" i="5"/>
  <c r="AD91" i="5"/>
  <c r="AD275" i="5"/>
  <c r="AD142" i="5"/>
  <c r="AD266" i="5"/>
  <c r="AD257" i="5"/>
  <c r="AD135" i="5"/>
  <c r="AD47" i="5"/>
  <c r="AD268" i="5"/>
  <c r="AD17" i="5"/>
  <c r="AD36" i="5"/>
  <c r="AD116" i="5"/>
  <c r="AD18" i="5"/>
  <c r="AD173" i="5"/>
  <c r="AD277" i="5"/>
  <c r="AD164" i="5"/>
  <c r="AD49" i="5"/>
  <c r="AD276" i="5"/>
  <c r="AD66" i="5"/>
  <c r="AD65" i="5"/>
  <c r="AD286" i="5"/>
  <c r="AD180" i="5"/>
  <c r="AD262" i="5"/>
  <c r="AD53" i="5"/>
  <c r="AD210" i="5"/>
  <c r="AD216" i="5"/>
  <c r="AD155" i="5"/>
  <c r="AD176" i="5"/>
  <c r="AD188" i="5"/>
  <c r="AD92" i="5"/>
  <c r="AD55" i="5"/>
  <c r="AD233" i="5"/>
  <c r="AD105" i="5"/>
  <c r="AD196" i="5"/>
  <c r="AD237" i="5"/>
  <c r="AD264" i="5"/>
  <c r="AD174" i="5"/>
  <c r="AD292" i="5"/>
  <c r="AD103" i="5"/>
  <c r="AD187" i="5"/>
  <c r="AD209" i="5"/>
  <c r="AD122" i="5"/>
  <c r="AD57" i="5"/>
  <c r="AD279" i="5"/>
  <c r="AD227" i="5"/>
  <c r="AD94" i="5"/>
  <c r="AD100" i="5"/>
  <c r="AD14" i="5"/>
  <c r="AD199" i="5"/>
  <c r="AD9" i="5"/>
  <c r="AD138" i="5"/>
  <c r="AD250" i="5"/>
  <c r="AD225" i="5"/>
  <c r="AD127" i="5"/>
  <c r="AD109" i="5"/>
  <c r="AD154" i="5"/>
  <c r="AD30" i="5"/>
  <c r="AD26" i="5"/>
  <c r="AD214" i="5"/>
  <c r="AD22" i="5"/>
  <c r="AD152" i="5"/>
  <c r="AD269" i="5"/>
  <c r="AD169" i="5"/>
  <c r="AD90" i="5"/>
  <c r="AD148" i="5"/>
  <c r="AD171" i="5"/>
  <c r="AD128" i="5"/>
  <c r="AD29" i="5"/>
  <c r="AD61" i="5"/>
  <c r="AD255" i="5"/>
  <c r="AD62" i="5"/>
  <c r="AD248" i="5"/>
  <c r="AD235" i="5"/>
  <c r="AD194" i="5"/>
  <c r="AD117" i="5"/>
  <c r="AD261" i="5"/>
  <c r="AD186" i="5"/>
  <c r="AD5" i="5"/>
  <c r="AD84" i="5"/>
  <c r="AD93" i="5"/>
  <c r="AD203" i="5"/>
  <c r="AD158" i="5"/>
  <c r="AD115" i="5"/>
  <c r="AD37" i="5"/>
  <c r="AD157" i="5"/>
  <c r="AD136" i="5"/>
  <c r="AD163" i="5"/>
  <c r="AD151" i="5"/>
  <c r="AD129" i="5"/>
  <c r="AD165" i="5"/>
  <c r="AD278" i="5"/>
  <c r="AD189" i="5"/>
  <c r="AD110" i="5"/>
  <c r="AD222" i="5"/>
  <c r="AD32" i="5"/>
  <c r="AD134" i="5"/>
  <c r="AD240" i="5"/>
  <c r="AD85" i="5"/>
  <c r="AD265" i="5"/>
  <c r="AD44" i="5"/>
  <c r="AD12" i="5"/>
  <c r="AD201" i="5"/>
  <c r="AD211" i="5"/>
  <c r="AD245" i="5"/>
  <c r="AD132" i="5"/>
  <c r="AD256" i="5"/>
  <c r="AD51" i="5"/>
  <c r="AD175" i="5"/>
  <c r="AD283" i="5"/>
  <c r="AD119" i="5"/>
  <c r="AD113" i="5"/>
  <c r="AD42" i="5"/>
  <c r="AD219" i="5"/>
  <c r="AD259" i="5"/>
  <c r="AD282" i="5"/>
  <c r="AD205" i="5"/>
  <c r="AD291" i="5"/>
  <c r="AD60" i="5"/>
  <c r="AD251" i="5"/>
  <c r="AD83" i="5"/>
  <c r="AD244" i="5"/>
  <c r="AD217" i="5"/>
  <c r="AD231" i="5"/>
  <c r="AD223" i="5"/>
  <c r="AD34" i="5"/>
  <c r="AD114" i="5"/>
  <c r="AD270" i="5"/>
  <c r="AD145" i="5"/>
  <c r="AD258" i="5"/>
  <c r="AD229" i="5"/>
  <c r="AD413" i="5"/>
  <c r="AD381" i="5"/>
  <c r="AD349" i="5"/>
  <c r="AD317" i="5"/>
  <c r="AD402" i="5"/>
  <c r="AD370" i="5"/>
  <c r="AD338" i="5"/>
  <c r="AD306" i="5"/>
  <c r="AD391" i="5"/>
  <c r="AD359" i="5"/>
  <c r="AD327" i="5"/>
  <c r="AD295" i="5"/>
  <c r="AD401" i="5"/>
  <c r="AD369" i="5"/>
  <c r="AD337" i="5"/>
  <c r="AD305" i="5"/>
  <c r="AD411" i="5"/>
  <c r="AD379" i="5"/>
  <c r="AD421" i="5"/>
  <c r="AD389" i="5"/>
  <c r="AD357" i="5"/>
  <c r="AD399" i="5"/>
  <c r="AD367" i="5"/>
  <c r="AD409" i="5"/>
  <c r="AD419" i="5"/>
  <c r="AD397" i="5"/>
  <c r="AD407" i="5"/>
  <c r="AD365" i="5"/>
  <c r="AD315" i="5"/>
  <c r="AD303" i="5"/>
  <c r="AD393" i="5"/>
  <c r="AD378" i="5"/>
  <c r="AD352" i="5"/>
  <c r="AD340" i="5"/>
  <c r="AD328" i="5"/>
  <c r="AD406" i="5"/>
  <c r="AD377" i="5"/>
  <c r="AD364" i="5"/>
  <c r="AD392" i="5"/>
  <c r="AD405" i="5"/>
  <c r="AD404" i="5"/>
  <c r="AD420" i="5"/>
  <c r="AD388" i="5"/>
  <c r="AD348" i="5"/>
  <c r="AD403" i="5"/>
  <c r="AD398" i="5"/>
  <c r="AD382" i="5"/>
  <c r="AD321" i="5"/>
  <c r="AD363" i="5"/>
  <c r="AD334" i="5"/>
  <c r="AD347" i="5"/>
  <c r="AD307" i="5"/>
  <c r="AD380" i="5"/>
  <c r="AD320" i="5"/>
  <c r="AD362" i="5"/>
  <c r="AD418" i="5"/>
  <c r="AD396" i="5"/>
  <c r="AD346" i="5"/>
  <c r="AD361" i="5"/>
  <c r="AD417" i="5"/>
  <c r="AD376" i="5"/>
  <c r="AD395" i="5"/>
  <c r="AD345" i="5"/>
  <c r="AD416" i="5"/>
  <c r="AD375" i="5"/>
  <c r="AD360" i="5"/>
  <c r="AD412" i="5"/>
  <c r="AD385" i="5"/>
  <c r="AD323" i="5"/>
  <c r="AD308" i="5"/>
  <c r="AD341" i="5"/>
  <c r="AD415" i="5"/>
  <c r="AD384" i="5"/>
  <c r="AD356" i="5"/>
  <c r="AD322" i="5"/>
  <c r="AD339" i="5"/>
  <c r="AD304" i="5"/>
  <c r="AD414" i="5"/>
  <c r="AD383" i="5"/>
  <c r="AD355" i="5"/>
  <c r="AD410" i="5"/>
  <c r="AD319" i="5"/>
  <c r="AD374" i="5"/>
  <c r="AD354" i="5"/>
  <c r="AD336" i="5"/>
  <c r="AD400" i="5"/>
  <c r="AD386" i="5"/>
  <c r="AD325" i="5"/>
  <c r="AD300" i="5"/>
  <c r="AD350" i="5"/>
  <c r="AD299" i="5"/>
  <c r="AD324" i="5"/>
  <c r="AD373" i="5"/>
  <c r="AD318" i="5"/>
  <c r="AD298" i="5"/>
  <c r="AD344" i="5"/>
  <c r="AD372" i="5"/>
  <c r="AD316" i="5"/>
  <c r="AD297" i="5"/>
  <c r="AD335" i="5"/>
  <c r="AD312" i="5"/>
  <c r="AD408" i="5"/>
  <c r="AD333" i="5"/>
  <c r="AD311" i="5"/>
  <c r="AD366" i="5"/>
  <c r="AD332" i="5"/>
  <c r="AD331" i="5"/>
  <c r="AD310" i="5"/>
  <c r="AD394" i="5"/>
  <c r="AD358" i="5"/>
  <c r="AD330" i="5"/>
  <c r="AD309" i="5"/>
  <c r="AD390" i="5"/>
  <c r="AD302" i="5"/>
  <c r="AD301" i="5"/>
  <c r="AD387" i="5"/>
  <c r="AD296" i="5"/>
  <c r="AD294" i="5"/>
  <c r="AD371" i="5"/>
  <c r="AD353" i="5"/>
  <c r="AD351" i="5"/>
  <c r="AD343" i="5"/>
  <c r="AD342" i="5"/>
  <c r="AD313" i="5"/>
  <c r="AD368" i="5"/>
  <c r="AD326" i="5"/>
  <c r="AD329" i="5"/>
  <c r="AD314" i="5"/>
  <c r="AD67" i="5"/>
  <c r="AD271" i="5"/>
  <c r="AD73" i="5"/>
  <c r="AD146" i="5"/>
  <c r="AD182" i="5"/>
  <c r="AD153" i="5"/>
  <c r="AD272" i="5"/>
  <c r="AD241" i="5"/>
  <c r="AD274" i="5"/>
  <c r="AD133" i="5"/>
  <c r="AD11" i="5"/>
  <c r="AD190" i="5"/>
  <c r="AD161" i="5"/>
  <c r="AD287" i="5"/>
  <c r="AD202" i="5"/>
  <c r="AD221" i="5"/>
  <c r="AD86" i="5"/>
  <c r="AD167" i="5"/>
  <c r="AD25" i="5"/>
  <c r="AD220" i="5"/>
  <c r="AD226" i="5"/>
  <c r="AD288" i="5"/>
  <c r="AD254" i="5"/>
  <c r="AD253" i="5"/>
  <c r="AD69" i="5"/>
  <c r="AD31" i="5"/>
  <c r="AD16" i="5"/>
  <c r="AD58" i="5"/>
  <c r="AD98" i="5"/>
  <c r="AD238" i="5"/>
  <c r="AD68" i="5"/>
  <c r="AD236" i="5"/>
  <c r="AD260" i="5"/>
  <c r="AD111" i="5"/>
  <c r="AD280" i="5"/>
  <c r="AD285" i="5"/>
  <c r="AD6" i="5"/>
  <c r="AD28" i="5"/>
  <c r="AD74" i="5"/>
  <c r="AD112" i="5"/>
  <c r="AD27" i="5"/>
  <c r="AD76" i="5"/>
  <c r="AD126" i="5"/>
  <c r="AD243" i="5"/>
  <c r="AD170" i="5"/>
  <c r="AD108" i="5"/>
  <c r="AD20" i="5"/>
  <c r="AD159" i="5"/>
  <c r="AD96" i="5"/>
  <c r="AD143" i="5"/>
  <c r="AD204" i="5"/>
  <c r="AD72" i="5"/>
  <c r="AD183" i="5"/>
  <c r="AD267" i="5"/>
  <c r="AD139" i="5"/>
  <c r="AD48" i="5"/>
  <c r="AD46" i="5"/>
  <c r="AD89" i="5"/>
  <c r="AD125" i="5"/>
  <c r="AD213" i="5"/>
  <c r="AD63" i="5"/>
  <c r="AD104" i="5"/>
  <c r="AD191" i="5"/>
  <c r="AD293" i="5"/>
  <c r="AD107" i="5"/>
  <c r="AD178" i="5"/>
  <c r="AD59" i="5"/>
  <c r="AD80" i="5"/>
  <c r="AD95" i="5"/>
  <c r="AD79" i="5"/>
  <c r="AD252" i="5"/>
  <c r="AD101" i="5"/>
  <c r="AD172" i="5"/>
  <c r="AD232" i="5"/>
  <c r="AD87" i="5"/>
  <c r="AD144" i="5"/>
  <c r="AD118" i="5"/>
  <c r="AD64" i="5"/>
  <c r="AD121" i="5"/>
  <c r="AD52" i="5"/>
  <c r="AD106" i="5"/>
  <c r="AD197" i="5"/>
  <c r="AD246" i="5"/>
  <c r="AD130" i="5"/>
  <c r="AD77" i="5"/>
  <c r="AD149" i="5"/>
  <c r="AD7" i="5"/>
  <c r="AD78" i="5"/>
  <c r="AD75" i="5"/>
  <c r="AD179" i="5"/>
  <c r="AD4" i="5"/>
  <c r="AD124" i="5"/>
  <c r="AD200" i="5"/>
  <c r="AD289" i="5"/>
  <c r="AD168" i="5"/>
  <c r="AD185" i="5"/>
  <c r="AD82" i="5"/>
  <c r="AD166" i="5"/>
  <c r="AD212" i="5"/>
  <c r="AD234" i="5"/>
  <c r="AD177" i="5"/>
  <c r="AD23" i="5"/>
  <c r="AD38" i="5"/>
  <c r="AD13" i="5"/>
  <c r="AD228" i="5"/>
  <c r="AD162" i="5"/>
  <c r="AD88" i="5"/>
  <c r="AD208" i="5"/>
  <c r="AD99" i="5"/>
  <c r="AD290" i="5"/>
  <c r="AD184" i="5"/>
  <c r="U403" i="5"/>
  <c r="V403" i="5" s="1"/>
  <c r="U371" i="5"/>
  <c r="V371" i="5" s="1"/>
  <c r="U339" i="5"/>
  <c r="V339" i="5" s="1"/>
  <c r="U307" i="5"/>
  <c r="V307" i="5" s="1"/>
  <c r="U275" i="5"/>
  <c r="V275" i="5" s="1"/>
  <c r="U243" i="5"/>
  <c r="V243" i="5" s="1"/>
  <c r="U211" i="5"/>
  <c r="V211" i="5" s="1"/>
  <c r="U569" i="5"/>
  <c r="V569" i="5" s="1"/>
  <c r="U553" i="5"/>
  <c r="V553" i="5" s="1"/>
  <c r="U537" i="5"/>
  <c r="V537" i="5" s="1"/>
  <c r="U521" i="5"/>
  <c r="V521" i="5" s="1"/>
  <c r="U505" i="5"/>
  <c r="V505" i="5" s="1"/>
  <c r="U489" i="5"/>
  <c r="V489" i="5" s="1"/>
  <c r="U473" i="5"/>
  <c r="V473" i="5" s="1"/>
  <c r="U457" i="5"/>
  <c r="V457" i="5" s="1"/>
  <c r="U441" i="5"/>
  <c r="V441" i="5" s="1"/>
  <c r="U425" i="5"/>
  <c r="V425" i="5" s="1"/>
  <c r="U392" i="5"/>
  <c r="V392" i="5" s="1"/>
  <c r="U360" i="5"/>
  <c r="V360" i="5" s="1"/>
  <c r="U328" i="5"/>
  <c r="V328" i="5" s="1"/>
  <c r="U296" i="5"/>
  <c r="V296" i="5" s="1"/>
  <c r="U264" i="5"/>
  <c r="V264" i="5" s="1"/>
  <c r="U413" i="5"/>
  <c r="V413" i="5" s="1"/>
  <c r="U381" i="5"/>
  <c r="V381" i="5" s="1"/>
  <c r="U349" i="5"/>
  <c r="V349" i="5" s="1"/>
  <c r="U317" i="5"/>
  <c r="V317" i="5" s="1"/>
  <c r="U285" i="5"/>
  <c r="V285" i="5" s="1"/>
  <c r="U253" i="5"/>
  <c r="V253" i="5" s="1"/>
  <c r="U221" i="5"/>
  <c r="V221" i="5" s="1"/>
  <c r="U568" i="5"/>
  <c r="V568" i="5" s="1"/>
  <c r="U552" i="5"/>
  <c r="V552" i="5" s="1"/>
  <c r="U536" i="5"/>
  <c r="V536" i="5" s="1"/>
  <c r="U520" i="5"/>
  <c r="V520" i="5" s="1"/>
  <c r="U504" i="5"/>
  <c r="V504" i="5" s="1"/>
  <c r="U488" i="5"/>
  <c r="V488" i="5" s="1"/>
  <c r="U472" i="5"/>
  <c r="V472" i="5" s="1"/>
  <c r="U456" i="5"/>
  <c r="V456" i="5" s="1"/>
  <c r="U391" i="5"/>
  <c r="V391" i="5" s="1"/>
  <c r="U359" i="5"/>
  <c r="V359" i="5" s="1"/>
  <c r="U327" i="5"/>
  <c r="V327" i="5" s="1"/>
  <c r="U295" i="5"/>
  <c r="V295" i="5" s="1"/>
  <c r="U567" i="5"/>
  <c r="V567" i="5" s="1"/>
  <c r="U551" i="5"/>
  <c r="V551" i="5" s="1"/>
  <c r="U535" i="5"/>
  <c r="V535" i="5" s="1"/>
  <c r="U519" i="5"/>
  <c r="V519" i="5" s="1"/>
  <c r="U503" i="5"/>
  <c r="V503" i="5" s="1"/>
  <c r="U487" i="5"/>
  <c r="V487" i="5" s="1"/>
  <c r="U471" i="5"/>
  <c r="V471" i="5" s="1"/>
  <c r="U455" i="5"/>
  <c r="V455" i="5" s="1"/>
  <c r="U439" i="5"/>
  <c r="V439" i="5" s="1"/>
  <c r="U423" i="5"/>
  <c r="V423" i="5" s="1"/>
  <c r="U412" i="5"/>
  <c r="V412" i="5" s="1"/>
  <c r="U401" i="5"/>
  <c r="V401" i="5" s="1"/>
  <c r="U369" i="5"/>
  <c r="V369" i="5" s="1"/>
  <c r="U566" i="5"/>
  <c r="V566" i="5" s="1"/>
  <c r="U550" i="5"/>
  <c r="V550" i="5" s="1"/>
  <c r="U534" i="5"/>
  <c r="V534" i="5" s="1"/>
  <c r="U518" i="5"/>
  <c r="V518" i="5" s="1"/>
  <c r="U502" i="5"/>
  <c r="V502" i="5" s="1"/>
  <c r="U486" i="5"/>
  <c r="V486" i="5" s="1"/>
  <c r="U470" i="5"/>
  <c r="V470" i="5" s="1"/>
  <c r="U411" i="5"/>
  <c r="V411" i="5" s="1"/>
  <c r="U379" i="5"/>
  <c r="V379" i="5" s="1"/>
  <c r="U565" i="5"/>
  <c r="V565" i="5" s="1"/>
  <c r="U549" i="5"/>
  <c r="V549" i="5" s="1"/>
  <c r="U533" i="5"/>
  <c r="V533" i="5" s="1"/>
  <c r="U517" i="5"/>
  <c r="V517" i="5" s="1"/>
  <c r="U501" i="5"/>
  <c r="V501" i="5" s="1"/>
  <c r="U485" i="5"/>
  <c r="V485" i="5" s="1"/>
  <c r="U469" i="5"/>
  <c r="V469" i="5" s="1"/>
  <c r="U421" i="5"/>
  <c r="V421" i="5" s="1"/>
  <c r="U389" i="5"/>
  <c r="V389" i="5" s="1"/>
  <c r="U357" i="5"/>
  <c r="V357" i="5" s="1"/>
  <c r="U564" i="5"/>
  <c r="V564" i="5" s="1"/>
  <c r="U548" i="5"/>
  <c r="V548" i="5" s="1"/>
  <c r="U532" i="5"/>
  <c r="V532" i="5" s="1"/>
  <c r="U516" i="5"/>
  <c r="V516" i="5" s="1"/>
  <c r="U500" i="5"/>
  <c r="V500" i="5" s="1"/>
  <c r="U409" i="5"/>
  <c r="V409" i="5" s="1"/>
  <c r="U562" i="5"/>
  <c r="V562" i="5" s="1"/>
  <c r="U546" i="5"/>
  <c r="V546" i="5" s="1"/>
  <c r="U530" i="5"/>
  <c r="V530" i="5" s="1"/>
  <c r="U514" i="5"/>
  <c r="V514" i="5" s="1"/>
  <c r="U419" i="5"/>
  <c r="V419" i="5" s="1"/>
  <c r="U561" i="5"/>
  <c r="V561" i="5" s="1"/>
  <c r="U545" i="5"/>
  <c r="V545" i="5" s="1"/>
  <c r="U529" i="5"/>
  <c r="V529" i="5" s="1"/>
  <c r="U560" i="5"/>
  <c r="V560" i="5" s="1"/>
  <c r="U559" i="5"/>
  <c r="V559" i="5" s="1"/>
  <c r="U417" i="5"/>
  <c r="V417" i="5" s="1"/>
  <c r="U558" i="5"/>
  <c r="V558" i="5" s="1"/>
  <c r="U563" i="5"/>
  <c r="V563" i="5" s="1"/>
  <c r="U490" i="5"/>
  <c r="V490" i="5" s="1"/>
  <c r="U458" i="5"/>
  <c r="V458" i="5" s="1"/>
  <c r="U394" i="5"/>
  <c r="V394" i="5" s="1"/>
  <c r="U353" i="5"/>
  <c r="V353" i="5" s="1"/>
  <c r="U341" i="5"/>
  <c r="V341" i="5" s="1"/>
  <c r="U329" i="5"/>
  <c r="V329" i="5" s="1"/>
  <c r="U280" i="5"/>
  <c r="V280" i="5" s="1"/>
  <c r="U234" i="5"/>
  <c r="V234" i="5" s="1"/>
  <c r="U201" i="5"/>
  <c r="V201" i="5" s="1"/>
  <c r="U184" i="5"/>
  <c r="V184" i="5" s="1"/>
  <c r="U169" i="5"/>
  <c r="V169" i="5" s="1"/>
  <c r="U152" i="5"/>
  <c r="V152" i="5" s="1"/>
  <c r="U523" i="5"/>
  <c r="V523" i="5" s="1"/>
  <c r="U484" i="5"/>
  <c r="V484" i="5" s="1"/>
  <c r="U454" i="5"/>
  <c r="V454" i="5" s="1"/>
  <c r="U428" i="5"/>
  <c r="V428" i="5" s="1"/>
  <c r="U407" i="5"/>
  <c r="V407" i="5" s="1"/>
  <c r="U268" i="5"/>
  <c r="V268" i="5" s="1"/>
  <c r="U245" i="5"/>
  <c r="V245" i="5" s="1"/>
  <c r="U483" i="5"/>
  <c r="V483" i="5" s="1"/>
  <c r="U453" i="5"/>
  <c r="V453" i="5" s="1"/>
  <c r="U378" i="5"/>
  <c r="V378" i="5" s="1"/>
  <c r="U365" i="5"/>
  <c r="V365" i="5" s="1"/>
  <c r="U315" i="5"/>
  <c r="V315" i="5" s="1"/>
  <c r="U557" i="5"/>
  <c r="V557" i="5" s="1"/>
  <c r="U522" i="5"/>
  <c r="V522" i="5" s="1"/>
  <c r="U482" i="5"/>
  <c r="V482" i="5" s="1"/>
  <c r="U452" i="5"/>
  <c r="V452" i="5" s="1"/>
  <c r="U427" i="5"/>
  <c r="V427" i="5" s="1"/>
  <c r="U393" i="5"/>
  <c r="V393" i="5" s="1"/>
  <c r="U515" i="5"/>
  <c r="V515" i="5" s="1"/>
  <c r="U481" i="5"/>
  <c r="V481" i="5" s="1"/>
  <c r="U451" i="5"/>
  <c r="V451" i="5" s="1"/>
  <c r="U406" i="5"/>
  <c r="V406" i="5" s="1"/>
  <c r="U556" i="5"/>
  <c r="V556" i="5" s="1"/>
  <c r="U513" i="5"/>
  <c r="V513" i="5" s="1"/>
  <c r="U480" i="5"/>
  <c r="V480" i="5" s="1"/>
  <c r="U450" i="5"/>
  <c r="V450" i="5" s="1"/>
  <c r="U426" i="5"/>
  <c r="V426" i="5" s="1"/>
  <c r="U512" i="5"/>
  <c r="V512" i="5" s="1"/>
  <c r="U449" i="5"/>
  <c r="V449" i="5" s="1"/>
  <c r="U424" i="5"/>
  <c r="V424" i="5" s="1"/>
  <c r="U555" i="5"/>
  <c r="V555" i="5" s="1"/>
  <c r="U479" i="5"/>
  <c r="V479" i="5" s="1"/>
  <c r="U448" i="5"/>
  <c r="V448" i="5" s="1"/>
  <c r="U422" i="5"/>
  <c r="V422" i="5" s="1"/>
  <c r="U405" i="5"/>
  <c r="V405" i="5" s="1"/>
  <c r="U511" i="5"/>
  <c r="V511" i="5" s="1"/>
  <c r="U478" i="5"/>
  <c r="V478" i="5" s="1"/>
  <c r="U376" i="5"/>
  <c r="V376" i="5" s="1"/>
  <c r="U554" i="5"/>
  <c r="V554" i="5" s="1"/>
  <c r="U510" i="5"/>
  <c r="V510" i="5" s="1"/>
  <c r="U447" i="5"/>
  <c r="V447" i="5" s="1"/>
  <c r="U547" i="5"/>
  <c r="V547" i="5" s="1"/>
  <c r="U477" i="5"/>
  <c r="V477" i="5" s="1"/>
  <c r="U446" i="5"/>
  <c r="V446" i="5" s="1"/>
  <c r="U420" i="5"/>
  <c r="V420" i="5" s="1"/>
  <c r="U404" i="5"/>
  <c r="V404" i="5" s="1"/>
  <c r="U265" i="5"/>
  <c r="V265" i="5" s="1"/>
  <c r="U544" i="5"/>
  <c r="V544" i="5" s="1"/>
  <c r="U509" i="5"/>
  <c r="V509" i="5" s="1"/>
  <c r="U476" i="5"/>
  <c r="V476" i="5" s="1"/>
  <c r="U445" i="5"/>
  <c r="V445" i="5" s="1"/>
  <c r="U506" i="5"/>
  <c r="V506" i="5" s="1"/>
  <c r="U498" i="5"/>
  <c r="V498" i="5" s="1"/>
  <c r="U539" i="5"/>
  <c r="V539" i="5" s="1"/>
  <c r="U496" i="5"/>
  <c r="V496" i="5" s="1"/>
  <c r="U543" i="5"/>
  <c r="V543" i="5" s="1"/>
  <c r="U475" i="5"/>
  <c r="V475" i="5" s="1"/>
  <c r="U364" i="5"/>
  <c r="V364" i="5" s="1"/>
  <c r="U350" i="5"/>
  <c r="V350" i="5" s="1"/>
  <c r="U335" i="5"/>
  <c r="V335" i="5" s="1"/>
  <c r="U294" i="5"/>
  <c r="V294" i="5" s="1"/>
  <c r="U200" i="5"/>
  <c r="V200" i="5" s="1"/>
  <c r="U159" i="5"/>
  <c r="V159" i="5" s="1"/>
  <c r="U150" i="5"/>
  <c r="V150" i="5" s="1"/>
  <c r="U542" i="5"/>
  <c r="V542" i="5" s="1"/>
  <c r="U431" i="5"/>
  <c r="V431" i="5" s="1"/>
  <c r="U348" i="5"/>
  <c r="V348" i="5" s="1"/>
  <c r="U308" i="5"/>
  <c r="V308" i="5" s="1"/>
  <c r="U281" i="5"/>
  <c r="V281" i="5" s="1"/>
  <c r="U255" i="5"/>
  <c r="V255" i="5" s="1"/>
  <c r="U141" i="5"/>
  <c r="V141" i="5" s="1"/>
  <c r="U119" i="5"/>
  <c r="V119" i="5" s="1"/>
  <c r="U106" i="5"/>
  <c r="V106" i="5" s="1"/>
  <c r="U474" i="5"/>
  <c r="V474" i="5" s="1"/>
  <c r="U430" i="5"/>
  <c r="V430" i="5" s="1"/>
  <c r="U398" i="5"/>
  <c r="V398" i="5" s="1"/>
  <c r="U382" i="5"/>
  <c r="V382" i="5" s="1"/>
  <c r="U321" i="5"/>
  <c r="V321" i="5" s="1"/>
  <c r="U242" i="5"/>
  <c r="V242" i="5" s="1"/>
  <c r="U230" i="5"/>
  <c r="V230" i="5" s="1"/>
  <c r="U218" i="5"/>
  <c r="V218" i="5" s="1"/>
  <c r="U206" i="5"/>
  <c r="V206" i="5" s="1"/>
  <c r="U193" i="5"/>
  <c r="V193" i="5" s="1"/>
  <c r="U177" i="5"/>
  <c r="V177" i="5" s="1"/>
  <c r="U168" i="5"/>
  <c r="V168" i="5" s="1"/>
  <c r="U541" i="5"/>
  <c r="V541" i="5" s="1"/>
  <c r="U468" i="5"/>
  <c r="V468" i="5" s="1"/>
  <c r="U363" i="5"/>
  <c r="V363" i="5" s="1"/>
  <c r="U334" i="5"/>
  <c r="V334" i="5" s="1"/>
  <c r="U293" i="5"/>
  <c r="V293" i="5" s="1"/>
  <c r="U267" i="5"/>
  <c r="V267" i="5" s="1"/>
  <c r="U108" i="5"/>
  <c r="V108" i="5" s="1"/>
  <c r="U540" i="5"/>
  <c r="V540" i="5" s="1"/>
  <c r="U467" i="5"/>
  <c r="V467" i="5" s="1"/>
  <c r="U429" i="5"/>
  <c r="V429" i="5" s="1"/>
  <c r="U397" i="5"/>
  <c r="V397" i="5" s="1"/>
  <c r="U380" i="5"/>
  <c r="V380" i="5" s="1"/>
  <c r="U538" i="5"/>
  <c r="V538" i="5" s="1"/>
  <c r="U466" i="5"/>
  <c r="V466" i="5" s="1"/>
  <c r="U362" i="5"/>
  <c r="V362" i="5" s="1"/>
  <c r="U531" i="5"/>
  <c r="V531" i="5" s="1"/>
  <c r="U465" i="5"/>
  <c r="V465" i="5" s="1"/>
  <c r="U418" i="5"/>
  <c r="V418" i="5" s="1"/>
  <c r="U377" i="5"/>
  <c r="V377" i="5" s="1"/>
  <c r="U333" i="5"/>
  <c r="V333" i="5" s="1"/>
  <c r="U528" i="5"/>
  <c r="V528" i="5" s="1"/>
  <c r="U464" i="5"/>
  <c r="V464" i="5" s="1"/>
  <c r="U396" i="5"/>
  <c r="V396" i="5" s="1"/>
  <c r="U361" i="5"/>
  <c r="V361" i="5" s="1"/>
  <c r="U319" i="5"/>
  <c r="V319" i="5" s="1"/>
  <c r="U527" i="5"/>
  <c r="V527" i="5" s="1"/>
  <c r="U463" i="5"/>
  <c r="V463" i="5" s="1"/>
  <c r="U526" i="5"/>
  <c r="V526" i="5" s="1"/>
  <c r="U462" i="5"/>
  <c r="V462" i="5" s="1"/>
  <c r="U395" i="5"/>
  <c r="V395" i="5" s="1"/>
  <c r="U375" i="5"/>
  <c r="V375" i="5" s="1"/>
  <c r="U416" i="5"/>
  <c r="V416" i="5" s="1"/>
  <c r="U507" i="5"/>
  <c r="V507" i="5" s="1"/>
  <c r="U414" i="5"/>
  <c r="V414" i="5" s="1"/>
  <c r="U497" i="5"/>
  <c r="V497" i="5" s="1"/>
  <c r="U495" i="5"/>
  <c r="V495" i="5" s="1"/>
  <c r="U525" i="5"/>
  <c r="V525" i="5" s="1"/>
  <c r="U433" i="5"/>
  <c r="V433" i="5" s="1"/>
  <c r="U342" i="5"/>
  <c r="V342" i="5" s="1"/>
  <c r="U291" i="5"/>
  <c r="V291" i="5" s="1"/>
  <c r="U277" i="5"/>
  <c r="V277" i="5" s="1"/>
  <c r="U235" i="5"/>
  <c r="V235" i="5" s="1"/>
  <c r="U207" i="5"/>
  <c r="V207" i="5" s="1"/>
  <c r="U143" i="5"/>
  <c r="V143" i="5" s="1"/>
  <c r="U131" i="5"/>
  <c r="V131" i="5" s="1"/>
  <c r="U114" i="5"/>
  <c r="V114" i="5" s="1"/>
  <c r="U432" i="5"/>
  <c r="V432" i="5" s="1"/>
  <c r="U358" i="5"/>
  <c r="V358" i="5" s="1"/>
  <c r="U306" i="5"/>
  <c r="V306" i="5" s="1"/>
  <c r="U248" i="5"/>
  <c r="V248" i="5" s="1"/>
  <c r="U220" i="5"/>
  <c r="V220" i="5" s="1"/>
  <c r="U524" i="5"/>
  <c r="V524" i="5" s="1"/>
  <c r="U385" i="5"/>
  <c r="V385" i="5" s="1"/>
  <c r="U323" i="5"/>
  <c r="V323" i="5" s="1"/>
  <c r="U276" i="5"/>
  <c r="V276" i="5" s="1"/>
  <c r="U261" i="5"/>
  <c r="V261" i="5" s="1"/>
  <c r="U508" i="5"/>
  <c r="V508" i="5" s="1"/>
  <c r="U340" i="5"/>
  <c r="V340" i="5" s="1"/>
  <c r="U305" i="5"/>
  <c r="V305" i="5" s="1"/>
  <c r="U415" i="5"/>
  <c r="V415" i="5" s="1"/>
  <c r="U247" i="5"/>
  <c r="V247" i="5" s="1"/>
  <c r="U499" i="5"/>
  <c r="V499" i="5" s="1"/>
  <c r="U384" i="5"/>
  <c r="V384" i="5" s="1"/>
  <c r="U356" i="5"/>
  <c r="V356" i="5" s="1"/>
  <c r="U322" i="5"/>
  <c r="V322" i="5" s="1"/>
  <c r="U274" i="5"/>
  <c r="V274" i="5" s="1"/>
  <c r="U260" i="5"/>
  <c r="V260" i="5" s="1"/>
  <c r="U204" i="5"/>
  <c r="V204" i="5" s="1"/>
  <c r="U338" i="5"/>
  <c r="V338" i="5" s="1"/>
  <c r="U304" i="5"/>
  <c r="V304" i="5" s="1"/>
  <c r="U289" i="5"/>
  <c r="V289" i="5" s="1"/>
  <c r="U494" i="5"/>
  <c r="V494" i="5" s="1"/>
  <c r="U320" i="5"/>
  <c r="V320" i="5" s="1"/>
  <c r="U303" i="5"/>
  <c r="V303" i="5" s="1"/>
  <c r="U246" i="5"/>
  <c r="V246" i="5" s="1"/>
  <c r="U383" i="5"/>
  <c r="V383" i="5" s="1"/>
  <c r="U355" i="5"/>
  <c r="V355" i="5" s="1"/>
  <c r="U337" i="5"/>
  <c r="V337" i="5" s="1"/>
  <c r="U493" i="5"/>
  <c r="V493" i="5" s="1"/>
  <c r="U410" i="5"/>
  <c r="V410" i="5" s="1"/>
  <c r="U216" i="5"/>
  <c r="V216" i="5" s="1"/>
  <c r="U461" i="5"/>
  <c r="V461" i="5" s="1"/>
  <c r="U400" i="5"/>
  <c r="V400" i="5" s="1"/>
  <c r="U399" i="5"/>
  <c r="V399" i="5" s="1"/>
  <c r="U459" i="5"/>
  <c r="V459" i="5" s="1"/>
  <c r="U444" i="5"/>
  <c r="V444" i="5" s="1"/>
  <c r="U387" i="5"/>
  <c r="V387" i="5" s="1"/>
  <c r="U326" i="5"/>
  <c r="V326" i="5" s="1"/>
  <c r="U301" i="5"/>
  <c r="V301" i="5" s="1"/>
  <c r="U263" i="5"/>
  <c r="V263" i="5" s="1"/>
  <c r="U228" i="5"/>
  <c r="V228" i="5" s="1"/>
  <c r="U178" i="5"/>
  <c r="V178" i="5" s="1"/>
  <c r="U130" i="5"/>
  <c r="V130" i="5" s="1"/>
  <c r="U492" i="5"/>
  <c r="V492" i="5" s="1"/>
  <c r="U351" i="5"/>
  <c r="V351" i="5" s="1"/>
  <c r="U213" i="5"/>
  <c r="V213" i="5" s="1"/>
  <c r="U186" i="5"/>
  <c r="V186" i="5" s="1"/>
  <c r="U156" i="5"/>
  <c r="V156" i="5" s="1"/>
  <c r="U135" i="5"/>
  <c r="V135" i="5" s="1"/>
  <c r="U300" i="5"/>
  <c r="V300" i="5" s="1"/>
  <c r="U282" i="5"/>
  <c r="V282" i="5" s="1"/>
  <c r="U244" i="5"/>
  <c r="V244" i="5" s="1"/>
  <c r="U189" i="5"/>
  <c r="V189" i="5" s="1"/>
  <c r="U175" i="5"/>
  <c r="V175" i="5" s="1"/>
  <c r="U117" i="5"/>
  <c r="V117" i="5" s="1"/>
  <c r="U109" i="5"/>
  <c r="V109" i="5" s="1"/>
  <c r="U491" i="5"/>
  <c r="V491" i="5" s="1"/>
  <c r="U386" i="5"/>
  <c r="V386" i="5" s="1"/>
  <c r="U325" i="5"/>
  <c r="V325" i="5" s="1"/>
  <c r="U262" i="5"/>
  <c r="V262" i="5" s="1"/>
  <c r="U227" i="5"/>
  <c r="V227" i="5" s="1"/>
  <c r="U164" i="5"/>
  <c r="V164" i="5" s="1"/>
  <c r="U347" i="5"/>
  <c r="V347" i="5" s="1"/>
  <c r="U212" i="5"/>
  <c r="V212" i="5" s="1"/>
  <c r="U197" i="5"/>
  <c r="V197" i="5" s="1"/>
  <c r="U183" i="5"/>
  <c r="V183" i="5" s="1"/>
  <c r="U172" i="5"/>
  <c r="V172" i="5" s="1"/>
  <c r="U148" i="5"/>
  <c r="V148" i="5" s="1"/>
  <c r="U122" i="5"/>
  <c r="V122" i="5" s="1"/>
  <c r="U374" i="5"/>
  <c r="V374" i="5" s="1"/>
  <c r="U346" i="5"/>
  <c r="V346" i="5" s="1"/>
  <c r="U324" i="5"/>
  <c r="V324" i="5" s="1"/>
  <c r="U299" i="5"/>
  <c r="V299" i="5" s="1"/>
  <c r="U279" i="5"/>
  <c r="V279" i="5" s="1"/>
  <c r="U241" i="5"/>
  <c r="V241" i="5" s="1"/>
  <c r="U161" i="5"/>
  <c r="V161" i="5" s="1"/>
  <c r="U145" i="5"/>
  <c r="V145" i="5" s="1"/>
  <c r="U140" i="5"/>
  <c r="V140" i="5" s="1"/>
  <c r="U460" i="5"/>
  <c r="V460" i="5" s="1"/>
  <c r="U259" i="5"/>
  <c r="V259" i="5" s="1"/>
  <c r="U226" i="5"/>
  <c r="V226" i="5" s="1"/>
  <c r="U210" i="5"/>
  <c r="V210" i="5" s="1"/>
  <c r="U153" i="5"/>
  <c r="V153" i="5" s="1"/>
  <c r="U345" i="5"/>
  <c r="V345" i="5" s="1"/>
  <c r="U194" i="5"/>
  <c r="V194" i="5" s="1"/>
  <c r="U132" i="5"/>
  <c r="V132" i="5" s="1"/>
  <c r="U443" i="5"/>
  <c r="V443" i="5" s="1"/>
  <c r="U373" i="5"/>
  <c r="V373" i="5" s="1"/>
  <c r="U318" i="5"/>
  <c r="V318" i="5" s="1"/>
  <c r="U298" i="5"/>
  <c r="V298" i="5" s="1"/>
  <c r="U278" i="5"/>
  <c r="V278" i="5" s="1"/>
  <c r="U258" i="5"/>
  <c r="V258" i="5" s="1"/>
  <c r="U240" i="5"/>
  <c r="V240" i="5" s="1"/>
  <c r="U225" i="5"/>
  <c r="V225" i="5" s="1"/>
  <c r="U209" i="5"/>
  <c r="V209" i="5" s="1"/>
  <c r="U442" i="5"/>
  <c r="V442" i="5" s="1"/>
  <c r="U344" i="5"/>
  <c r="V344" i="5" s="1"/>
  <c r="U316" i="5"/>
  <c r="V316" i="5" s="1"/>
  <c r="U202" i="5"/>
  <c r="V202" i="5" s="1"/>
  <c r="U191" i="5"/>
  <c r="V191" i="5" s="1"/>
  <c r="U188" i="5"/>
  <c r="V188" i="5" s="1"/>
  <c r="U180" i="5"/>
  <c r="V180" i="5" s="1"/>
  <c r="U158" i="5"/>
  <c r="V158" i="5" s="1"/>
  <c r="U111" i="5"/>
  <c r="V111" i="5" s="1"/>
  <c r="U368" i="5"/>
  <c r="V368" i="5" s="1"/>
  <c r="U237" i="5"/>
  <c r="V237" i="5" s="1"/>
  <c r="U160" i="5"/>
  <c r="V160" i="5" s="1"/>
  <c r="U312" i="5"/>
  <c r="V312" i="5" s="1"/>
  <c r="U292" i="5"/>
  <c r="V292" i="5" s="1"/>
  <c r="U271" i="5"/>
  <c r="V271" i="5" s="1"/>
  <c r="U252" i="5"/>
  <c r="V252" i="5" s="1"/>
  <c r="U179" i="5"/>
  <c r="V179" i="5" s="1"/>
  <c r="U139" i="5"/>
  <c r="V139" i="5" s="1"/>
  <c r="U408" i="5"/>
  <c r="V408" i="5" s="1"/>
  <c r="U367" i="5"/>
  <c r="V367" i="5" s="1"/>
  <c r="U290" i="5"/>
  <c r="V290" i="5" s="1"/>
  <c r="U288" i="5"/>
  <c r="V288" i="5" s="1"/>
  <c r="U236" i="5"/>
  <c r="V236" i="5" s="1"/>
  <c r="U190" i="5"/>
  <c r="V190" i="5" s="1"/>
  <c r="U182" i="5"/>
  <c r="V182" i="5" s="1"/>
  <c r="U402" i="5"/>
  <c r="V402" i="5" s="1"/>
  <c r="U332" i="5"/>
  <c r="V332" i="5" s="1"/>
  <c r="U311" i="5"/>
  <c r="V311" i="5" s="1"/>
  <c r="U270" i="5"/>
  <c r="V270" i="5" s="1"/>
  <c r="U251" i="5"/>
  <c r="V251" i="5" s="1"/>
  <c r="U219" i="5"/>
  <c r="V219" i="5" s="1"/>
  <c r="U165" i="5"/>
  <c r="V165" i="5" s="1"/>
  <c r="U366" i="5"/>
  <c r="V366" i="5" s="1"/>
  <c r="U287" i="5"/>
  <c r="V287" i="5" s="1"/>
  <c r="U217" i="5"/>
  <c r="V217" i="5" s="1"/>
  <c r="U136" i="5"/>
  <c r="V136" i="5" s="1"/>
  <c r="U331" i="5"/>
  <c r="V331" i="5" s="1"/>
  <c r="U310" i="5"/>
  <c r="V310" i="5" s="1"/>
  <c r="U269" i="5"/>
  <c r="V269" i="5" s="1"/>
  <c r="U250" i="5"/>
  <c r="V250" i="5" s="1"/>
  <c r="U286" i="5"/>
  <c r="V286" i="5" s="1"/>
  <c r="U232" i="5"/>
  <c r="V232" i="5" s="1"/>
  <c r="U354" i="5"/>
  <c r="V354" i="5" s="1"/>
  <c r="U388" i="5"/>
  <c r="V388" i="5" s="1"/>
  <c r="U302" i="5"/>
  <c r="V302" i="5" s="1"/>
  <c r="U440" i="5"/>
  <c r="V440" i="5" s="1"/>
  <c r="U214" i="5"/>
  <c r="V214" i="5" s="1"/>
  <c r="U199" i="5"/>
  <c r="V199" i="5" s="1"/>
  <c r="U174" i="5"/>
  <c r="V174" i="5" s="1"/>
  <c r="U126" i="5"/>
  <c r="V126" i="5" s="1"/>
  <c r="U438" i="5"/>
  <c r="V438" i="5" s="1"/>
  <c r="U313" i="5"/>
  <c r="V313" i="5" s="1"/>
  <c r="U118" i="5"/>
  <c r="V118" i="5" s="1"/>
  <c r="U437" i="5"/>
  <c r="V437" i="5" s="1"/>
  <c r="U309" i="5"/>
  <c r="V309" i="5" s="1"/>
  <c r="U249" i="5"/>
  <c r="V249" i="5" s="1"/>
  <c r="U147" i="5"/>
  <c r="V147" i="5" s="1"/>
  <c r="U436" i="5"/>
  <c r="V436" i="5" s="1"/>
  <c r="U208" i="5"/>
  <c r="V208" i="5" s="1"/>
  <c r="U107" i="5"/>
  <c r="V107" i="5" s="1"/>
  <c r="U435" i="5"/>
  <c r="V435" i="5" s="1"/>
  <c r="U157" i="5"/>
  <c r="V157" i="5" s="1"/>
  <c r="U434" i="5"/>
  <c r="V434" i="5" s="1"/>
  <c r="U173" i="5"/>
  <c r="V173" i="5" s="1"/>
  <c r="U138" i="5"/>
  <c r="V138" i="5" s="1"/>
  <c r="U110" i="5"/>
  <c r="V110" i="5" s="1"/>
  <c r="U390" i="5"/>
  <c r="V390" i="5" s="1"/>
  <c r="U297" i="5"/>
  <c r="V297" i="5" s="1"/>
  <c r="U198" i="5"/>
  <c r="V198" i="5" s="1"/>
  <c r="U192" i="5"/>
  <c r="V192" i="5" s="1"/>
  <c r="U162" i="5"/>
  <c r="V162" i="5" s="1"/>
  <c r="U142" i="5"/>
  <c r="V142" i="5" s="1"/>
  <c r="U129" i="5"/>
  <c r="V129" i="5" s="1"/>
  <c r="U121" i="5"/>
  <c r="V121" i="5" s="1"/>
  <c r="U239" i="5"/>
  <c r="V239" i="5" s="1"/>
  <c r="U205" i="5"/>
  <c r="V205" i="5" s="1"/>
  <c r="U185" i="5"/>
  <c r="V185" i="5" s="1"/>
  <c r="U137" i="5"/>
  <c r="V137" i="5" s="1"/>
  <c r="U372" i="5"/>
  <c r="V372" i="5" s="1"/>
  <c r="U133" i="5"/>
  <c r="V133" i="5" s="1"/>
  <c r="U125" i="5"/>
  <c r="V125" i="5" s="1"/>
  <c r="U238" i="5"/>
  <c r="V238" i="5" s="1"/>
  <c r="U167" i="5"/>
  <c r="V167" i="5" s="1"/>
  <c r="U113" i="5"/>
  <c r="V113" i="5" s="1"/>
  <c r="U370" i="5"/>
  <c r="V370" i="5" s="1"/>
  <c r="U151" i="5"/>
  <c r="V151" i="5" s="1"/>
  <c r="U155" i="5"/>
  <c r="V155" i="5" s="1"/>
  <c r="U124" i="5"/>
  <c r="V124" i="5" s="1"/>
  <c r="U352" i="5"/>
  <c r="V352" i="5" s="1"/>
  <c r="U283" i="5"/>
  <c r="V283" i="5" s="1"/>
  <c r="U231" i="5"/>
  <c r="V231" i="5" s="1"/>
  <c r="U229" i="5"/>
  <c r="V229" i="5" s="1"/>
  <c r="U196" i="5"/>
  <c r="V196" i="5" s="1"/>
  <c r="U171" i="5"/>
  <c r="V171" i="5" s="1"/>
  <c r="U128" i="5"/>
  <c r="V128" i="5" s="1"/>
  <c r="U120" i="5"/>
  <c r="V120" i="5" s="1"/>
  <c r="U273" i="5"/>
  <c r="V273" i="5" s="1"/>
  <c r="U105" i="5"/>
  <c r="V105" i="5" s="1"/>
  <c r="U272" i="5"/>
  <c r="V272" i="5" s="1"/>
  <c r="U224" i="5"/>
  <c r="V224" i="5" s="1"/>
  <c r="U176" i="5"/>
  <c r="V176" i="5" s="1"/>
  <c r="U170" i="5"/>
  <c r="V170" i="5" s="1"/>
  <c r="U154" i="5"/>
  <c r="V154" i="5" s="1"/>
  <c r="U149" i="5"/>
  <c r="V149" i="5" s="1"/>
  <c r="U123" i="5"/>
  <c r="V123" i="5" s="1"/>
  <c r="U336" i="5"/>
  <c r="V336" i="5" s="1"/>
  <c r="U266" i="5"/>
  <c r="V266" i="5" s="1"/>
  <c r="U127" i="5"/>
  <c r="V127" i="5" s="1"/>
  <c r="U112" i="5"/>
  <c r="V112" i="5" s="1"/>
  <c r="U330" i="5"/>
  <c r="V330" i="5" s="1"/>
  <c r="U223" i="5"/>
  <c r="V223" i="5" s="1"/>
  <c r="U256" i="5"/>
  <c r="V256" i="5" s="1"/>
  <c r="U215" i="5"/>
  <c r="V215" i="5" s="1"/>
  <c r="U314" i="5"/>
  <c r="V314" i="5" s="1"/>
  <c r="U254" i="5"/>
  <c r="V254" i="5" s="1"/>
  <c r="U343" i="5"/>
  <c r="V343" i="5" s="1"/>
  <c r="U195" i="5"/>
  <c r="V195" i="5" s="1"/>
  <c r="U115" i="5"/>
  <c r="V115" i="5" s="1"/>
  <c r="U116" i="5"/>
  <c r="V116" i="5" s="1"/>
  <c r="U284" i="5"/>
  <c r="V284" i="5" s="1"/>
  <c r="U166" i="5"/>
  <c r="V166" i="5" s="1"/>
  <c r="U257" i="5"/>
  <c r="V257" i="5" s="1"/>
  <c r="U187" i="5"/>
  <c r="V187" i="5" s="1"/>
  <c r="U233" i="5"/>
  <c r="V233" i="5" s="1"/>
  <c r="U163" i="5"/>
  <c r="V163" i="5" s="1"/>
  <c r="U134" i="5"/>
  <c r="V134" i="5" s="1"/>
  <c r="U222" i="5"/>
  <c r="V222" i="5" s="1"/>
  <c r="U146" i="5"/>
  <c r="V146" i="5" s="1"/>
  <c r="U181" i="5"/>
  <c r="V181" i="5" s="1"/>
  <c r="U144" i="5"/>
  <c r="V144" i="5" s="1"/>
  <c r="U203" i="5"/>
  <c r="V203" i="5" s="1"/>
  <c r="AD281" i="5"/>
  <c r="AD273" i="5"/>
  <c r="AD192" i="5"/>
  <c r="AD97" i="5"/>
  <c r="AD224" i="5"/>
  <c r="AD140" i="5"/>
  <c r="AD39" i="5"/>
  <c r="AD193" i="5"/>
  <c r="AD141" i="5"/>
  <c r="AD123" i="5"/>
  <c r="AD21" i="5"/>
  <c r="AD215" i="5"/>
  <c r="AD50" i="5"/>
  <c r="AD71" i="5"/>
  <c r="AD40" i="5"/>
  <c r="AD102" i="5"/>
  <c r="AD198" i="5"/>
  <c r="AD147" i="5"/>
  <c r="AD137" i="5"/>
  <c r="AD3" i="5"/>
  <c r="AD41" i="5"/>
  <c r="AD206" i="5"/>
  <c r="AD207" i="5"/>
  <c r="AD284" i="5"/>
  <c r="AD150" i="5"/>
  <c r="AD70" i="5"/>
  <c r="AD43" i="5"/>
  <c r="AD218" i="5"/>
  <c r="U403" i="4"/>
  <c r="V403" i="4" s="1"/>
  <c r="U371" i="4"/>
  <c r="V371" i="4" s="1"/>
  <c r="U339" i="4"/>
  <c r="V339" i="4" s="1"/>
  <c r="U307" i="4"/>
  <c r="V307" i="4" s="1"/>
  <c r="U275" i="4"/>
  <c r="V275" i="4" s="1"/>
  <c r="U243" i="4"/>
  <c r="V243" i="4" s="1"/>
  <c r="U211" i="4"/>
  <c r="V211" i="4" s="1"/>
  <c r="U179" i="4"/>
  <c r="V179" i="4" s="1"/>
  <c r="U165" i="4"/>
  <c r="V165" i="4" s="1"/>
  <c r="U149" i="4"/>
  <c r="V149" i="4" s="1"/>
  <c r="U133" i="4"/>
  <c r="V133" i="4" s="1"/>
  <c r="U117" i="4"/>
  <c r="V117" i="4" s="1"/>
  <c r="U101" i="4"/>
  <c r="V101" i="4" s="1"/>
  <c r="U85" i="4"/>
  <c r="V85" i="4" s="1"/>
  <c r="U69" i="4"/>
  <c r="V69" i="4" s="1"/>
  <c r="U569" i="4"/>
  <c r="V569" i="4" s="1"/>
  <c r="U553" i="4"/>
  <c r="V553" i="4" s="1"/>
  <c r="U537" i="4"/>
  <c r="V537" i="4" s="1"/>
  <c r="U521" i="4"/>
  <c r="V521" i="4" s="1"/>
  <c r="U505" i="4"/>
  <c r="V505" i="4" s="1"/>
  <c r="U489" i="4"/>
  <c r="V489" i="4" s="1"/>
  <c r="U473" i="4"/>
  <c r="V473" i="4" s="1"/>
  <c r="U457" i="4"/>
  <c r="V457" i="4" s="1"/>
  <c r="U441" i="4"/>
  <c r="V441" i="4" s="1"/>
  <c r="U425" i="4"/>
  <c r="V425" i="4" s="1"/>
  <c r="U392" i="4"/>
  <c r="V392" i="4" s="1"/>
  <c r="U360" i="4"/>
  <c r="V360" i="4" s="1"/>
  <c r="U328" i="4"/>
  <c r="V328" i="4" s="1"/>
  <c r="U296" i="4"/>
  <c r="V296" i="4" s="1"/>
  <c r="U264" i="4"/>
  <c r="V264" i="4" s="1"/>
  <c r="U232" i="4"/>
  <c r="V232" i="4" s="1"/>
  <c r="U200" i="4"/>
  <c r="V200" i="4" s="1"/>
  <c r="U168" i="4"/>
  <c r="V168" i="4" s="1"/>
  <c r="U413" i="4"/>
  <c r="V413" i="4" s="1"/>
  <c r="U381" i="4"/>
  <c r="V381" i="4" s="1"/>
  <c r="U349" i="4"/>
  <c r="V349" i="4" s="1"/>
  <c r="U317" i="4"/>
  <c r="V317" i="4" s="1"/>
  <c r="U285" i="4"/>
  <c r="V285" i="4" s="1"/>
  <c r="U253" i="4"/>
  <c r="V253" i="4" s="1"/>
  <c r="U221" i="4"/>
  <c r="V221" i="4" s="1"/>
  <c r="U189" i="4"/>
  <c r="V189" i="4" s="1"/>
  <c r="U158" i="4"/>
  <c r="V158" i="4" s="1"/>
  <c r="U142" i="4"/>
  <c r="V142" i="4" s="1"/>
  <c r="U126" i="4"/>
  <c r="V126" i="4" s="1"/>
  <c r="U568" i="4"/>
  <c r="V568" i="4" s="1"/>
  <c r="U552" i="4"/>
  <c r="V552" i="4" s="1"/>
  <c r="U536" i="4"/>
  <c r="V536" i="4" s="1"/>
  <c r="U520" i="4"/>
  <c r="V520" i="4" s="1"/>
  <c r="U504" i="4"/>
  <c r="V504" i="4" s="1"/>
  <c r="U488" i="4"/>
  <c r="V488" i="4" s="1"/>
  <c r="U472" i="4"/>
  <c r="V472" i="4" s="1"/>
  <c r="U456" i="4"/>
  <c r="V456" i="4" s="1"/>
  <c r="U440" i="4"/>
  <c r="V440" i="4" s="1"/>
  <c r="U424" i="4"/>
  <c r="V424" i="4" s="1"/>
  <c r="U402" i="4"/>
  <c r="V402" i="4" s="1"/>
  <c r="U391" i="4"/>
  <c r="V391" i="4" s="1"/>
  <c r="U359" i="4"/>
  <c r="V359" i="4" s="1"/>
  <c r="U327" i="4"/>
  <c r="V327" i="4" s="1"/>
  <c r="U295" i="4"/>
  <c r="V295" i="4" s="1"/>
  <c r="U263" i="4"/>
  <c r="V263" i="4" s="1"/>
  <c r="U231" i="4"/>
  <c r="V231" i="4" s="1"/>
  <c r="U199" i="4"/>
  <c r="V199" i="4" s="1"/>
  <c r="U167" i="4"/>
  <c r="V167" i="4" s="1"/>
  <c r="U151" i="4"/>
  <c r="V151" i="4" s="1"/>
  <c r="U135" i="4"/>
  <c r="V135" i="4" s="1"/>
  <c r="U119" i="4"/>
  <c r="V119" i="4" s="1"/>
  <c r="U567" i="4"/>
  <c r="V567" i="4" s="1"/>
  <c r="U551" i="4"/>
  <c r="V551" i="4" s="1"/>
  <c r="U535" i="4"/>
  <c r="V535" i="4" s="1"/>
  <c r="U519" i="4"/>
  <c r="V519" i="4" s="1"/>
  <c r="U503" i="4"/>
  <c r="V503" i="4" s="1"/>
  <c r="U487" i="4"/>
  <c r="V487" i="4" s="1"/>
  <c r="U471" i="4"/>
  <c r="V471" i="4" s="1"/>
  <c r="U455" i="4"/>
  <c r="V455" i="4" s="1"/>
  <c r="U439" i="4"/>
  <c r="V439" i="4" s="1"/>
  <c r="U423" i="4"/>
  <c r="V423" i="4" s="1"/>
  <c r="U401" i="4"/>
  <c r="V401" i="4" s="1"/>
  <c r="U369" i="4"/>
  <c r="V369" i="4" s="1"/>
  <c r="U337" i="4"/>
  <c r="V337" i="4" s="1"/>
  <c r="U305" i="4"/>
  <c r="V305" i="4" s="1"/>
  <c r="U273" i="4"/>
  <c r="V273" i="4" s="1"/>
  <c r="U241" i="4"/>
  <c r="V241" i="4" s="1"/>
  <c r="U209" i="4"/>
  <c r="V209" i="4" s="1"/>
  <c r="U177" i="4"/>
  <c r="V177" i="4" s="1"/>
  <c r="U160" i="4"/>
  <c r="V160" i="4" s="1"/>
  <c r="U144" i="4"/>
  <c r="V144" i="4" s="1"/>
  <c r="U128" i="4"/>
  <c r="V128" i="4" s="1"/>
  <c r="U112" i="4"/>
  <c r="V112" i="4" s="1"/>
  <c r="U566" i="4"/>
  <c r="V566" i="4" s="1"/>
  <c r="U550" i="4"/>
  <c r="V550" i="4" s="1"/>
  <c r="U534" i="4"/>
  <c r="V534" i="4" s="1"/>
  <c r="U518" i="4"/>
  <c r="V518" i="4" s="1"/>
  <c r="U502" i="4"/>
  <c r="V502" i="4" s="1"/>
  <c r="U486" i="4"/>
  <c r="V486" i="4" s="1"/>
  <c r="U470" i="4"/>
  <c r="V470" i="4" s="1"/>
  <c r="U454" i="4"/>
  <c r="V454" i="4" s="1"/>
  <c r="U438" i="4"/>
  <c r="V438" i="4" s="1"/>
  <c r="U422" i="4"/>
  <c r="V422" i="4" s="1"/>
  <c r="U390" i="4"/>
  <c r="V390" i="4" s="1"/>
  <c r="U358" i="4"/>
  <c r="V358" i="4" s="1"/>
  <c r="U326" i="4"/>
  <c r="V326" i="4" s="1"/>
  <c r="U294" i="4"/>
  <c r="V294" i="4" s="1"/>
  <c r="U262" i="4"/>
  <c r="V262" i="4" s="1"/>
  <c r="U230" i="4"/>
  <c r="V230" i="4" s="1"/>
  <c r="U198" i="4"/>
  <c r="V198" i="4" s="1"/>
  <c r="U411" i="4"/>
  <c r="V411" i="4" s="1"/>
  <c r="U379" i="4"/>
  <c r="V379" i="4" s="1"/>
  <c r="U347" i="4"/>
  <c r="V347" i="4" s="1"/>
  <c r="U315" i="4"/>
  <c r="V315" i="4" s="1"/>
  <c r="U283" i="4"/>
  <c r="V283" i="4" s="1"/>
  <c r="U251" i="4"/>
  <c r="V251" i="4" s="1"/>
  <c r="U219" i="4"/>
  <c r="V219" i="4" s="1"/>
  <c r="U187" i="4"/>
  <c r="V187" i="4" s="1"/>
  <c r="U153" i="4"/>
  <c r="V153" i="4" s="1"/>
  <c r="U137" i="4"/>
  <c r="V137" i="4" s="1"/>
  <c r="U121" i="4"/>
  <c r="V121" i="4" s="1"/>
  <c r="U105" i="4"/>
  <c r="V105" i="4" s="1"/>
  <c r="U565" i="4"/>
  <c r="V565" i="4" s="1"/>
  <c r="U549" i="4"/>
  <c r="V549" i="4" s="1"/>
  <c r="U533" i="4"/>
  <c r="V533" i="4" s="1"/>
  <c r="U517" i="4"/>
  <c r="V517" i="4" s="1"/>
  <c r="U501" i="4"/>
  <c r="V501" i="4" s="1"/>
  <c r="U485" i="4"/>
  <c r="V485" i="4" s="1"/>
  <c r="U469" i="4"/>
  <c r="V469" i="4" s="1"/>
  <c r="U453" i="4"/>
  <c r="V453" i="4" s="1"/>
  <c r="U437" i="4"/>
  <c r="V437" i="4" s="1"/>
  <c r="U400" i="4"/>
  <c r="V400" i="4" s="1"/>
  <c r="U368" i="4"/>
  <c r="V368" i="4" s="1"/>
  <c r="U336" i="4"/>
  <c r="V336" i="4" s="1"/>
  <c r="U304" i="4"/>
  <c r="V304" i="4" s="1"/>
  <c r="U272" i="4"/>
  <c r="V272" i="4" s="1"/>
  <c r="U240" i="4"/>
  <c r="V240" i="4" s="1"/>
  <c r="U208" i="4"/>
  <c r="V208" i="4" s="1"/>
  <c r="U176" i="4"/>
  <c r="V176" i="4" s="1"/>
  <c r="U421" i="4"/>
  <c r="V421" i="4" s="1"/>
  <c r="U389" i="4"/>
  <c r="V389" i="4" s="1"/>
  <c r="U357" i="4"/>
  <c r="V357" i="4" s="1"/>
  <c r="U325" i="4"/>
  <c r="V325" i="4" s="1"/>
  <c r="U293" i="4"/>
  <c r="V293" i="4" s="1"/>
  <c r="U261" i="4"/>
  <c r="V261" i="4" s="1"/>
  <c r="U229" i="4"/>
  <c r="V229" i="4" s="1"/>
  <c r="U197" i="4"/>
  <c r="V197" i="4" s="1"/>
  <c r="U162" i="4"/>
  <c r="V162" i="4" s="1"/>
  <c r="U146" i="4"/>
  <c r="V146" i="4" s="1"/>
  <c r="U130" i="4"/>
  <c r="V130" i="4" s="1"/>
  <c r="U114" i="4"/>
  <c r="V114" i="4" s="1"/>
  <c r="U564" i="4"/>
  <c r="V564" i="4" s="1"/>
  <c r="U548" i="4"/>
  <c r="V548" i="4" s="1"/>
  <c r="U532" i="4"/>
  <c r="V532" i="4" s="1"/>
  <c r="U516" i="4"/>
  <c r="V516" i="4" s="1"/>
  <c r="U500" i="4"/>
  <c r="V500" i="4" s="1"/>
  <c r="U484" i="4"/>
  <c r="V484" i="4" s="1"/>
  <c r="U468" i="4"/>
  <c r="V468" i="4" s="1"/>
  <c r="U452" i="4"/>
  <c r="V452" i="4" s="1"/>
  <c r="U436" i="4"/>
  <c r="V436" i="4" s="1"/>
  <c r="U410" i="4"/>
  <c r="V410" i="4" s="1"/>
  <c r="U378" i="4"/>
  <c r="V378" i="4" s="1"/>
  <c r="U346" i="4"/>
  <c r="V346" i="4" s="1"/>
  <c r="U314" i="4"/>
  <c r="V314" i="4" s="1"/>
  <c r="U282" i="4"/>
  <c r="V282" i="4" s="1"/>
  <c r="U250" i="4"/>
  <c r="V250" i="4" s="1"/>
  <c r="U218" i="4"/>
  <c r="V218" i="4" s="1"/>
  <c r="U186" i="4"/>
  <c r="V186" i="4" s="1"/>
  <c r="U399" i="4"/>
  <c r="V399" i="4" s="1"/>
  <c r="U367" i="4"/>
  <c r="V367" i="4" s="1"/>
  <c r="U335" i="4"/>
  <c r="V335" i="4" s="1"/>
  <c r="U303" i="4"/>
  <c r="V303" i="4" s="1"/>
  <c r="U271" i="4"/>
  <c r="V271" i="4" s="1"/>
  <c r="U239" i="4"/>
  <c r="V239" i="4" s="1"/>
  <c r="U207" i="4"/>
  <c r="V207" i="4" s="1"/>
  <c r="U175" i="4"/>
  <c r="V175" i="4" s="1"/>
  <c r="U155" i="4"/>
  <c r="V155" i="4" s="1"/>
  <c r="U139" i="4"/>
  <c r="V139" i="4" s="1"/>
  <c r="U123" i="4"/>
  <c r="V123" i="4" s="1"/>
  <c r="U563" i="4"/>
  <c r="V563" i="4" s="1"/>
  <c r="U547" i="4"/>
  <c r="V547" i="4" s="1"/>
  <c r="U531" i="4"/>
  <c r="V531" i="4" s="1"/>
  <c r="U515" i="4"/>
  <c r="V515" i="4" s="1"/>
  <c r="U499" i="4"/>
  <c r="V499" i="4" s="1"/>
  <c r="U483" i="4"/>
  <c r="V483" i="4" s="1"/>
  <c r="U467" i="4"/>
  <c r="V467" i="4" s="1"/>
  <c r="U451" i="4"/>
  <c r="V451" i="4" s="1"/>
  <c r="U435" i="4"/>
  <c r="V435" i="4" s="1"/>
  <c r="U420" i="4"/>
  <c r="V420" i="4" s="1"/>
  <c r="U388" i="4"/>
  <c r="V388" i="4" s="1"/>
  <c r="U409" i="4"/>
  <c r="V409" i="4" s="1"/>
  <c r="U377" i="4"/>
  <c r="V377" i="4" s="1"/>
  <c r="U345" i="4"/>
  <c r="V345" i="4" s="1"/>
  <c r="U313" i="4"/>
  <c r="V313" i="4" s="1"/>
  <c r="U281" i="4"/>
  <c r="V281" i="4" s="1"/>
  <c r="U249" i="4"/>
  <c r="V249" i="4" s="1"/>
  <c r="U217" i="4"/>
  <c r="V217" i="4" s="1"/>
  <c r="U185" i="4"/>
  <c r="V185" i="4" s="1"/>
  <c r="U562" i="4"/>
  <c r="V562" i="4" s="1"/>
  <c r="U546" i="4"/>
  <c r="V546" i="4" s="1"/>
  <c r="U530" i="4"/>
  <c r="V530" i="4" s="1"/>
  <c r="U514" i="4"/>
  <c r="V514" i="4" s="1"/>
  <c r="U498" i="4"/>
  <c r="V498" i="4" s="1"/>
  <c r="U482" i="4"/>
  <c r="V482" i="4" s="1"/>
  <c r="U466" i="4"/>
  <c r="V466" i="4" s="1"/>
  <c r="U450" i="4"/>
  <c r="V450" i="4" s="1"/>
  <c r="U434" i="4"/>
  <c r="V434" i="4" s="1"/>
  <c r="U398" i="4"/>
  <c r="V398" i="4" s="1"/>
  <c r="U419" i="4"/>
  <c r="V419" i="4" s="1"/>
  <c r="U387" i="4"/>
  <c r="V387" i="4" s="1"/>
  <c r="U355" i="4"/>
  <c r="V355" i="4" s="1"/>
  <c r="U323" i="4"/>
  <c r="V323" i="4" s="1"/>
  <c r="U291" i="4"/>
  <c r="V291" i="4" s="1"/>
  <c r="U259" i="4"/>
  <c r="V259" i="4" s="1"/>
  <c r="U227" i="4"/>
  <c r="V227" i="4" s="1"/>
  <c r="U195" i="4"/>
  <c r="V195" i="4" s="1"/>
  <c r="U157" i="4"/>
  <c r="V157" i="4" s="1"/>
  <c r="U561" i="4"/>
  <c r="V561" i="4" s="1"/>
  <c r="U545" i="4"/>
  <c r="V545" i="4" s="1"/>
  <c r="U529" i="4"/>
  <c r="V529" i="4" s="1"/>
  <c r="U513" i="4"/>
  <c r="V513" i="4" s="1"/>
  <c r="U497" i="4"/>
  <c r="V497" i="4" s="1"/>
  <c r="U481" i="4"/>
  <c r="V481" i="4" s="1"/>
  <c r="U465" i="4"/>
  <c r="V465" i="4" s="1"/>
  <c r="U449" i="4"/>
  <c r="V449" i="4" s="1"/>
  <c r="U433" i="4"/>
  <c r="V433" i="4" s="1"/>
  <c r="U408" i="4"/>
  <c r="V408" i="4" s="1"/>
  <c r="U376" i="4"/>
  <c r="V376" i="4" s="1"/>
  <c r="U344" i="4"/>
  <c r="V344" i="4" s="1"/>
  <c r="U397" i="4"/>
  <c r="V397" i="4" s="1"/>
  <c r="U365" i="4"/>
  <c r="V365" i="4" s="1"/>
  <c r="U333" i="4"/>
  <c r="V333" i="4" s="1"/>
  <c r="U301" i="4"/>
  <c r="V301" i="4" s="1"/>
  <c r="U269" i="4"/>
  <c r="V269" i="4" s="1"/>
  <c r="U237" i="4"/>
  <c r="V237" i="4" s="1"/>
  <c r="U205" i="4"/>
  <c r="V205" i="4" s="1"/>
  <c r="U173" i="4"/>
  <c r="V173" i="4" s="1"/>
  <c r="U560" i="4"/>
  <c r="V560" i="4" s="1"/>
  <c r="U544" i="4"/>
  <c r="V544" i="4" s="1"/>
  <c r="U528" i="4"/>
  <c r="V528" i="4" s="1"/>
  <c r="U512" i="4"/>
  <c r="V512" i="4" s="1"/>
  <c r="U496" i="4"/>
  <c r="V496" i="4" s="1"/>
  <c r="U480" i="4"/>
  <c r="V480" i="4" s="1"/>
  <c r="U464" i="4"/>
  <c r="V464" i="4" s="1"/>
  <c r="U448" i="4"/>
  <c r="V448" i="4" s="1"/>
  <c r="U432" i="4"/>
  <c r="V432" i="4" s="1"/>
  <c r="U418" i="4"/>
  <c r="V418" i="4" s="1"/>
  <c r="U386" i="4"/>
  <c r="V386" i="4" s="1"/>
  <c r="U407" i="4"/>
  <c r="V407" i="4" s="1"/>
  <c r="U375" i="4"/>
  <c r="V375" i="4" s="1"/>
  <c r="U559" i="4"/>
  <c r="V559" i="4" s="1"/>
  <c r="U543" i="4"/>
  <c r="V543" i="4" s="1"/>
  <c r="U527" i="4"/>
  <c r="V527" i="4" s="1"/>
  <c r="U511" i="4"/>
  <c r="V511" i="4" s="1"/>
  <c r="U495" i="4"/>
  <c r="V495" i="4" s="1"/>
  <c r="U479" i="4"/>
  <c r="V479" i="4" s="1"/>
  <c r="U463" i="4"/>
  <c r="V463" i="4" s="1"/>
  <c r="U447" i="4"/>
  <c r="V447" i="4" s="1"/>
  <c r="U431" i="4"/>
  <c r="V431" i="4" s="1"/>
  <c r="U396" i="4"/>
  <c r="V396" i="4" s="1"/>
  <c r="U364" i="4"/>
  <c r="V364" i="4" s="1"/>
  <c r="U332" i="4"/>
  <c r="V332" i="4" s="1"/>
  <c r="U300" i="4"/>
  <c r="V300" i="4" s="1"/>
  <c r="U268" i="4"/>
  <c r="V268" i="4" s="1"/>
  <c r="U417" i="4"/>
  <c r="V417" i="4" s="1"/>
  <c r="U385" i="4"/>
  <c r="V385" i="4" s="1"/>
  <c r="U353" i="4"/>
  <c r="V353" i="4" s="1"/>
  <c r="U321" i="4"/>
  <c r="V321" i="4" s="1"/>
  <c r="U289" i="4"/>
  <c r="V289" i="4" s="1"/>
  <c r="U257" i="4"/>
  <c r="V257" i="4" s="1"/>
  <c r="U225" i="4"/>
  <c r="V225" i="4" s="1"/>
  <c r="U193" i="4"/>
  <c r="V193" i="4" s="1"/>
  <c r="U152" i="4"/>
  <c r="V152" i="4" s="1"/>
  <c r="U136" i="4"/>
  <c r="V136" i="4" s="1"/>
  <c r="U120" i="4"/>
  <c r="V120" i="4" s="1"/>
  <c r="U558" i="4"/>
  <c r="V558" i="4" s="1"/>
  <c r="U542" i="4"/>
  <c r="V542" i="4" s="1"/>
  <c r="U526" i="4"/>
  <c r="V526" i="4" s="1"/>
  <c r="U510" i="4"/>
  <c r="V510" i="4" s="1"/>
  <c r="U494" i="4"/>
  <c r="V494" i="4" s="1"/>
  <c r="U478" i="4"/>
  <c r="V478" i="4" s="1"/>
  <c r="U462" i="4"/>
  <c r="V462" i="4" s="1"/>
  <c r="U446" i="4"/>
  <c r="V446" i="4" s="1"/>
  <c r="U430" i="4"/>
  <c r="V430" i="4" s="1"/>
  <c r="U406" i="4"/>
  <c r="V406" i="4" s="1"/>
  <c r="U374" i="4"/>
  <c r="V374" i="4" s="1"/>
  <c r="U393" i="4"/>
  <c r="V393" i="4" s="1"/>
  <c r="U334" i="4"/>
  <c r="V334" i="4" s="1"/>
  <c r="U270" i="4"/>
  <c r="V270" i="4" s="1"/>
  <c r="U191" i="4"/>
  <c r="V191" i="4" s="1"/>
  <c r="U171" i="4"/>
  <c r="V171" i="4" s="1"/>
  <c r="U164" i="4"/>
  <c r="V164" i="4" s="1"/>
  <c r="U557" i="4"/>
  <c r="V557" i="4" s="1"/>
  <c r="U493" i="4"/>
  <c r="V493" i="4" s="1"/>
  <c r="U429" i="4"/>
  <c r="V429" i="4" s="1"/>
  <c r="U312" i="4"/>
  <c r="V312" i="4" s="1"/>
  <c r="U108" i="4"/>
  <c r="V108" i="4" s="1"/>
  <c r="U87" i="4"/>
  <c r="V87" i="4" s="1"/>
  <c r="U70" i="4"/>
  <c r="V70" i="4" s="1"/>
  <c r="U58" i="4"/>
  <c r="V58" i="4" s="1"/>
  <c r="U290" i="4"/>
  <c r="V290" i="4" s="1"/>
  <c r="U248" i="4"/>
  <c r="V248" i="4" s="1"/>
  <c r="U228" i="4"/>
  <c r="V228" i="4" s="1"/>
  <c r="U210" i="4"/>
  <c r="V210" i="4" s="1"/>
  <c r="U556" i="4"/>
  <c r="V556" i="4" s="1"/>
  <c r="U492" i="4"/>
  <c r="V492" i="4" s="1"/>
  <c r="U428" i="4"/>
  <c r="V428" i="4" s="1"/>
  <c r="U356" i="4"/>
  <c r="V356" i="4" s="1"/>
  <c r="U311" i="4"/>
  <c r="V311" i="4" s="1"/>
  <c r="U190" i="4"/>
  <c r="V190" i="4" s="1"/>
  <c r="U170" i="4"/>
  <c r="V170" i="4" s="1"/>
  <c r="U92" i="4"/>
  <c r="V92" i="4" s="1"/>
  <c r="U82" i="4"/>
  <c r="V82" i="4" s="1"/>
  <c r="U65" i="4"/>
  <c r="V65" i="4" s="1"/>
  <c r="U310" i="4"/>
  <c r="V310" i="4" s="1"/>
  <c r="U247" i="4"/>
  <c r="V247" i="4" s="1"/>
  <c r="U129" i="4"/>
  <c r="V129" i="4" s="1"/>
  <c r="U97" i="4"/>
  <c r="V97" i="4" s="1"/>
  <c r="U555" i="4"/>
  <c r="V555" i="4" s="1"/>
  <c r="U491" i="4"/>
  <c r="V491" i="4" s="1"/>
  <c r="U383" i="4"/>
  <c r="V383" i="4" s="1"/>
  <c r="U330" i="4"/>
  <c r="V330" i="4" s="1"/>
  <c r="U266" i="4"/>
  <c r="V266" i="4" s="1"/>
  <c r="U184" i="4"/>
  <c r="V184" i="4" s="1"/>
  <c r="U113" i="4"/>
  <c r="V113" i="4" s="1"/>
  <c r="U94" i="4"/>
  <c r="V94" i="4" s="1"/>
  <c r="U541" i="4"/>
  <c r="V541" i="4" s="1"/>
  <c r="U477" i="4"/>
  <c r="V477" i="4" s="1"/>
  <c r="U416" i="4"/>
  <c r="V416" i="4" s="1"/>
  <c r="U287" i="4"/>
  <c r="V287" i="4" s="1"/>
  <c r="U245" i="4"/>
  <c r="V245" i="4" s="1"/>
  <c r="U204" i="4"/>
  <c r="V204" i="4" s="1"/>
  <c r="U125" i="4"/>
  <c r="V125" i="4" s="1"/>
  <c r="U122" i="4"/>
  <c r="V122" i="4" s="1"/>
  <c r="U110" i="4"/>
  <c r="V110" i="4" s="1"/>
  <c r="U351" i="4"/>
  <c r="V351" i="4" s="1"/>
  <c r="U308" i="4"/>
  <c r="V308" i="4" s="1"/>
  <c r="U224" i="4"/>
  <c r="V224" i="4" s="1"/>
  <c r="U183" i="4"/>
  <c r="V183" i="4" s="1"/>
  <c r="U156" i="4"/>
  <c r="V156" i="4" s="1"/>
  <c r="U107" i="4"/>
  <c r="V107" i="4" s="1"/>
  <c r="U62" i="4"/>
  <c r="V62" i="4" s="1"/>
  <c r="U540" i="4"/>
  <c r="V540" i="4" s="1"/>
  <c r="U476" i="4"/>
  <c r="V476" i="4" s="1"/>
  <c r="U382" i="4"/>
  <c r="V382" i="4" s="1"/>
  <c r="U329" i="4"/>
  <c r="V329" i="4" s="1"/>
  <c r="U265" i="4"/>
  <c r="V265" i="4" s="1"/>
  <c r="U203" i="4"/>
  <c r="V203" i="4" s="1"/>
  <c r="U415" i="4"/>
  <c r="V415" i="4" s="1"/>
  <c r="U286" i="4"/>
  <c r="V286" i="4" s="1"/>
  <c r="U244" i="4"/>
  <c r="V244" i="4" s="1"/>
  <c r="U182" i="4"/>
  <c r="V182" i="4" s="1"/>
  <c r="U163" i="4"/>
  <c r="V163" i="4" s="1"/>
  <c r="U99" i="4"/>
  <c r="V99" i="4" s="1"/>
  <c r="U539" i="4"/>
  <c r="V539" i="4" s="1"/>
  <c r="U475" i="4"/>
  <c r="V475" i="4" s="1"/>
  <c r="U380" i="4"/>
  <c r="V380" i="4" s="1"/>
  <c r="U350" i="4"/>
  <c r="V350" i="4" s="1"/>
  <c r="U306" i="4"/>
  <c r="V306" i="4" s="1"/>
  <c r="U223" i="4"/>
  <c r="V223" i="4" s="1"/>
  <c r="U159" i="4"/>
  <c r="V159" i="4" s="1"/>
  <c r="U145" i="4"/>
  <c r="V145" i="4" s="1"/>
  <c r="U284" i="4"/>
  <c r="V284" i="4" s="1"/>
  <c r="U202" i="4"/>
  <c r="V202" i="4" s="1"/>
  <c r="U138" i="4"/>
  <c r="V138" i="4" s="1"/>
  <c r="U91" i="4"/>
  <c r="V91" i="4" s="1"/>
  <c r="U538" i="4"/>
  <c r="V538" i="4" s="1"/>
  <c r="U474" i="4"/>
  <c r="V474" i="4" s="1"/>
  <c r="U414" i="4"/>
  <c r="V414" i="4" s="1"/>
  <c r="U348" i="4"/>
  <c r="V348" i="4" s="1"/>
  <c r="U324" i="4"/>
  <c r="V324" i="4" s="1"/>
  <c r="U260" i="4"/>
  <c r="V260" i="4" s="1"/>
  <c r="U242" i="4"/>
  <c r="V242" i="4" s="1"/>
  <c r="U181" i="4"/>
  <c r="V181" i="4" s="1"/>
  <c r="U166" i="4"/>
  <c r="V166" i="4" s="1"/>
  <c r="U412" i="4"/>
  <c r="V412" i="4" s="1"/>
  <c r="U373" i="4"/>
  <c r="V373" i="4" s="1"/>
  <c r="U302" i="4"/>
  <c r="V302" i="4" s="1"/>
  <c r="U222" i="4"/>
  <c r="V222" i="4" s="1"/>
  <c r="U525" i="4"/>
  <c r="V525" i="4" s="1"/>
  <c r="U461" i="4"/>
  <c r="V461" i="4" s="1"/>
  <c r="U280" i="4"/>
  <c r="V280" i="4" s="1"/>
  <c r="U201" i="4"/>
  <c r="V201" i="4" s="1"/>
  <c r="U322" i="4"/>
  <c r="V322" i="4" s="1"/>
  <c r="U258" i="4"/>
  <c r="V258" i="4" s="1"/>
  <c r="U238" i="4"/>
  <c r="V238" i="4" s="1"/>
  <c r="U220" i="4"/>
  <c r="V220" i="4" s="1"/>
  <c r="U180" i="4"/>
  <c r="V180" i="4" s="1"/>
  <c r="U554" i="4"/>
  <c r="V554" i="4" s="1"/>
  <c r="U341" i="4"/>
  <c r="V341" i="4" s="1"/>
  <c r="U298" i="4"/>
  <c r="V298" i="4" s="1"/>
  <c r="U340" i="4"/>
  <c r="V340" i="4" s="1"/>
  <c r="U96" i="4"/>
  <c r="V96" i="4" s="1"/>
  <c r="U213" i="4"/>
  <c r="V213" i="4" s="1"/>
  <c r="U72" i="4"/>
  <c r="V72" i="4" s="1"/>
  <c r="U524" i="4"/>
  <c r="V524" i="4" s="1"/>
  <c r="U404" i="4"/>
  <c r="V404" i="4" s="1"/>
  <c r="U214" i="4"/>
  <c r="V214" i="4" s="1"/>
  <c r="U79" i="4"/>
  <c r="V79" i="4" s="1"/>
  <c r="U297" i="4"/>
  <c r="V297" i="4" s="1"/>
  <c r="U89" i="4"/>
  <c r="V89" i="4" s="1"/>
  <c r="U59" i="4"/>
  <c r="V59" i="4" s="1"/>
  <c r="U174" i="4"/>
  <c r="V174" i="4" s="1"/>
  <c r="U255" i="4"/>
  <c r="V255" i="4" s="1"/>
  <c r="U523" i="4"/>
  <c r="V523" i="4" s="1"/>
  <c r="U100" i="4"/>
  <c r="V100" i="4" s="1"/>
  <c r="U395" i="4"/>
  <c r="V395" i="4" s="1"/>
  <c r="U254" i="4"/>
  <c r="V254" i="4" s="1"/>
  <c r="U522" i="4"/>
  <c r="V522" i="4" s="1"/>
  <c r="U338" i="4"/>
  <c r="V338" i="4" s="1"/>
  <c r="U61" i="4"/>
  <c r="V61" i="4" s="1"/>
  <c r="U509" i="4"/>
  <c r="V509" i="4" s="1"/>
  <c r="U292" i="4"/>
  <c r="V292" i="4" s="1"/>
  <c r="U252" i="4"/>
  <c r="V252" i="4" s="1"/>
  <c r="U212" i="4"/>
  <c r="V212" i="4" s="1"/>
  <c r="U140" i="4"/>
  <c r="V140" i="4" s="1"/>
  <c r="U134" i="4"/>
  <c r="V134" i="4" s="1"/>
  <c r="U115" i="4"/>
  <c r="V115" i="4" s="1"/>
  <c r="U111" i="4"/>
  <c r="V111" i="4" s="1"/>
  <c r="U394" i="4"/>
  <c r="V394" i="4" s="1"/>
  <c r="U206" i="4"/>
  <c r="V206" i="4" s="1"/>
  <c r="U172" i="4"/>
  <c r="V172" i="4" s="1"/>
  <c r="U288" i="4"/>
  <c r="V288" i="4" s="1"/>
  <c r="U150" i="4"/>
  <c r="V150" i="4" s="1"/>
  <c r="U124" i="4"/>
  <c r="V124" i="4" s="1"/>
  <c r="U103" i="4"/>
  <c r="V103" i="4" s="1"/>
  <c r="U508" i="4"/>
  <c r="V508" i="4" s="1"/>
  <c r="U331" i="4"/>
  <c r="V331" i="4" s="1"/>
  <c r="U246" i="4"/>
  <c r="V246" i="4" s="1"/>
  <c r="U75" i="4"/>
  <c r="V75" i="4" s="1"/>
  <c r="U507" i="4"/>
  <c r="V507" i="4" s="1"/>
  <c r="U384" i="4"/>
  <c r="V384" i="4" s="1"/>
  <c r="U279" i="4"/>
  <c r="V279" i="4" s="1"/>
  <c r="U169" i="4"/>
  <c r="V169" i="4" s="1"/>
  <c r="U161" i="4"/>
  <c r="V161" i="4" s="1"/>
  <c r="U78" i="4"/>
  <c r="V78" i="4" s="1"/>
  <c r="U68" i="4"/>
  <c r="V68" i="4" s="1"/>
  <c r="U278" i="4"/>
  <c r="V278" i="4" s="1"/>
  <c r="U71" i="4"/>
  <c r="V71" i="4" s="1"/>
  <c r="U506" i="4"/>
  <c r="V506" i="4" s="1"/>
  <c r="U372" i="4"/>
  <c r="V372" i="4" s="1"/>
  <c r="U196" i="4"/>
  <c r="V196" i="4" s="1"/>
  <c r="U88" i="4"/>
  <c r="V88" i="4" s="1"/>
  <c r="U81" i="4"/>
  <c r="V81" i="4" s="1"/>
  <c r="U64" i="4"/>
  <c r="V64" i="4" s="1"/>
  <c r="U106" i="4"/>
  <c r="V106" i="4" s="1"/>
  <c r="U490" i="4"/>
  <c r="V490" i="4" s="1"/>
  <c r="U320" i="4"/>
  <c r="V320" i="4" s="1"/>
  <c r="U236" i="4"/>
  <c r="V236" i="4" s="1"/>
  <c r="U118" i="4"/>
  <c r="V118" i="4" s="1"/>
  <c r="U95" i="4"/>
  <c r="V95" i="4" s="1"/>
  <c r="U460" i="4"/>
  <c r="V460" i="4" s="1"/>
  <c r="U277" i="4"/>
  <c r="V277" i="4" s="1"/>
  <c r="U148" i="4"/>
  <c r="V148" i="4" s="1"/>
  <c r="U102" i="4"/>
  <c r="V102" i="4" s="1"/>
  <c r="U370" i="4"/>
  <c r="V370" i="4" s="1"/>
  <c r="U235" i="4"/>
  <c r="V235" i="4" s="1"/>
  <c r="U194" i="4"/>
  <c r="V194" i="4" s="1"/>
  <c r="U459" i="4"/>
  <c r="V459" i="4" s="1"/>
  <c r="U319" i="4"/>
  <c r="V319" i="4" s="1"/>
  <c r="U84" i="4"/>
  <c r="V84" i="4" s="1"/>
  <c r="U366" i="4"/>
  <c r="V366" i="4" s="1"/>
  <c r="U276" i="4"/>
  <c r="V276" i="4" s="1"/>
  <c r="U154" i="4"/>
  <c r="V154" i="4" s="1"/>
  <c r="U98" i="4"/>
  <c r="V98" i="4" s="1"/>
  <c r="U458" i="4"/>
  <c r="V458" i="4" s="1"/>
  <c r="U363" i="4"/>
  <c r="V363" i="4" s="1"/>
  <c r="U234" i="4"/>
  <c r="V234" i="4" s="1"/>
  <c r="U109" i="4"/>
  <c r="V109" i="4" s="1"/>
  <c r="U67" i="4"/>
  <c r="V67" i="4" s="1"/>
  <c r="U318" i="4"/>
  <c r="V318" i="4" s="1"/>
  <c r="U143" i="4"/>
  <c r="V143" i="4" s="1"/>
  <c r="U132" i="4"/>
  <c r="V132" i="4" s="1"/>
  <c r="U77" i="4"/>
  <c r="V77" i="4" s="1"/>
  <c r="U445" i="4"/>
  <c r="V445" i="4" s="1"/>
  <c r="U274" i="4"/>
  <c r="V274" i="4" s="1"/>
  <c r="U192" i="4"/>
  <c r="V192" i="4" s="1"/>
  <c r="U127" i="4"/>
  <c r="V127" i="4" s="1"/>
  <c r="U362" i="4"/>
  <c r="V362" i="4" s="1"/>
  <c r="U316" i="4"/>
  <c r="V316" i="4" s="1"/>
  <c r="U444" i="4"/>
  <c r="V444" i="4" s="1"/>
  <c r="U83" i="4"/>
  <c r="V83" i="4" s="1"/>
  <c r="U93" i="4"/>
  <c r="V93" i="4" s="1"/>
  <c r="U443" i="4"/>
  <c r="V443" i="4" s="1"/>
  <c r="U74" i="4"/>
  <c r="V74" i="4" s="1"/>
  <c r="U73" i="4"/>
  <c r="V73" i="4" s="1"/>
  <c r="U178" i="4"/>
  <c r="V178" i="4" s="1"/>
  <c r="U66" i="4"/>
  <c r="V66" i="4" s="1"/>
  <c r="U442" i="4"/>
  <c r="V442" i="4" s="1"/>
  <c r="U256" i="4"/>
  <c r="V256" i="4" s="1"/>
  <c r="U427" i="4"/>
  <c r="V427" i="4" s="1"/>
  <c r="U233" i="4"/>
  <c r="V233" i="4" s="1"/>
  <c r="U141" i="4"/>
  <c r="V141" i="4" s="1"/>
  <c r="U86" i="4"/>
  <c r="V86" i="4" s="1"/>
  <c r="U104" i="4"/>
  <c r="V104" i="4" s="1"/>
  <c r="U426" i="4"/>
  <c r="V426" i="4" s="1"/>
  <c r="U56" i="4"/>
  <c r="V56" i="4" s="1"/>
  <c r="U405" i="4"/>
  <c r="V405" i="4" s="1"/>
  <c r="U226" i="4"/>
  <c r="V226" i="4" s="1"/>
  <c r="U116" i="4"/>
  <c r="V116" i="4" s="1"/>
  <c r="U63" i="4"/>
  <c r="V63" i="4" s="1"/>
  <c r="U147" i="4"/>
  <c r="V147" i="4" s="1"/>
  <c r="U80" i="4"/>
  <c r="V80" i="4" s="1"/>
  <c r="U361" i="4"/>
  <c r="V361" i="4" s="1"/>
  <c r="U90" i="4"/>
  <c r="V90" i="4" s="1"/>
  <c r="U267" i="4"/>
  <c r="V267" i="4" s="1"/>
  <c r="U354" i="4"/>
  <c r="V354" i="4" s="1"/>
  <c r="U216" i="4"/>
  <c r="V216" i="4" s="1"/>
  <c r="U352" i="4"/>
  <c r="V352" i="4" s="1"/>
  <c r="U343" i="4"/>
  <c r="V343" i="4" s="1"/>
  <c r="U215" i="4"/>
  <c r="V215" i="4" s="1"/>
  <c r="U342" i="4"/>
  <c r="V342" i="4" s="1"/>
  <c r="U60" i="4"/>
  <c r="V60" i="4" s="1"/>
  <c r="U131" i="4"/>
  <c r="V131" i="4" s="1"/>
  <c r="U188" i="4"/>
  <c r="V188" i="4" s="1"/>
  <c r="U299" i="4"/>
  <c r="V299" i="4" s="1"/>
  <c r="U57" i="4"/>
  <c r="V57" i="4" s="1"/>
  <c r="U309" i="4"/>
  <c r="V309" i="4" s="1"/>
  <c r="U76" i="4"/>
  <c r="V76" i="4" s="1"/>
  <c r="AD413" i="4"/>
  <c r="AD381" i="4"/>
  <c r="AD349" i="4"/>
  <c r="AD317" i="4"/>
  <c r="AD402" i="4"/>
  <c r="AD370" i="4"/>
  <c r="AD338" i="4"/>
  <c r="AD306" i="4"/>
  <c r="AD391" i="4"/>
  <c r="AD359" i="4"/>
  <c r="AD327" i="4"/>
  <c r="AD295" i="4"/>
  <c r="AD412" i="4"/>
  <c r="AD401" i="4"/>
  <c r="AD369" i="4"/>
  <c r="AD337" i="4"/>
  <c r="AD305" i="4"/>
  <c r="AD411" i="4"/>
  <c r="AD379" i="4"/>
  <c r="AD347" i="4"/>
  <c r="AD315" i="4"/>
  <c r="AD400" i="4"/>
  <c r="AD368" i="4"/>
  <c r="AD336" i="4"/>
  <c r="AD304" i="4"/>
  <c r="AD421" i="4"/>
  <c r="AD389" i="4"/>
  <c r="AD357" i="4"/>
  <c r="AD325" i="4"/>
  <c r="AD410" i="4"/>
  <c r="AD378" i="4"/>
  <c r="AD346" i="4"/>
  <c r="AD314" i="4"/>
  <c r="AD399" i="4"/>
  <c r="AD367" i="4"/>
  <c r="AD335" i="4"/>
  <c r="AD303" i="4"/>
  <c r="AD420" i="4"/>
  <c r="AD388" i="4"/>
  <c r="AD356" i="4"/>
  <c r="AD324" i="4"/>
  <c r="AD409" i="4"/>
  <c r="AD377" i="4"/>
  <c r="AD345" i="4"/>
  <c r="AD313" i="4"/>
  <c r="AD398" i="4"/>
  <c r="AD366" i="4"/>
  <c r="AD419" i="4"/>
  <c r="AD387" i="4"/>
  <c r="AD355" i="4"/>
  <c r="AD323" i="4"/>
  <c r="AD408" i="4"/>
  <c r="AD376" i="4"/>
  <c r="AD397" i="4"/>
  <c r="AD365" i="4"/>
  <c r="AD333" i="4"/>
  <c r="AD301" i="4"/>
  <c r="AD418" i="4"/>
  <c r="AD386" i="4"/>
  <c r="AD354" i="4"/>
  <c r="AD407" i="4"/>
  <c r="AD375" i="4"/>
  <c r="AD343" i="4"/>
  <c r="AD311" i="4"/>
  <c r="AD396" i="4"/>
  <c r="AD364" i="4"/>
  <c r="AD417" i="4"/>
  <c r="AD385" i="4"/>
  <c r="AD353" i="4"/>
  <c r="AD406" i="4"/>
  <c r="AD374" i="4"/>
  <c r="AD342" i="4"/>
  <c r="AD310" i="4"/>
  <c r="AD395" i="4"/>
  <c r="AD363" i="4"/>
  <c r="AD331" i="4"/>
  <c r="AD299" i="4"/>
  <c r="AD416" i="4"/>
  <c r="AD384" i="4"/>
  <c r="AD352" i="4"/>
  <c r="AD360" i="4"/>
  <c r="AD312" i="4"/>
  <c r="AD392" i="4"/>
  <c r="AD358" i="4"/>
  <c r="AD332" i="4"/>
  <c r="AD390" i="4"/>
  <c r="AD383" i="4"/>
  <c r="AD330" i="4"/>
  <c r="AD351" i="4"/>
  <c r="AD308" i="4"/>
  <c r="AD382" i="4"/>
  <c r="AD329" i="4"/>
  <c r="AD415" i="4"/>
  <c r="AD350" i="4"/>
  <c r="AD307" i="4"/>
  <c r="AD380" i="4"/>
  <c r="AD328" i="4"/>
  <c r="AD414" i="4"/>
  <c r="AD373" i="4"/>
  <c r="AD348" i="4"/>
  <c r="AD326" i="4"/>
  <c r="AD302" i="4"/>
  <c r="AD405" i="4"/>
  <c r="AD372" i="4"/>
  <c r="AD344" i="4"/>
  <c r="AD322" i="4"/>
  <c r="AD300" i="4"/>
  <c r="AD340" i="4"/>
  <c r="AD297" i="4"/>
  <c r="AD403" i="4"/>
  <c r="AD296" i="4"/>
  <c r="AD339" i="4"/>
  <c r="AD394" i="4"/>
  <c r="AD294" i="4"/>
  <c r="AD334" i="4"/>
  <c r="AD393" i="4"/>
  <c r="AD321" i="4"/>
  <c r="AD320" i="4"/>
  <c r="AD371" i="4"/>
  <c r="AD319" i="4"/>
  <c r="AD318" i="4"/>
  <c r="AD362" i="4"/>
  <c r="AD316" i="4"/>
  <c r="AD404" i="4"/>
  <c r="AD361" i="4"/>
  <c r="AD341" i="4"/>
  <c r="AD309" i="4"/>
  <c r="AD298" i="4"/>
  <c r="AD132" i="3"/>
  <c r="AD245" i="3"/>
  <c r="AD281" i="3"/>
  <c r="AD15" i="3"/>
  <c r="AD50" i="3"/>
  <c r="AD63" i="3"/>
  <c r="AD202" i="3"/>
  <c r="AD262" i="3"/>
  <c r="AD267" i="3"/>
  <c r="AD156" i="3"/>
  <c r="AD174" i="3"/>
  <c r="AD196" i="3"/>
  <c r="AD23" i="3"/>
  <c r="AD176" i="3"/>
  <c r="AD67" i="3"/>
  <c r="AD42" i="3"/>
  <c r="AD80" i="3"/>
  <c r="AD268" i="3"/>
  <c r="AD170" i="3"/>
  <c r="AD216" i="3"/>
  <c r="AD228" i="3"/>
  <c r="AD193" i="3"/>
  <c r="U403" i="3"/>
  <c r="V403" i="3" s="1"/>
  <c r="U371" i="3"/>
  <c r="V371" i="3" s="1"/>
  <c r="U339" i="3"/>
  <c r="V339" i="3" s="1"/>
  <c r="U307" i="3"/>
  <c r="V307" i="3" s="1"/>
  <c r="U275" i="3"/>
  <c r="V275" i="3" s="1"/>
  <c r="U243" i="3"/>
  <c r="V243" i="3" s="1"/>
  <c r="U211" i="3"/>
  <c r="V211" i="3" s="1"/>
  <c r="U179" i="3"/>
  <c r="V179" i="3" s="1"/>
  <c r="U165" i="3"/>
  <c r="V165" i="3" s="1"/>
  <c r="U149" i="3"/>
  <c r="V149" i="3" s="1"/>
  <c r="U569" i="3"/>
  <c r="V569" i="3" s="1"/>
  <c r="U553" i="3"/>
  <c r="V553" i="3" s="1"/>
  <c r="U537" i="3"/>
  <c r="V537" i="3" s="1"/>
  <c r="U521" i="3"/>
  <c r="V521" i="3" s="1"/>
  <c r="U505" i="3"/>
  <c r="V505" i="3" s="1"/>
  <c r="U489" i="3"/>
  <c r="V489" i="3" s="1"/>
  <c r="U473" i="3"/>
  <c r="V473" i="3" s="1"/>
  <c r="U457" i="3"/>
  <c r="V457" i="3" s="1"/>
  <c r="U441" i="3"/>
  <c r="V441" i="3" s="1"/>
  <c r="U425" i="3"/>
  <c r="V425" i="3" s="1"/>
  <c r="U413" i="3"/>
  <c r="V413" i="3" s="1"/>
  <c r="U381" i="3"/>
  <c r="V381" i="3" s="1"/>
  <c r="U349" i="3"/>
  <c r="V349" i="3" s="1"/>
  <c r="U317" i="3"/>
  <c r="V317" i="3" s="1"/>
  <c r="U285" i="3"/>
  <c r="V285" i="3" s="1"/>
  <c r="U253" i="3"/>
  <c r="V253" i="3" s="1"/>
  <c r="U221" i="3"/>
  <c r="V221" i="3" s="1"/>
  <c r="U189" i="3"/>
  <c r="V189" i="3" s="1"/>
  <c r="U568" i="3"/>
  <c r="V568" i="3" s="1"/>
  <c r="U552" i="3"/>
  <c r="V552" i="3" s="1"/>
  <c r="U536" i="3"/>
  <c r="V536" i="3" s="1"/>
  <c r="U520" i="3"/>
  <c r="V520" i="3" s="1"/>
  <c r="U504" i="3"/>
  <c r="V504" i="3" s="1"/>
  <c r="U488" i="3"/>
  <c r="V488" i="3" s="1"/>
  <c r="U472" i="3"/>
  <c r="V472" i="3" s="1"/>
  <c r="U456" i="3"/>
  <c r="V456" i="3" s="1"/>
  <c r="U440" i="3"/>
  <c r="V440" i="3" s="1"/>
  <c r="U424" i="3"/>
  <c r="V424" i="3" s="1"/>
  <c r="U391" i="3"/>
  <c r="V391" i="3" s="1"/>
  <c r="U359" i="3"/>
  <c r="V359" i="3" s="1"/>
  <c r="U567" i="3"/>
  <c r="V567" i="3" s="1"/>
  <c r="U551" i="3"/>
  <c r="V551" i="3" s="1"/>
  <c r="U535" i="3"/>
  <c r="V535" i="3" s="1"/>
  <c r="U519" i="3"/>
  <c r="V519" i="3" s="1"/>
  <c r="U503" i="3"/>
  <c r="V503" i="3" s="1"/>
  <c r="U487" i="3"/>
  <c r="V487" i="3" s="1"/>
  <c r="U471" i="3"/>
  <c r="V471" i="3" s="1"/>
  <c r="U455" i="3"/>
  <c r="V455" i="3" s="1"/>
  <c r="U439" i="3"/>
  <c r="V439" i="3" s="1"/>
  <c r="U423" i="3"/>
  <c r="V423" i="3" s="1"/>
  <c r="U401" i="3"/>
  <c r="V401" i="3" s="1"/>
  <c r="U369" i="3"/>
  <c r="V369" i="3" s="1"/>
  <c r="U337" i="3"/>
  <c r="V337" i="3" s="1"/>
  <c r="U305" i="3"/>
  <c r="V305" i="3" s="1"/>
  <c r="U273" i="3"/>
  <c r="V273" i="3" s="1"/>
  <c r="U566" i="3"/>
  <c r="V566" i="3" s="1"/>
  <c r="U550" i="3"/>
  <c r="V550" i="3" s="1"/>
  <c r="U534" i="3"/>
  <c r="V534" i="3" s="1"/>
  <c r="U518" i="3"/>
  <c r="V518" i="3" s="1"/>
  <c r="U502" i="3"/>
  <c r="V502" i="3" s="1"/>
  <c r="U486" i="3"/>
  <c r="V486" i="3" s="1"/>
  <c r="U470" i="3"/>
  <c r="V470" i="3" s="1"/>
  <c r="U454" i="3"/>
  <c r="V454" i="3" s="1"/>
  <c r="U438" i="3"/>
  <c r="V438" i="3" s="1"/>
  <c r="U422" i="3"/>
  <c r="V422" i="3" s="1"/>
  <c r="U411" i="3"/>
  <c r="V411" i="3" s="1"/>
  <c r="U379" i="3"/>
  <c r="V379" i="3" s="1"/>
  <c r="U347" i="3"/>
  <c r="V347" i="3" s="1"/>
  <c r="U315" i="3"/>
  <c r="V315" i="3" s="1"/>
  <c r="U283" i="3"/>
  <c r="V283" i="3" s="1"/>
  <c r="U251" i="3"/>
  <c r="V251" i="3" s="1"/>
  <c r="U219" i="3"/>
  <c r="V219" i="3" s="1"/>
  <c r="U187" i="3"/>
  <c r="V187" i="3" s="1"/>
  <c r="U153" i="3"/>
  <c r="V153" i="3" s="1"/>
  <c r="U137" i="3"/>
  <c r="V137" i="3" s="1"/>
  <c r="U121" i="3"/>
  <c r="V121" i="3" s="1"/>
  <c r="U565" i="3"/>
  <c r="V565" i="3" s="1"/>
  <c r="U549" i="3"/>
  <c r="V549" i="3" s="1"/>
  <c r="U533" i="3"/>
  <c r="V533" i="3" s="1"/>
  <c r="U517" i="3"/>
  <c r="V517" i="3" s="1"/>
  <c r="U501" i="3"/>
  <c r="V501" i="3" s="1"/>
  <c r="U485" i="3"/>
  <c r="V485" i="3" s="1"/>
  <c r="U469" i="3"/>
  <c r="V469" i="3" s="1"/>
  <c r="U453" i="3"/>
  <c r="V453" i="3" s="1"/>
  <c r="U437" i="3"/>
  <c r="V437" i="3" s="1"/>
  <c r="U421" i="3"/>
  <c r="V421" i="3" s="1"/>
  <c r="U389" i="3"/>
  <c r="V389" i="3" s="1"/>
  <c r="U357" i="3"/>
  <c r="V357" i="3" s="1"/>
  <c r="U325" i="3"/>
  <c r="V325" i="3" s="1"/>
  <c r="U293" i="3"/>
  <c r="V293" i="3" s="1"/>
  <c r="U261" i="3"/>
  <c r="V261" i="3" s="1"/>
  <c r="U229" i="3"/>
  <c r="V229" i="3" s="1"/>
  <c r="U197" i="3"/>
  <c r="V197" i="3" s="1"/>
  <c r="U162" i="3"/>
  <c r="V162" i="3" s="1"/>
  <c r="U146" i="3"/>
  <c r="V146" i="3" s="1"/>
  <c r="U130" i="3"/>
  <c r="V130" i="3" s="1"/>
  <c r="U114" i="3"/>
  <c r="V114" i="3" s="1"/>
  <c r="U98" i="3"/>
  <c r="V98" i="3" s="1"/>
  <c r="U82" i="3"/>
  <c r="V82" i="3" s="1"/>
  <c r="U564" i="3"/>
  <c r="V564" i="3" s="1"/>
  <c r="U548" i="3"/>
  <c r="V548" i="3" s="1"/>
  <c r="U532" i="3"/>
  <c r="V532" i="3" s="1"/>
  <c r="U516" i="3"/>
  <c r="V516" i="3" s="1"/>
  <c r="U500" i="3"/>
  <c r="V500" i="3" s="1"/>
  <c r="U484" i="3"/>
  <c r="V484" i="3" s="1"/>
  <c r="U468" i="3"/>
  <c r="V468" i="3" s="1"/>
  <c r="U452" i="3"/>
  <c r="V452" i="3" s="1"/>
  <c r="U436" i="3"/>
  <c r="V436" i="3" s="1"/>
  <c r="U410" i="3"/>
  <c r="V410" i="3" s="1"/>
  <c r="U378" i="3"/>
  <c r="V378" i="3" s="1"/>
  <c r="U346" i="3"/>
  <c r="V346" i="3" s="1"/>
  <c r="U314" i="3"/>
  <c r="V314" i="3" s="1"/>
  <c r="U282" i="3"/>
  <c r="V282" i="3" s="1"/>
  <c r="U250" i="3"/>
  <c r="V250" i="3" s="1"/>
  <c r="U218" i="3"/>
  <c r="V218" i="3" s="1"/>
  <c r="U186" i="3"/>
  <c r="V186" i="3" s="1"/>
  <c r="U399" i="3"/>
  <c r="V399" i="3" s="1"/>
  <c r="U367" i="3"/>
  <c r="V367" i="3" s="1"/>
  <c r="U335" i="3"/>
  <c r="V335" i="3" s="1"/>
  <c r="U303" i="3"/>
  <c r="V303" i="3" s="1"/>
  <c r="U271" i="3"/>
  <c r="V271" i="3" s="1"/>
  <c r="U239" i="3"/>
  <c r="V239" i="3" s="1"/>
  <c r="U207" i="3"/>
  <c r="V207" i="3" s="1"/>
  <c r="U175" i="3"/>
  <c r="V175" i="3" s="1"/>
  <c r="U155" i="3"/>
  <c r="V155" i="3" s="1"/>
  <c r="U563" i="3"/>
  <c r="V563" i="3" s="1"/>
  <c r="U547" i="3"/>
  <c r="V547" i="3" s="1"/>
  <c r="U531" i="3"/>
  <c r="V531" i="3" s="1"/>
  <c r="U515" i="3"/>
  <c r="V515" i="3" s="1"/>
  <c r="U499" i="3"/>
  <c r="V499" i="3" s="1"/>
  <c r="U483" i="3"/>
  <c r="V483" i="3" s="1"/>
  <c r="U467" i="3"/>
  <c r="V467" i="3" s="1"/>
  <c r="U451" i="3"/>
  <c r="V451" i="3" s="1"/>
  <c r="U435" i="3"/>
  <c r="V435" i="3" s="1"/>
  <c r="U409" i="3"/>
  <c r="V409" i="3" s="1"/>
  <c r="U377" i="3"/>
  <c r="V377" i="3" s="1"/>
  <c r="U345" i="3"/>
  <c r="V345" i="3" s="1"/>
  <c r="U313" i="3"/>
  <c r="V313" i="3" s="1"/>
  <c r="U281" i="3"/>
  <c r="V281" i="3" s="1"/>
  <c r="U249" i="3"/>
  <c r="V249" i="3" s="1"/>
  <c r="U217" i="3"/>
  <c r="V217" i="3" s="1"/>
  <c r="U185" i="3"/>
  <c r="V185" i="3" s="1"/>
  <c r="U164" i="3"/>
  <c r="V164" i="3" s="1"/>
  <c r="U562" i="3"/>
  <c r="V562" i="3" s="1"/>
  <c r="U546" i="3"/>
  <c r="V546" i="3" s="1"/>
  <c r="U530" i="3"/>
  <c r="V530" i="3" s="1"/>
  <c r="U514" i="3"/>
  <c r="V514" i="3" s="1"/>
  <c r="U498" i="3"/>
  <c r="V498" i="3" s="1"/>
  <c r="U482" i="3"/>
  <c r="V482" i="3" s="1"/>
  <c r="U466" i="3"/>
  <c r="V466" i="3" s="1"/>
  <c r="U450" i="3"/>
  <c r="V450" i="3" s="1"/>
  <c r="U434" i="3"/>
  <c r="V434" i="3" s="1"/>
  <c r="U398" i="3"/>
  <c r="V398" i="3" s="1"/>
  <c r="U419" i="3"/>
  <c r="V419" i="3" s="1"/>
  <c r="U387" i="3"/>
  <c r="V387" i="3" s="1"/>
  <c r="U355" i="3"/>
  <c r="V355" i="3" s="1"/>
  <c r="U323" i="3"/>
  <c r="V323" i="3" s="1"/>
  <c r="U291" i="3"/>
  <c r="V291" i="3" s="1"/>
  <c r="U259" i="3"/>
  <c r="V259" i="3" s="1"/>
  <c r="U227" i="3"/>
  <c r="V227" i="3" s="1"/>
  <c r="U561" i="3"/>
  <c r="V561" i="3" s="1"/>
  <c r="U545" i="3"/>
  <c r="V545" i="3" s="1"/>
  <c r="U529" i="3"/>
  <c r="V529" i="3" s="1"/>
  <c r="U513" i="3"/>
  <c r="V513" i="3" s="1"/>
  <c r="U497" i="3"/>
  <c r="V497" i="3" s="1"/>
  <c r="U481" i="3"/>
  <c r="V481" i="3" s="1"/>
  <c r="U465" i="3"/>
  <c r="V465" i="3" s="1"/>
  <c r="U449" i="3"/>
  <c r="V449" i="3" s="1"/>
  <c r="U433" i="3"/>
  <c r="V433" i="3" s="1"/>
  <c r="U397" i="3"/>
  <c r="V397" i="3" s="1"/>
  <c r="U365" i="3"/>
  <c r="V365" i="3" s="1"/>
  <c r="U333" i="3"/>
  <c r="V333" i="3" s="1"/>
  <c r="U301" i="3"/>
  <c r="V301" i="3" s="1"/>
  <c r="U269" i="3"/>
  <c r="V269" i="3" s="1"/>
  <c r="U237" i="3"/>
  <c r="V237" i="3" s="1"/>
  <c r="U205" i="3"/>
  <c r="V205" i="3" s="1"/>
  <c r="U173" i="3"/>
  <c r="V173" i="3" s="1"/>
  <c r="U166" i="3"/>
  <c r="V166" i="3" s="1"/>
  <c r="U150" i="3"/>
  <c r="V150" i="3" s="1"/>
  <c r="U134" i="3"/>
  <c r="V134" i="3" s="1"/>
  <c r="U560" i="3"/>
  <c r="V560" i="3" s="1"/>
  <c r="U544" i="3"/>
  <c r="V544" i="3" s="1"/>
  <c r="U528" i="3"/>
  <c r="V528" i="3" s="1"/>
  <c r="U512" i="3"/>
  <c r="V512" i="3" s="1"/>
  <c r="U496" i="3"/>
  <c r="V496" i="3" s="1"/>
  <c r="U480" i="3"/>
  <c r="V480" i="3" s="1"/>
  <c r="U464" i="3"/>
  <c r="V464" i="3" s="1"/>
  <c r="U448" i="3"/>
  <c r="V448" i="3" s="1"/>
  <c r="U407" i="3"/>
  <c r="V407" i="3" s="1"/>
  <c r="U375" i="3"/>
  <c r="V375" i="3" s="1"/>
  <c r="U343" i="3"/>
  <c r="V343" i="3" s="1"/>
  <c r="U311" i="3"/>
  <c r="V311" i="3" s="1"/>
  <c r="U279" i="3"/>
  <c r="V279" i="3" s="1"/>
  <c r="U247" i="3"/>
  <c r="V247" i="3" s="1"/>
  <c r="U559" i="3"/>
  <c r="V559" i="3" s="1"/>
  <c r="U543" i="3"/>
  <c r="V543" i="3" s="1"/>
  <c r="U527" i="3"/>
  <c r="V527" i="3" s="1"/>
  <c r="U511" i="3"/>
  <c r="V511" i="3" s="1"/>
  <c r="U495" i="3"/>
  <c r="V495" i="3" s="1"/>
  <c r="U479" i="3"/>
  <c r="V479" i="3" s="1"/>
  <c r="U463" i="3"/>
  <c r="V463" i="3" s="1"/>
  <c r="U447" i="3"/>
  <c r="V447" i="3" s="1"/>
  <c r="U431" i="3"/>
  <c r="V431" i="3" s="1"/>
  <c r="U396" i="3"/>
  <c r="V396" i="3" s="1"/>
  <c r="U364" i="3"/>
  <c r="V364" i="3" s="1"/>
  <c r="U417" i="3"/>
  <c r="V417" i="3" s="1"/>
  <c r="U385" i="3"/>
  <c r="V385" i="3" s="1"/>
  <c r="U558" i="3"/>
  <c r="V558" i="3" s="1"/>
  <c r="U542" i="3"/>
  <c r="V542" i="3" s="1"/>
  <c r="U526" i="3"/>
  <c r="V526" i="3" s="1"/>
  <c r="U510" i="3"/>
  <c r="V510" i="3" s="1"/>
  <c r="U494" i="3"/>
  <c r="V494" i="3" s="1"/>
  <c r="U395" i="3"/>
  <c r="V395" i="3" s="1"/>
  <c r="U555" i="3"/>
  <c r="V555" i="3" s="1"/>
  <c r="U539" i="3"/>
  <c r="V539" i="3" s="1"/>
  <c r="U523" i="3"/>
  <c r="V523" i="3" s="1"/>
  <c r="U507" i="3"/>
  <c r="V507" i="3" s="1"/>
  <c r="U491" i="3"/>
  <c r="V491" i="3" s="1"/>
  <c r="U475" i="3"/>
  <c r="V475" i="3" s="1"/>
  <c r="U459" i="3"/>
  <c r="V459" i="3" s="1"/>
  <c r="U393" i="3"/>
  <c r="V393" i="3" s="1"/>
  <c r="U361" i="3"/>
  <c r="V361" i="3" s="1"/>
  <c r="U329" i="3"/>
  <c r="V329" i="3" s="1"/>
  <c r="U297" i="3"/>
  <c r="V297" i="3" s="1"/>
  <c r="U265" i="3"/>
  <c r="V265" i="3" s="1"/>
  <c r="U554" i="3"/>
  <c r="V554" i="3" s="1"/>
  <c r="U538" i="3"/>
  <c r="V538" i="3" s="1"/>
  <c r="U557" i="3"/>
  <c r="V557" i="3" s="1"/>
  <c r="U460" i="3"/>
  <c r="V460" i="3" s="1"/>
  <c r="U388" i="3"/>
  <c r="V388" i="3" s="1"/>
  <c r="U368" i="3"/>
  <c r="V368" i="3" s="1"/>
  <c r="U350" i="3"/>
  <c r="V350" i="3" s="1"/>
  <c r="U331" i="3"/>
  <c r="V331" i="3" s="1"/>
  <c r="U233" i="3"/>
  <c r="V233" i="3" s="1"/>
  <c r="U190" i="3"/>
  <c r="V190" i="3" s="1"/>
  <c r="U176" i="3"/>
  <c r="V176" i="3" s="1"/>
  <c r="U163" i="3"/>
  <c r="V163" i="3" s="1"/>
  <c r="U157" i="3"/>
  <c r="V157" i="3" s="1"/>
  <c r="U118" i="3"/>
  <c r="V118" i="3" s="1"/>
  <c r="U101" i="3"/>
  <c r="V101" i="3" s="1"/>
  <c r="U79" i="3"/>
  <c r="V79" i="3" s="1"/>
  <c r="U60" i="3"/>
  <c r="V60" i="3" s="1"/>
  <c r="U263" i="3"/>
  <c r="V263" i="3" s="1"/>
  <c r="U203" i="3"/>
  <c r="V203" i="3" s="1"/>
  <c r="U556" i="3"/>
  <c r="V556" i="3" s="1"/>
  <c r="U458" i="3"/>
  <c r="V458" i="3" s="1"/>
  <c r="U386" i="3"/>
  <c r="V386" i="3" s="1"/>
  <c r="U366" i="3"/>
  <c r="V366" i="3" s="1"/>
  <c r="U446" i="3"/>
  <c r="V446" i="3" s="1"/>
  <c r="U408" i="3"/>
  <c r="V408" i="3" s="1"/>
  <c r="U348" i="3"/>
  <c r="V348" i="3" s="1"/>
  <c r="U330" i="3"/>
  <c r="V330" i="3" s="1"/>
  <c r="U312" i="3"/>
  <c r="V312" i="3" s="1"/>
  <c r="U296" i="3"/>
  <c r="V296" i="3" s="1"/>
  <c r="U278" i="3"/>
  <c r="V278" i="3" s="1"/>
  <c r="U216" i="3"/>
  <c r="V216" i="3" s="1"/>
  <c r="U154" i="3"/>
  <c r="V154" i="3" s="1"/>
  <c r="U541" i="3"/>
  <c r="V541" i="3" s="1"/>
  <c r="U445" i="3"/>
  <c r="V445" i="3" s="1"/>
  <c r="U262" i="3"/>
  <c r="V262" i="3" s="1"/>
  <c r="U231" i="3"/>
  <c r="V231" i="3" s="1"/>
  <c r="U202" i="3"/>
  <c r="V202" i="3" s="1"/>
  <c r="U188" i="3"/>
  <c r="V188" i="3" s="1"/>
  <c r="U138" i="3"/>
  <c r="V138" i="3" s="1"/>
  <c r="U108" i="3"/>
  <c r="V108" i="3" s="1"/>
  <c r="U86" i="3"/>
  <c r="V86" i="3" s="1"/>
  <c r="U406" i="3"/>
  <c r="V406" i="3" s="1"/>
  <c r="U384" i="3"/>
  <c r="V384" i="3" s="1"/>
  <c r="U540" i="3"/>
  <c r="V540" i="3" s="1"/>
  <c r="U444" i="3"/>
  <c r="V444" i="3" s="1"/>
  <c r="U405" i="3"/>
  <c r="V405" i="3" s="1"/>
  <c r="U363" i="3"/>
  <c r="V363" i="3" s="1"/>
  <c r="U525" i="3"/>
  <c r="V525" i="3" s="1"/>
  <c r="U443" i="3"/>
  <c r="V443" i="3" s="1"/>
  <c r="U383" i="3"/>
  <c r="V383" i="3" s="1"/>
  <c r="U344" i="3"/>
  <c r="V344" i="3" s="1"/>
  <c r="U244" i="3"/>
  <c r="V244" i="3" s="1"/>
  <c r="U214" i="3"/>
  <c r="V214" i="3" s="1"/>
  <c r="U115" i="3"/>
  <c r="V115" i="3" s="1"/>
  <c r="U93" i="3"/>
  <c r="V93" i="3" s="1"/>
  <c r="U442" i="3"/>
  <c r="V442" i="3" s="1"/>
  <c r="U327" i="3"/>
  <c r="V327" i="3" s="1"/>
  <c r="U292" i="3"/>
  <c r="V292" i="3" s="1"/>
  <c r="U276" i="3"/>
  <c r="V276" i="3" s="1"/>
  <c r="U258" i="3"/>
  <c r="V258" i="3" s="1"/>
  <c r="U228" i="3"/>
  <c r="V228" i="3" s="1"/>
  <c r="U200" i="3"/>
  <c r="V200" i="3" s="1"/>
  <c r="U148" i="3"/>
  <c r="V148" i="3" s="1"/>
  <c r="U57" i="3"/>
  <c r="V57" i="3" s="1"/>
  <c r="U524" i="3"/>
  <c r="V524" i="3" s="1"/>
  <c r="U432" i="3"/>
  <c r="V432" i="3" s="1"/>
  <c r="U404" i="3"/>
  <c r="V404" i="3" s="1"/>
  <c r="U382" i="3"/>
  <c r="V382" i="3" s="1"/>
  <c r="U362" i="3"/>
  <c r="V362" i="3" s="1"/>
  <c r="U309" i="3"/>
  <c r="V309" i="3" s="1"/>
  <c r="U171" i="3"/>
  <c r="V171" i="3" s="1"/>
  <c r="U159" i="3"/>
  <c r="V159" i="3" s="1"/>
  <c r="U135" i="3"/>
  <c r="V135" i="3" s="1"/>
  <c r="U110" i="3"/>
  <c r="V110" i="3" s="1"/>
  <c r="U88" i="3"/>
  <c r="V88" i="3" s="1"/>
  <c r="U64" i="3"/>
  <c r="V64" i="3" s="1"/>
  <c r="U71" i="3"/>
  <c r="V71" i="3" s="1"/>
  <c r="U430" i="3"/>
  <c r="V430" i="3" s="1"/>
  <c r="U326" i="3"/>
  <c r="V326" i="3" s="1"/>
  <c r="U257" i="3"/>
  <c r="V257" i="3" s="1"/>
  <c r="U213" i="3"/>
  <c r="V213" i="3" s="1"/>
  <c r="U199" i="3"/>
  <c r="V199" i="3" s="1"/>
  <c r="U184" i="3"/>
  <c r="V184" i="3" s="1"/>
  <c r="U522" i="3"/>
  <c r="V522" i="3" s="1"/>
  <c r="U429" i="3"/>
  <c r="V429" i="3" s="1"/>
  <c r="U342" i="3"/>
  <c r="V342" i="3" s="1"/>
  <c r="U290" i="3"/>
  <c r="V290" i="3" s="1"/>
  <c r="U274" i="3"/>
  <c r="V274" i="3" s="1"/>
  <c r="U509" i="3"/>
  <c r="V509" i="3" s="1"/>
  <c r="U402" i="3"/>
  <c r="V402" i="3" s="1"/>
  <c r="U380" i="3"/>
  <c r="V380" i="3" s="1"/>
  <c r="U324" i="3"/>
  <c r="V324" i="3" s="1"/>
  <c r="U308" i="3"/>
  <c r="V308" i="3" s="1"/>
  <c r="U183" i="3"/>
  <c r="V183" i="3" s="1"/>
  <c r="U170" i="3"/>
  <c r="V170" i="3" s="1"/>
  <c r="U156" i="3"/>
  <c r="V156" i="3" s="1"/>
  <c r="U428" i="3"/>
  <c r="V428" i="3" s="1"/>
  <c r="U360" i="3"/>
  <c r="V360" i="3" s="1"/>
  <c r="U289" i="3"/>
  <c r="V289" i="3" s="1"/>
  <c r="U256" i="3"/>
  <c r="V256" i="3" s="1"/>
  <c r="U212" i="3"/>
  <c r="V212" i="3" s="1"/>
  <c r="U198" i="3"/>
  <c r="V198" i="3" s="1"/>
  <c r="U145" i="3"/>
  <c r="V145" i="3" s="1"/>
  <c r="U117" i="3"/>
  <c r="V117" i="3" s="1"/>
  <c r="U508" i="3"/>
  <c r="V508" i="3" s="1"/>
  <c r="U341" i="3"/>
  <c r="V341" i="3" s="1"/>
  <c r="U241" i="3"/>
  <c r="V241" i="3" s="1"/>
  <c r="U225" i="3"/>
  <c r="V225" i="3" s="1"/>
  <c r="U506" i="3"/>
  <c r="V506" i="3" s="1"/>
  <c r="U426" i="3"/>
  <c r="V426" i="3" s="1"/>
  <c r="U376" i="3"/>
  <c r="V376" i="3" s="1"/>
  <c r="U358" i="3"/>
  <c r="V358" i="3" s="1"/>
  <c r="U288" i="3"/>
  <c r="V288" i="3" s="1"/>
  <c r="U255" i="3"/>
  <c r="V255" i="3" s="1"/>
  <c r="U240" i="3"/>
  <c r="V240" i="3" s="1"/>
  <c r="U493" i="3"/>
  <c r="V493" i="3" s="1"/>
  <c r="U340" i="3"/>
  <c r="V340" i="3" s="1"/>
  <c r="U321" i="3"/>
  <c r="V321" i="3" s="1"/>
  <c r="U270" i="3"/>
  <c r="V270" i="3" s="1"/>
  <c r="U224" i="3"/>
  <c r="V224" i="3" s="1"/>
  <c r="U210" i="3"/>
  <c r="V210" i="3" s="1"/>
  <c r="U195" i="3"/>
  <c r="V195" i="3" s="1"/>
  <c r="U168" i="3"/>
  <c r="V168" i="3" s="1"/>
  <c r="U420" i="3"/>
  <c r="V420" i="3" s="1"/>
  <c r="U356" i="3"/>
  <c r="V356" i="3" s="1"/>
  <c r="U238" i="3"/>
  <c r="V238" i="3" s="1"/>
  <c r="U181" i="3"/>
  <c r="V181" i="3" s="1"/>
  <c r="U492" i="3"/>
  <c r="V492" i="3" s="1"/>
  <c r="U374" i="3"/>
  <c r="V374" i="3" s="1"/>
  <c r="U304" i="3"/>
  <c r="V304" i="3" s="1"/>
  <c r="U287" i="3"/>
  <c r="V287" i="3" s="1"/>
  <c r="U254" i="3"/>
  <c r="V254" i="3" s="1"/>
  <c r="U194" i="3"/>
  <c r="V194" i="3" s="1"/>
  <c r="U418" i="3"/>
  <c r="V418" i="3" s="1"/>
  <c r="U338" i="3"/>
  <c r="V338" i="3" s="1"/>
  <c r="U320" i="3"/>
  <c r="V320" i="3" s="1"/>
  <c r="U490" i="3"/>
  <c r="V490" i="3" s="1"/>
  <c r="U354" i="3"/>
  <c r="V354" i="3" s="1"/>
  <c r="U302" i="3"/>
  <c r="V302" i="3" s="1"/>
  <c r="U286" i="3"/>
  <c r="V286" i="3" s="1"/>
  <c r="U478" i="3"/>
  <c r="V478" i="3" s="1"/>
  <c r="U416" i="3"/>
  <c r="V416" i="3" s="1"/>
  <c r="U394" i="3"/>
  <c r="V394" i="3" s="1"/>
  <c r="U373" i="3"/>
  <c r="V373" i="3" s="1"/>
  <c r="U236" i="3"/>
  <c r="V236" i="3" s="1"/>
  <c r="U208" i="3"/>
  <c r="V208" i="3" s="1"/>
  <c r="U193" i="3"/>
  <c r="V193" i="3" s="1"/>
  <c r="U477" i="3"/>
  <c r="V477" i="3" s="1"/>
  <c r="U353" i="3"/>
  <c r="V353" i="3" s="1"/>
  <c r="U336" i="3"/>
  <c r="V336" i="3" s="1"/>
  <c r="U300" i="3"/>
  <c r="V300" i="3" s="1"/>
  <c r="U206" i="3"/>
  <c r="V206" i="3" s="1"/>
  <c r="U476" i="3"/>
  <c r="V476" i="3" s="1"/>
  <c r="U415" i="3"/>
  <c r="V415" i="3" s="1"/>
  <c r="U372" i="3"/>
  <c r="V372" i="3" s="1"/>
  <c r="U334" i="3"/>
  <c r="V334" i="3" s="1"/>
  <c r="U392" i="3"/>
  <c r="V392" i="3" s="1"/>
  <c r="U352" i="3"/>
  <c r="V352" i="3" s="1"/>
  <c r="U474" i="3"/>
  <c r="V474" i="3" s="1"/>
  <c r="U414" i="3"/>
  <c r="V414" i="3" s="1"/>
  <c r="U316" i="3"/>
  <c r="V316" i="3" s="1"/>
  <c r="U266" i="3"/>
  <c r="V266" i="3" s="1"/>
  <c r="U174" i="3"/>
  <c r="V174" i="3" s="1"/>
  <c r="U158" i="3"/>
  <c r="V158" i="3" s="1"/>
  <c r="U103" i="3"/>
  <c r="V103" i="3" s="1"/>
  <c r="U462" i="3"/>
  <c r="V462" i="3" s="1"/>
  <c r="U232" i="3"/>
  <c r="V232" i="3" s="1"/>
  <c r="U59" i="3"/>
  <c r="V59" i="3" s="1"/>
  <c r="U68" i="3"/>
  <c r="V68" i="3" s="1"/>
  <c r="U56" i="3"/>
  <c r="V56" i="3" s="1"/>
  <c r="U109" i="3"/>
  <c r="V109" i="3" s="1"/>
  <c r="U461" i="3"/>
  <c r="V461" i="3" s="1"/>
  <c r="U201" i="3"/>
  <c r="V201" i="3" s="1"/>
  <c r="U119" i="3"/>
  <c r="V119" i="3" s="1"/>
  <c r="U172" i="3"/>
  <c r="V172" i="3" s="1"/>
  <c r="U427" i="3"/>
  <c r="V427" i="3" s="1"/>
  <c r="U310" i="3"/>
  <c r="V310" i="3" s="1"/>
  <c r="U264" i="3"/>
  <c r="V264" i="3" s="1"/>
  <c r="U230" i="3"/>
  <c r="V230" i="3" s="1"/>
  <c r="U196" i="3"/>
  <c r="V196" i="3" s="1"/>
  <c r="U126" i="3"/>
  <c r="V126" i="3" s="1"/>
  <c r="U65" i="3"/>
  <c r="V65" i="3" s="1"/>
  <c r="U306" i="3"/>
  <c r="V306" i="3" s="1"/>
  <c r="U226" i="3"/>
  <c r="V226" i="3" s="1"/>
  <c r="U169" i="3"/>
  <c r="V169" i="3" s="1"/>
  <c r="U141" i="3"/>
  <c r="V141" i="3" s="1"/>
  <c r="U77" i="3"/>
  <c r="V77" i="3" s="1"/>
  <c r="U74" i="3"/>
  <c r="V74" i="3" s="1"/>
  <c r="U122" i="3"/>
  <c r="V122" i="3" s="1"/>
  <c r="U96" i="3"/>
  <c r="V96" i="3" s="1"/>
  <c r="U83" i="3"/>
  <c r="V83" i="3" s="1"/>
  <c r="U129" i="3"/>
  <c r="V129" i="3" s="1"/>
  <c r="U112" i="3"/>
  <c r="V112" i="3" s="1"/>
  <c r="U80" i="3"/>
  <c r="V80" i="3" s="1"/>
  <c r="U412" i="3"/>
  <c r="V412" i="3" s="1"/>
  <c r="U260" i="3"/>
  <c r="V260" i="3" s="1"/>
  <c r="U223" i="3"/>
  <c r="V223" i="3" s="1"/>
  <c r="U167" i="3"/>
  <c r="V167" i="3" s="1"/>
  <c r="U133" i="3"/>
  <c r="V133" i="3" s="1"/>
  <c r="U102" i="3"/>
  <c r="V102" i="3" s="1"/>
  <c r="U400" i="3"/>
  <c r="V400" i="3" s="1"/>
  <c r="U299" i="3"/>
  <c r="V299" i="3" s="1"/>
  <c r="U222" i="3"/>
  <c r="V222" i="3" s="1"/>
  <c r="U192" i="3"/>
  <c r="V192" i="3" s="1"/>
  <c r="U390" i="3"/>
  <c r="V390" i="3" s="1"/>
  <c r="U105" i="3"/>
  <c r="V105" i="3" s="1"/>
  <c r="U248" i="3"/>
  <c r="V248" i="3" s="1"/>
  <c r="U215" i="3"/>
  <c r="V215" i="3" s="1"/>
  <c r="U351" i="3"/>
  <c r="V351" i="3" s="1"/>
  <c r="U284" i="3"/>
  <c r="V284" i="3" s="1"/>
  <c r="U245" i="3"/>
  <c r="V245" i="3" s="1"/>
  <c r="U332" i="3"/>
  <c r="V332" i="3" s="1"/>
  <c r="U252" i="3"/>
  <c r="V252" i="3" s="1"/>
  <c r="U120" i="3"/>
  <c r="V120" i="3" s="1"/>
  <c r="U136" i="3"/>
  <c r="V136" i="3" s="1"/>
  <c r="U81" i="3"/>
  <c r="V81" i="3" s="1"/>
  <c r="U191" i="3"/>
  <c r="V191" i="3" s="1"/>
  <c r="U246" i="3"/>
  <c r="V246" i="3" s="1"/>
  <c r="U204" i="3"/>
  <c r="V204" i="3" s="1"/>
  <c r="U131" i="3"/>
  <c r="V131" i="3" s="1"/>
  <c r="U104" i="3"/>
  <c r="V104" i="3" s="1"/>
  <c r="U143" i="3"/>
  <c r="V143" i="3" s="1"/>
  <c r="U90" i="3"/>
  <c r="V90" i="3" s="1"/>
  <c r="U370" i="3"/>
  <c r="V370" i="3" s="1"/>
  <c r="U99" i="3"/>
  <c r="V99" i="3" s="1"/>
  <c r="U85" i="3"/>
  <c r="V85" i="3" s="1"/>
  <c r="U76" i="3"/>
  <c r="V76" i="3" s="1"/>
  <c r="U72" i="3"/>
  <c r="V72" i="3" s="1"/>
  <c r="U235" i="3"/>
  <c r="V235" i="3" s="1"/>
  <c r="U89" i="3"/>
  <c r="V89" i="3" s="1"/>
  <c r="U182" i="3"/>
  <c r="V182" i="3" s="1"/>
  <c r="U124" i="3"/>
  <c r="V124" i="3" s="1"/>
  <c r="U94" i="3"/>
  <c r="V94" i="3" s="1"/>
  <c r="U67" i="3"/>
  <c r="V67" i="3" s="1"/>
  <c r="U113" i="3"/>
  <c r="V113" i="3" s="1"/>
  <c r="U328" i="3"/>
  <c r="V328" i="3" s="1"/>
  <c r="U242" i="3"/>
  <c r="V242" i="3" s="1"/>
  <c r="U142" i="3"/>
  <c r="V142" i="3" s="1"/>
  <c r="U318" i="3"/>
  <c r="V318" i="3" s="1"/>
  <c r="U63" i="3"/>
  <c r="V63" i="3" s="1"/>
  <c r="U322" i="3"/>
  <c r="V322" i="3" s="1"/>
  <c r="U107" i="3"/>
  <c r="V107" i="3" s="1"/>
  <c r="U319" i="3"/>
  <c r="V319" i="3" s="1"/>
  <c r="U161" i="3"/>
  <c r="V161" i="3" s="1"/>
  <c r="U180" i="3"/>
  <c r="V180" i="3" s="1"/>
  <c r="U147" i="3"/>
  <c r="V147" i="3" s="1"/>
  <c r="U123" i="3"/>
  <c r="V123" i="3" s="1"/>
  <c r="U97" i="3"/>
  <c r="V97" i="3" s="1"/>
  <c r="U70" i="3"/>
  <c r="V70" i="3" s="1"/>
  <c r="U58" i="3"/>
  <c r="V58" i="3" s="1"/>
  <c r="U294" i="3"/>
  <c r="V294" i="3" s="1"/>
  <c r="U220" i="3"/>
  <c r="V220" i="3" s="1"/>
  <c r="U178" i="3"/>
  <c r="V178" i="3" s="1"/>
  <c r="U128" i="3"/>
  <c r="V128" i="3" s="1"/>
  <c r="U152" i="3"/>
  <c r="V152" i="3" s="1"/>
  <c r="U66" i="3"/>
  <c r="V66" i="3" s="1"/>
  <c r="U62" i="3"/>
  <c r="V62" i="3" s="1"/>
  <c r="U160" i="3"/>
  <c r="V160" i="3" s="1"/>
  <c r="U111" i="3"/>
  <c r="V111" i="3" s="1"/>
  <c r="U92" i="3"/>
  <c r="V92" i="3" s="1"/>
  <c r="U177" i="3"/>
  <c r="V177" i="3" s="1"/>
  <c r="U139" i="3"/>
  <c r="V139" i="3" s="1"/>
  <c r="U144" i="3"/>
  <c r="V144" i="3" s="1"/>
  <c r="U84" i="3"/>
  <c r="V84" i="3" s="1"/>
  <c r="U280" i="3"/>
  <c r="V280" i="3" s="1"/>
  <c r="U127" i="3"/>
  <c r="V127" i="3" s="1"/>
  <c r="U106" i="3"/>
  <c r="V106" i="3" s="1"/>
  <c r="U132" i="3"/>
  <c r="V132" i="3" s="1"/>
  <c r="U61" i="3"/>
  <c r="V61" i="3" s="1"/>
  <c r="U151" i="3"/>
  <c r="V151" i="3" s="1"/>
  <c r="U78" i="3"/>
  <c r="V78" i="3" s="1"/>
  <c r="U73" i="3"/>
  <c r="V73" i="3" s="1"/>
  <c r="U277" i="3"/>
  <c r="V277" i="3" s="1"/>
  <c r="U116" i="3"/>
  <c r="V116" i="3" s="1"/>
  <c r="U87" i="3"/>
  <c r="V87" i="3" s="1"/>
  <c r="U95" i="3"/>
  <c r="V95" i="3" s="1"/>
  <c r="U69" i="3"/>
  <c r="V69" i="3" s="1"/>
  <c r="U75" i="3"/>
  <c r="V75" i="3" s="1"/>
  <c r="U209" i="3"/>
  <c r="V209" i="3" s="1"/>
  <c r="U91" i="3"/>
  <c r="V91" i="3" s="1"/>
  <c r="U268" i="3"/>
  <c r="V268" i="3" s="1"/>
  <c r="U272" i="3"/>
  <c r="V272" i="3" s="1"/>
  <c r="U100" i="3"/>
  <c r="V100" i="3" s="1"/>
  <c r="U267" i="3"/>
  <c r="V267" i="3" s="1"/>
  <c r="U140" i="3"/>
  <c r="V140" i="3" s="1"/>
  <c r="U125" i="3"/>
  <c r="V125" i="3" s="1"/>
  <c r="U298" i="3"/>
  <c r="V298" i="3" s="1"/>
  <c r="U295" i="3"/>
  <c r="V295" i="3" s="1"/>
  <c r="U234" i="3"/>
  <c r="V234" i="3" s="1"/>
  <c r="U52" i="3"/>
  <c r="V52" i="3" s="1"/>
  <c r="AD205" i="3"/>
  <c r="AD104" i="3"/>
  <c r="AD187" i="3"/>
  <c r="AD64" i="3"/>
  <c r="AD112" i="3"/>
  <c r="AD161" i="3"/>
  <c r="AD226" i="3"/>
  <c r="AD232" i="3"/>
  <c r="AD260" i="3"/>
  <c r="AD154" i="3"/>
  <c r="AD149" i="3"/>
  <c r="AD167" i="3"/>
  <c r="AD242" i="3"/>
  <c r="AD278" i="3"/>
  <c r="AD292" i="3"/>
  <c r="AD20" i="3"/>
  <c r="AD240" i="3"/>
  <c r="AD114" i="3"/>
  <c r="U18" i="3"/>
  <c r="V18" i="3" s="1"/>
  <c r="U9" i="3"/>
  <c r="V9" i="3" s="1"/>
  <c r="AD36" i="3"/>
  <c r="AD61" i="3"/>
  <c r="AD8" i="3"/>
  <c r="AD150" i="3"/>
  <c r="AD198" i="3"/>
  <c r="AD194" i="3"/>
  <c r="AD274" i="3"/>
  <c r="AD74" i="3"/>
  <c r="AD75" i="3"/>
  <c r="U51" i="3"/>
  <c r="V51" i="3" s="1"/>
  <c r="U41" i="3"/>
  <c r="V41" i="3" s="1"/>
  <c r="AD46" i="3"/>
  <c r="AD78" i="3"/>
  <c r="AD22" i="3"/>
  <c r="AD131" i="3"/>
  <c r="AD264" i="3"/>
  <c r="AD209" i="3"/>
  <c r="AD290" i="3"/>
  <c r="AD96" i="3"/>
  <c r="AD91" i="3"/>
  <c r="AD151" i="3"/>
  <c r="AD38" i="3"/>
  <c r="AD180" i="3"/>
  <c r="AD4" i="3"/>
  <c r="AD223" i="3"/>
  <c r="AD52" i="3"/>
  <c r="AD113" i="3"/>
  <c r="AD107" i="3"/>
  <c r="AD218" i="3"/>
  <c r="U10" i="3"/>
  <c r="V10" i="3" s="1"/>
  <c r="AD208" i="3"/>
  <c r="AD280" i="3"/>
  <c r="AD98" i="3"/>
  <c r="AD244" i="3"/>
  <c r="AD65" i="3"/>
  <c r="AD129" i="3"/>
  <c r="AD83" i="3"/>
  <c r="AD128" i="3"/>
  <c r="AD123" i="3"/>
  <c r="AD101" i="3"/>
  <c r="AD188" i="3"/>
  <c r="AD282" i="3"/>
  <c r="AD126" i="3"/>
  <c r="AD142" i="3"/>
  <c r="AD100" i="3"/>
  <c r="AD133" i="3"/>
  <c r="AD139" i="3"/>
  <c r="U49" i="3"/>
  <c r="V49" i="3" s="1"/>
  <c r="U26" i="3"/>
  <c r="V26" i="3" s="1"/>
  <c r="AD70" i="3"/>
  <c r="U46" i="3"/>
  <c r="V46" i="3" s="1"/>
  <c r="U4" i="3"/>
  <c r="V4" i="3" s="1"/>
  <c r="AD79" i="3"/>
  <c r="AD284" i="3"/>
  <c r="AD19" i="3"/>
  <c r="AD286" i="3"/>
  <c r="AD230" i="3"/>
  <c r="AD238" i="3"/>
  <c r="AD105" i="3"/>
  <c r="AD160" i="3"/>
  <c r="AD155" i="3"/>
  <c r="AD35" i="3"/>
  <c r="AD89" i="3"/>
  <c r="AD137" i="3"/>
  <c r="AD254" i="3"/>
  <c r="AD140" i="3"/>
  <c r="AD246" i="3"/>
  <c r="AD175" i="3"/>
  <c r="AD207" i="3"/>
  <c r="AD136" i="3"/>
  <c r="AD12" i="3"/>
  <c r="AD24" i="3"/>
  <c r="AD165" i="3"/>
  <c r="AD257" i="3"/>
  <c r="AD239" i="3"/>
  <c r="AD29" i="3"/>
  <c r="AD289" i="3"/>
  <c r="U12" i="3"/>
  <c r="V12" i="3" s="1"/>
  <c r="U45" i="3"/>
  <c r="V45" i="3" s="1"/>
  <c r="AD166" i="3"/>
  <c r="AD5" i="3"/>
  <c r="AD190" i="3"/>
  <c r="AD191" i="3"/>
  <c r="AD37" i="3"/>
  <c r="AD68" i="3"/>
  <c r="AD213" i="3"/>
  <c r="AD143" i="3"/>
  <c r="AD130" i="3"/>
  <c r="AD33" i="3"/>
  <c r="AD40" i="3"/>
  <c r="AD184" i="3"/>
  <c r="U36" i="3"/>
  <c r="V36" i="3" s="1"/>
  <c r="U15" i="3"/>
  <c r="V15" i="3" s="1"/>
  <c r="AD212" i="3"/>
  <c r="AD177" i="3"/>
  <c r="AD124" i="3"/>
  <c r="AD220" i="3"/>
  <c r="AD106" i="3"/>
  <c r="AD168" i="3"/>
  <c r="AD243" i="3"/>
  <c r="AD159" i="3"/>
  <c r="AD413" i="3"/>
  <c r="AD381" i="3"/>
  <c r="AD349" i="3"/>
  <c r="AD317" i="3"/>
  <c r="AD391" i="3"/>
  <c r="AD359" i="3"/>
  <c r="AD327" i="3"/>
  <c r="AD295" i="3"/>
  <c r="AD401" i="3"/>
  <c r="AD369" i="3"/>
  <c r="AD337" i="3"/>
  <c r="AD411" i="3"/>
  <c r="AD379" i="3"/>
  <c r="AD347" i="3"/>
  <c r="AD315" i="3"/>
  <c r="AD421" i="3"/>
  <c r="AD389" i="3"/>
  <c r="AD357" i="3"/>
  <c r="AD325" i="3"/>
  <c r="AD399" i="3"/>
  <c r="AD367" i="3"/>
  <c r="AD335" i="3"/>
  <c r="AD303" i="3"/>
  <c r="AD420" i="3"/>
  <c r="AD388" i="3"/>
  <c r="AD356" i="3"/>
  <c r="AD324" i="3"/>
  <c r="AD409" i="3"/>
  <c r="AD377" i="3"/>
  <c r="AD345" i="3"/>
  <c r="AD313" i="3"/>
  <c r="AD419" i="3"/>
  <c r="AD387" i="3"/>
  <c r="AD355" i="3"/>
  <c r="AD323" i="3"/>
  <c r="AD408" i="3"/>
  <c r="AD376" i="3"/>
  <c r="AD397" i="3"/>
  <c r="AD365" i="3"/>
  <c r="AD333" i="3"/>
  <c r="AD301" i="3"/>
  <c r="AD407" i="3"/>
  <c r="AD375" i="3"/>
  <c r="AD343" i="3"/>
  <c r="AD311" i="3"/>
  <c r="AD417" i="3"/>
  <c r="AD385" i="3"/>
  <c r="AD353" i="3"/>
  <c r="AD321" i="3"/>
  <c r="AD406" i="3"/>
  <c r="AD374" i="3"/>
  <c r="AD395" i="3"/>
  <c r="AD405" i="3"/>
  <c r="AD403" i="3"/>
  <c r="AD371" i="3"/>
  <c r="AD339" i="3"/>
  <c r="AD307" i="3"/>
  <c r="AD314" i="3"/>
  <c r="AD297" i="3"/>
  <c r="AD410" i="3"/>
  <c r="AD386" i="3"/>
  <c r="AD366" i="3"/>
  <c r="AD330" i="3"/>
  <c r="AD348" i="3"/>
  <c r="AD312" i="3"/>
  <c r="AD296" i="3"/>
  <c r="AD384" i="3"/>
  <c r="AD364" i="3"/>
  <c r="AD329" i="3"/>
  <c r="AD363" i="3"/>
  <c r="AD346" i="3"/>
  <c r="AD383" i="3"/>
  <c r="AD328" i="3"/>
  <c r="AD344" i="3"/>
  <c r="AD404" i="3"/>
  <c r="AD362" i="3"/>
  <c r="AD309" i="3"/>
  <c r="AD382" i="3"/>
  <c r="AD342" i="3"/>
  <c r="AD326" i="3"/>
  <c r="AD361" i="3"/>
  <c r="AD308" i="3"/>
  <c r="AD402" i="3"/>
  <c r="AD380" i="3"/>
  <c r="AD360" i="3"/>
  <c r="AD341" i="3"/>
  <c r="AD400" i="3"/>
  <c r="AD378" i="3"/>
  <c r="AD322" i="3"/>
  <c r="AD306" i="3"/>
  <c r="AD398" i="3"/>
  <c r="AD305" i="3"/>
  <c r="AD396" i="3"/>
  <c r="AD320" i="3"/>
  <c r="AD304" i="3"/>
  <c r="AD418" i="3"/>
  <c r="AD338" i="3"/>
  <c r="AD394" i="3"/>
  <c r="AD373" i="3"/>
  <c r="AD354" i="3"/>
  <c r="AD416" i="3"/>
  <c r="AD319" i="3"/>
  <c r="AD336" i="3"/>
  <c r="AD415" i="3"/>
  <c r="AD393" i="3"/>
  <c r="AD372" i="3"/>
  <c r="AD352" i="3"/>
  <c r="AD334" i="3"/>
  <c r="AD318" i="3"/>
  <c r="AD392" i="3"/>
  <c r="AD414" i="3"/>
  <c r="AD370" i="3"/>
  <c r="AD351" i="3"/>
  <c r="AD310" i="3"/>
  <c r="AD412" i="3"/>
  <c r="AD302" i="3"/>
  <c r="AD300" i="3"/>
  <c r="AD299" i="3"/>
  <c r="AD390" i="3"/>
  <c r="AD298" i="3"/>
  <c r="AD350" i="3"/>
  <c r="AD340" i="3"/>
  <c r="AD332" i="3"/>
  <c r="AD368" i="3"/>
  <c r="AD358" i="3"/>
  <c r="AD331" i="3"/>
  <c r="AD316" i="3"/>
  <c r="AD294" i="3"/>
  <c r="AD118" i="3"/>
  <c r="AD276" i="3"/>
  <c r="AD26" i="3"/>
  <c r="U8" i="3"/>
  <c r="V8" i="3" s="1"/>
  <c r="U31" i="3"/>
  <c r="V31" i="3" s="1"/>
  <c r="AD17" i="3"/>
  <c r="AD219" i="3"/>
  <c r="AD60" i="3"/>
  <c r="AD3" i="3"/>
  <c r="AD109" i="3"/>
  <c r="AD181" i="3"/>
  <c r="AD110" i="3"/>
  <c r="AD183" i="3"/>
  <c r="AD162" i="3"/>
  <c r="AD57" i="3"/>
  <c r="AD88" i="3"/>
  <c r="AD117" i="3"/>
  <c r="U27" i="3"/>
  <c r="V27" i="3" s="1"/>
  <c r="U47" i="3"/>
  <c r="V47" i="3" s="1"/>
  <c r="AD30" i="3"/>
  <c r="AD31" i="3"/>
  <c r="AD76" i="3"/>
  <c r="AD92" i="3"/>
  <c r="AD145" i="3"/>
  <c r="AD210" i="3"/>
  <c r="AD135" i="3"/>
  <c r="AD215" i="3"/>
  <c r="AD197" i="3"/>
  <c r="AD152" i="3"/>
  <c r="U43" i="3"/>
  <c r="V43" i="3" s="1"/>
  <c r="U54" i="3"/>
  <c r="V54" i="3" s="1"/>
  <c r="AD73" i="3"/>
  <c r="AD49" i="3"/>
  <c r="AD9" i="3"/>
  <c r="AD256" i="3"/>
  <c r="AD172" i="3"/>
  <c r="AD270" i="3"/>
  <c r="AD171" i="3"/>
  <c r="AD247" i="3"/>
  <c r="AD229" i="3"/>
  <c r="AD95" i="3"/>
  <c r="AD85" i="3"/>
  <c r="AD18" i="3"/>
  <c r="AD265" i="3"/>
  <c r="AD211" i="3"/>
  <c r="AD200" i="3"/>
  <c r="AD279" i="3"/>
  <c r="AD261" i="3"/>
  <c r="AD16" i="3"/>
  <c r="AD258" i="3"/>
  <c r="AD237" i="3"/>
  <c r="AD293" i="3"/>
  <c r="AD287" i="3"/>
  <c r="AD82" i="3"/>
  <c r="AD39" i="3"/>
  <c r="AD250" i="3"/>
  <c r="AD69" i="3"/>
  <c r="AD269" i="3"/>
  <c r="AD283" i="3"/>
  <c r="U28" i="3"/>
  <c r="V28" i="3" s="1"/>
  <c r="U32" i="3"/>
  <c r="V32" i="3" s="1"/>
  <c r="AD14" i="3"/>
  <c r="AD47" i="3"/>
  <c r="AD84" i="3"/>
  <c r="AD115" i="3"/>
  <c r="AD56" i="3"/>
  <c r="AD288" i="3"/>
  <c r="AD81" i="3"/>
  <c r="AD157" i="3"/>
  <c r="AD199" i="3"/>
  <c r="AD51" i="3"/>
  <c r="U5" i="3"/>
  <c r="V5" i="3" s="1"/>
  <c r="AD27" i="3"/>
  <c r="AD222" i="3"/>
  <c r="AD231" i="3"/>
  <c r="AD7" i="3"/>
  <c r="AD71" i="3"/>
  <c r="U14" i="3"/>
  <c r="V14" i="3" s="1"/>
  <c r="AD6" i="3"/>
  <c r="AD54" i="3"/>
  <c r="AD255" i="3"/>
  <c r="U16" i="3"/>
  <c r="V16" i="3" s="1"/>
  <c r="AD86" i="3"/>
  <c r="U48" i="3"/>
  <c r="V48" i="3" s="1"/>
  <c r="AD66" i="3"/>
  <c r="AD148" i="3"/>
  <c r="AD59" i="3"/>
  <c r="AD153" i="3"/>
  <c r="AD103" i="3"/>
  <c r="AD195" i="3"/>
  <c r="U37" i="3"/>
  <c r="V37" i="3" s="1"/>
  <c r="AD43" i="3"/>
  <c r="AD234" i="3"/>
  <c r="AD94" i="3"/>
  <c r="AD192" i="3"/>
  <c r="AD93" i="3"/>
  <c r="AD169" i="3"/>
  <c r="AD120" i="3"/>
  <c r="AD227" i="3"/>
  <c r="AD263" i="3"/>
  <c r="AD272" i="3"/>
  <c r="AD87" i="3"/>
  <c r="AD108" i="3"/>
  <c r="AD119" i="3"/>
  <c r="AD125" i="3"/>
  <c r="AD158" i="3"/>
  <c r="AD203" i="3"/>
  <c r="U50" i="3"/>
  <c r="V50" i="3" s="1"/>
  <c r="AD111" i="3"/>
  <c r="AD13" i="3"/>
  <c r="U6" i="3"/>
  <c r="V6" i="3" s="1"/>
  <c r="AD44" i="3"/>
  <c r="AD224" i="3"/>
  <c r="AD182" i="3"/>
  <c r="AD259" i="3"/>
  <c r="U21" i="3"/>
  <c r="V21" i="3" s="1"/>
  <c r="AD116" i="3"/>
  <c r="AD147" i="3"/>
  <c r="AD72" i="3"/>
  <c r="AD102" i="3"/>
  <c r="AD163" i="3"/>
  <c r="AD225" i="3"/>
  <c r="AD277" i="3"/>
  <c r="AD291" i="3"/>
  <c r="AD189" i="3"/>
  <c r="AD121" i="3"/>
  <c r="AD235" i="3"/>
  <c r="AD248" i="3"/>
  <c r="AD11" i="3"/>
  <c r="AD201" i="3"/>
  <c r="AD241" i="3"/>
  <c r="AD25" i="3"/>
  <c r="AD164" i="3"/>
  <c r="AD221" i="3"/>
  <c r="AD144" i="3"/>
  <c r="AD141" i="3"/>
  <c r="U13" i="3"/>
  <c r="V13" i="3" s="1"/>
  <c r="U40" i="3"/>
  <c r="V40" i="3" s="1"/>
  <c r="AD233" i="3"/>
  <c r="AD214" i="3"/>
  <c r="AD21" i="3"/>
  <c r="AD251" i="3"/>
  <c r="AD273" i="3"/>
  <c r="AD41" i="3"/>
  <c r="AD185" i="3"/>
  <c r="AD253" i="3"/>
  <c r="U55" i="3"/>
  <c r="V55" i="3" s="1"/>
  <c r="U34" i="3"/>
  <c r="V34" i="3" s="1"/>
  <c r="U38" i="3"/>
  <c r="V38" i="3" s="1"/>
  <c r="AD186" i="3"/>
  <c r="AD204" i="3"/>
  <c r="AD236" i="3"/>
  <c r="AD266" i="3"/>
  <c r="AD285" i="3"/>
  <c r="AD10" i="3"/>
  <c r="U19" i="3"/>
  <c r="V19" i="3" s="1"/>
  <c r="AD58" i="3"/>
  <c r="AD90" i="3"/>
  <c r="AD34" i="3"/>
  <c r="AD122" i="3"/>
  <c r="AD62" i="3"/>
  <c r="AD217" i="3"/>
  <c r="U35" i="3"/>
  <c r="V35" i="3" s="1"/>
  <c r="AD77" i="3"/>
  <c r="AD134" i="3"/>
  <c r="AD48" i="3"/>
  <c r="AD28" i="3"/>
  <c r="AD99" i="3"/>
  <c r="AD179" i="3"/>
  <c r="AD127" i="3"/>
  <c r="AD173" i="3"/>
  <c r="AD249" i="3"/>
  <c r="AD279" i="2"/>
  <c r="AD149" i="2"/>
  <c r="AD233" i="2"/>
  <c r="AD255" i="2"/>
  <c r="AD156" i="2"/>
  <c r="AD154" i="2"/>
  <c r="AD27" i="2"/>
  <c r="AD280" i="2"/>
  <c r="AD287" i="2"/>
  <c r="AD201" i="2"/>
  <c r="AD159" i="2"/>
  <c r="U41" i="2"/>
  <c r="V41" i="2" s="1"/>
  <c r="U92" i="2"/>
  <c r="V92" i="2" s="1"/>
  <c r="U81" i="2"/>
  <c r="V81" i="2" s="1"/>
  <c r="AD48" i="2"/>
  <c r="AD6" i="2"/>
  <c r="AD232" i="2"/>
  <c r="AD158" i="2"/>
  <c r="AD277" i="2"/>
  <c r="AD38" i="2"/>
  <c r="AD282" i="2"/>
  <c r="AD225" i="2"/>
  <c r="AD226" i="2"/>
  <c r="U86" i="2"/>
  <c r="V86" i="2" s="1"/>
  <c r="AD88" i="2"/>
  <c r="AD165" i="2"/>
  <c r="AD129" i="2"/>
  <c r="AD235" i="2"/>
  <c r="AD41" i="2"/>
  <c r="AD47" i="2"/>
  <c r="AD207" i="2"/>
  <c r="AD270" i="2"/>
  <c r="AD278" i="2"/>
  <c r="AD51" i="2"/>
  <c r="AD69" i="2"/>
  <c r="AD54" i="2"/>
  <c r="AD222" i="2"/>
  <c r="AD21" i="2"/>
  <c r="AD291" i="2"/>
  <c r="AD73" i="2"/>
  <c r="AD250" i="2"/>
  <c r="AD52" i="2"/>
  <c r="AD261" i="2"/>
  <c r="AD5" i="2"/>
  <c r="AD87" i="2"/>
  <c r="AD35" i="2"/>
  <c r="AD102" i="2"/>
  <c r="AD101" i="2"/>
  <c r="AD103" i="2"/>
  <c r="AD67" i="2"/>
  <c r="AD293" i="2"/>
  <c r="AD120" i="2"/>
  <c r="AD127" i="2"/>
  <c r="AD153" i="2"/>
  <c r="AD219" i="2"/>
  <c r="U100" i="2"/>
  <c r="V100" i="2" s="1"/>
  <c r="AD85" i="2"/>
  <c r="AD121" i="2"/>
  <c r="AD146" i="2"/>
  <c r="AD137" i="2"/>
  <c r="AD161" i="2"/>
  <c r="AD251" i="2"/>
  <c r="U46" i="2"/>
  <c r="V46" i="2" s="1"/>
  <c r="AD37" i="2"/>
  <c r="U57" i="2"/>
  <c r="V57" i="2" s="1"/>
  <c r="AD14" i="2"/>
  <c r="U71" i="2"/>
  <c r="V71" i="2" s="1"/>
  <c r="U56" i="2"/>
  <c r="V56" i="2" s="1"/>
  <c r="AD74" i="2"/>
  <c r="AD220" i="2"/>
  <c r="AD82" i="2"/>
  <c r="AD80" i="2"/>
  <c r="AD186" i="2"/>
  <c r="AD168" i="2"/>
  <c r="AD155" i="2"/>
  <c r="AD174" i="2"/>
  <c r="AD283" i="2"/>
  <c r="AD267" i="2"/>
  <c r="AD15" i="2"/>
  <c r="U34" i="2"/>
  <c r="V34" i="2" s="1"/>
  <c r="AD77" i="2"/>
  <c r="U16" i="2"/>
  <c r="V16" i="2" s="1"/>
  <c r="U15" i="2"/>
  <c r="V15" i="2" s="1"/>
  <c r="U54" i="2"/>
  <c r="V54" i="2" s="1"/>
  <c r="AD79" i="2"/>
  <c r="AD157" i="2"/>
  <c r="AD122" i="2"/>
  <c r="AD89" i="2"/>
  <c r="AD215" i="2"/>
  <c r="AD203" i="2"/>
  <c r="AD176" i="2"/>
  <c r="AD275" i="2"/>
  <c r="AD209" i="2"/>
  <c r="AD169" i="2"/>
  <c r="AD20" i="2"/>
  <c r="U22" i="2"/>
  <c r="V22" i="2" s="1"/>
  <c r="U62" i="2"/>
  <c r="V62" i="2" s="1"/>
  <c r="U38" i="2"/>
  <c r="V38" i="2" s="1"/>
  <c r="U69" i="2"/>
  <c r="V69" i="2" s="1"/>
  <c r="AD125" i="2"/>
  <c r="AD34" i="2"/>
  <c r="AD187" i="2"/>
  <c r="AD95" i="2"/>
  <c r="AD246" i="2"/>
  <c r="AD217" i="2"/>
  <c r="AD189" i="2"/>
  <c r="AD288" i="2"/>
  <c r="AD241" i="2"/>
  <c r="AD240" i="2"/>
  <c r="AD60" i="2"/>
  <c r="AD292" i="2"/>
  <c r="AD236" i="2"/>
  <c r="AD249" i="2"/>
  <c r="AD273" i="2"/>
  <c r="AD83" i="2"/>
  <c r="AD28" i="2"/>
  <c r="AD175" i="2"/>
  <c r="AD252" i="2"/>
  <c r="AD71" i="2"/>
  <c r="AD231" i="2"/>
  <c r="AD64" i="2"/>
  <c r="AD194" i="2"/>
  <c r="AD228" i="2"/>
  <c r="AD98" i="2"/>
  <c r="AD9" i="2"/>
  <c r="AD262" i="2"/>
  <c r="AD284" i="2"/>
  <c r="AD86" i="2"/>
  <c r="AD263" i="2"/>
  <c r="AD31" i="2"/>
  <c r="U67" i="2"/>
  <c r="V67" i="2" s="1"/>
  <c r="AD197" i="2"/>
  <c r="AD210" i="2"/>
  <c r="AD3" i="2"/>
  <c r="AD7" i="2"/>
  <c r="AD110" i="2"/>
  <c r="U28" i="2"/>
  <c r="V28" i="2" s="1"/>
  <c r="U5" i="2"/>
  <c r="V5" i="2" s="1"/>
  <c r="U44" i="2"/>
  <c r="V44" i="2" s="1"/>
  <c r="U84" i="2"/>
  <c r="V84" i="2" s="1"/>
  <c r="AD61" i="2"/>
  <c r="AD247" i="2"/>
  <c r="AD141" i="2"/>
  <c r="AD131" i="2"/>
  <c r="AD44" i="2"/>
  <c r="AD25" i="2"/>
  <c r="AD268" i="2"/>
  <c r="AD128" i="2"/>
  <c r="AD242" i="2"/>
  <c r="AD18" i="2"/>
  <c r="U35" i="2"/>
  <c r="V35" i="2" s="1"/>
  <c r="U11" i="2"/>
  <c r="V11" i="2" s="1"/>
  <c r="U72" i="2"/>
  <c r="V72" i="2" s="1"/>
  <c r="U99" i="2"/>
  <c r="V99" i="2" s="1"/>
  <c r="AD202" i="2"/>
  <c r="AD205" i="2"/>
  <c r="AD179" i="2"/>
  <c r="AD195" i="2"/>
  <c r="AD72" i="2"/>
  <c r="AD104" i="2"/>
  <c r="AD33" i="2"/>
  <c r="AD144" i="2"/>
  <c r="AD274" i="2"/>
  <c r="AD224" i="2"/>
  <c r="U27" i="2"/>
  <c r="V27" i="2" s="1"/>
  <c r="AD70" i="2"/>
  <c r="AD12" i="2"/>
  <c r="AD188" i="2"/>
  <c r="AD211" i="2"/>
  <c r="AD105" i="2"/>
  <c r="AD243" i="2"/>
  <c r="AD58" i="2"/>
  <c r="AD177" i="2"/>
  <c r="AD4" i="2"/>
  <c r="U403" i="2"/>
  <c r="V403" i="2" s="1"/>
  <c r="U371" i="2"/>
  <c r="V371" i="2" s="1"/>
  <c r="U339" i="2"/>
  <c r="V339" i="2" s="1"/>
  <c r="U307" i="2"/>
  <c r="V307" i="2" s="1"/>
  <c r="U275" i="2"/>
  <c r="V275" i="2" s="1"/>
  <c r="U243" i="2"/>
  <c r="V243" i="2" s="1"/>
  <c r="U211" i="2"/>
  <c r="V211" i="2" s="1"/>
  <c r="U232" i="2"/>
  <c r="V232" i="2" s="1"/>
  <c r="U569" i="2"/>
  <c r="V569" i="2" s="1"/>
  <c r="U553" i="2"/>
  <c r="V553" i="2" s="1"/>
  <c r="U537" i="2"/>
  <c r="V537" i="2" s="1"/>
  <c r="U521" i="2"/>
  <c r="V521" i="2" s="1"/>
  <c r="U505" i="2"/>
  <c r="V505" i="2" s="1"/>
  <c r="U489" i="2"/>
  <c r="V489" i="2" s="1"/>
  <c r="U473" i="2"/>
  <c r="V473" i="2" s="1"/>
  <c r="U457" i="2"/>
  <c r="V457" i="2" s="1"/>
  <c r="U441" i="2"/>
  <c r="V441" i="2" s="1"/>
  <c r="U425" i="2"/>
  <c r="V425" i="2" s="1"/>
  <c r="U392" i="2"/>
  <c r="V392" i="2" s="1"/>
  <c r="U360" i="2"/>
  <c r="V360" i="2" s="1"/>
  <c r="U328" i="2"/>
  <c r="V328" i="2" s="1"/>
  <c r="U296" i="2"/>
  <c r="V296" i="2" s="1"/>
  <c r="U264" i="2"/>
  <c r="V264" i="2" s="1"/>
  <c r="U413" i="2"/>
  <c r="V413" i="2" s="1"/>
  <c r="U381" i="2"/>
  <c r="V381" i="2" s="1"/>
  <c r="U349" i="2"/>
  <c r="V349" i="2" s="1"/>
  <c r="U317" i="2"/>
  <c r="V317" i="2" s="1"/>
  <c r="U285" i="2"/>
  <c r="V285" i="2" s="1"/>
  <c r="U253" i="2"/>
  <c r="V253" i="2" s="1"/>
  <c r="U221" i="2"/>
  <c r="V221" i="2" s="1"/>
  <c r="U568" i="2"/>
  <c r="V568" i="2" s="1"/>
  <c r="U552" i="2"/>
  <c r="V552" i="2" s="1"/>
  <c r="U536" i="2"/>
  <c r="V536" i="2" s="1"/>
  <c r="U520" i="2"/>
  <c r="V520" i="2" s="1"/>
  <c r="U504" i="2"/>
  <c r="V504" i="2" s="1"/>
  <c r="U488" i="2"/>
  <c r="V488" i="2" s="1"/>
  <c r="U472" i="2"/>
  <c r="V472" i="2" s="1"/>
  <c r="U456" i="2"/>
  <c r="V456" i="2" s="1"/>
  <c r="U440" i="2"/>
  <c r="V440" i="2" s="1"/>
  <c r="U424" i="2"/>
  <c r="V424" i="2" s="1"/>
  <c r="U402" i="2"/>
  <c r="V402" i="2" s="1"/>
  <c r="U391" i="2"/>
  <c r="V391" i="2" s="1"/>
  <c r="U359" i="2"/>
  <c r="V359" i="2" s="1"/>
  <c r="U327" i="2"/>
  <c r="V327" i="2" s="1"/>
  <c r="U295" i="2"/>
  <c r="V295" i="2" s="1"/>
  <c r="U263" i="2"/>
  <c r="V263" i="2" s="1"/>
  <c r="U231" i="2"/>
  <c r="V231" i="2" s="1"/>
  <c r="U567" i="2"/>
  <c r="V567" i="2" s="1"/>
  <c r="U551" i="2"/>
  <c r="V551" i="2" s="1"/>
  <c r="U535" i="2"/>
  <c r="V535" i="2" s="1"/>
  <c r="U519" i="2"/>
  <c r="V519" i="2" s="1"/>
  <c r="U503" i="2"/>
  <c r="V503" i="2" s="1"/>
  <c r="U487" i="2"/>
  <c r="V487" i="2" s="1"/>
  <c r="U471" i="2"/>
  <c r="V471" i="2" s="1"/>
  <c r="U455" i="2"/>
  <c r="V455" i="2" s="1"/>
  <c r="U439" i="2"/>
  <c r="V439" i="2" s="1"/>
  <c r="U423" i="2"/>
  <c r="V423" i="2" s="1"/>
  <c r="U401" i="2"/>
  <c r="V401" i="2" s="1"/>
  <c r="U369" i="2"/>
  <c r="V369" i="2" s="1"/>
  <c r="U337" i="2"/>
  <c r="V337" i="2" s="1"/>
  <c r="U305" i="2"/>
  <c r="V305" i="2" s="1"/>
  <c r="U273" i="2"/>
  <c r="V273" i="2" s="1"/>
  <c r="U241" i="2"/>
  <c r="V241" i="2" s="1"/>
  <c r="U209" i="2"/>
  <c r="V209" i="2" s="1"/>
  <c r="U566" i="2"/>
  <c r="V566" i="2" s="1"/>
  <c r="U550" i="2"/>
  <c r="V550" i="2" s="1"/>
  <c r="U534" i="2"/>
  <c r="V534" i="2" s="1"/>
  <c r="U518" i="2"/>
  <c r="V518" i="2" s="1"/>
  <c r="U502" i="2"/>
  <c r="V502" i="2" s="1"/>
  <c r="U486" i="2"/>
  <c r="V486" i="2" s="1"/>
  <c r="U470" i="2"/>
  <c r="V470" i="2" s="1"/>
  <c r="U454" i="2"/>
  <c r="V454" i="2" s="1"/>
  <c r="U438" i="2"/>
  <c r="V438" i="2" s="1"/>
  <c r="U422" i="2"/>
  <c r="V422" i="2" s="1"/>
  <c r="U390" i="2"/>
  <c r="V390" i="2" s="1"/>
  <c r="U411" i="2"/>
  <c r="V411" i="2" s="1"/>
  <c r="U379" i="2"/>
  <c r="V379" i="2" s="1"/>
  <c r="U347" i="2"/>
  <c r="V347" i="2" s="1"/>
  <c r="U315" i="2"/>
  <c r="V315" i="2" s="1"/>
  <c r="U283" i="2"/>
  <c r="V283" i="2" s="1"/>
  <c r="U251" i="2"/>
  <c r="V251" i="2" s="1"/>
  <c r="U565" i="2"/>
  <c r="V565" i="2" s="1"/>
  <c r="U549" i="2"/>
  <c r="V549" i="2" s="1"/>
  <c r="U421" i="2"/>
  <c r="V421" i="2" s="1"/>
  <c r="U564" i="2"/>
  <c r="V564" i="2" s="1"/>
  <c r="U548" i="2"/>
  <c r="V548" i="2" s="1"/>
  <c r="U532" i="2"/>
  <c r="V532" i="2" s="1"/>
  <c r="U516" i="2"/>
  <c r="V516" i="2" s="1"/>
  <c r="U500" i="2"/>
  <c r="V500" i="2" s="1"/>
  <c r="U484" i="2"/>
  <c r="V484" i="2" s="1"/>
  <c r="U468" i="2"/>
  <c r="V468" i="2" s="1"/>
  <c r="U452" i="2"/>
  <c r="V452" i="2" s="1"/>
  <c r="U436" i="2"/>
  <c r="V436" i="2" s="1"/>
  <c r="U410" i="2"/>
  <c r="V410" i="2" s="1"/>
  <c r="U399" i="2"/>
  <c r="V399" i="2" s="1"/>
  <c r="U367" i="2"/>
  <c r="V367" i="2" s="1"/>
  <c r="U335" i="2"/>
  <c r="V335" i="2" s="1"/>
  <c r="U563" i="2"/>
  <c r="V563" i="2" s="1"/>
  <c r="U547" i="2"/>
  <c r="V547" i="2" s="1"/>
  <c r="U531" i="2"/>
  <c r="V531" i="2" s="1"/>
  <c r="U515" i="2"/>
  <c r="V515" i="2" s="1"/>
  <c r="U499" i="2"/>
  <c r="V499" i="2" s="1"/>
  <c r="U483" i="2"/>
  <c r="V483" i="2" s="1"/>
  <c r="U467" i="2"/>
  <c r="V467" i="2" s="1"/>
  <c r="U451" i="2"/>
  <c r="V451" i="2" s="1"/>
  <c r="U435" i="2"/>
  <c r="V435" i="2" s="1"/>
  <c r="U409" i="2"/>
  <c r="V409" i="2" s="1"/>
  <c r="U377" i="2"/>
  <c r="V377" i="2" s="1"/>
  <c r="U345" i="2"/>
  <c r="V345" i="2" s="1"/>
  <c r="U313" i="2"/>
  <c r="V313" i="2" s="1"/>
  <c r="U281" i="2"/>
  <c r="V281" i="2" s="1"/>
  <c r="U562" i="2"/>
  <c r="V562" i="2" s="1"/>
  <c r="U546" i="2"/>
  <c r="V546" i="2" s="1"/>
  <c r="U419" i="2"/>
  <c r="V419" i="2" s="1"/>
  <c r="U387" i="2"/>
  <c r="V387" i="2" s="1"/>
  <c r="U355" i="2"/>
  <c r="V355" i="2" s="1"/>
  <c r="U561" i="2"/>
  <c r="V561" i="2" s="1"/>
  <c r="U545" i="2"/>
  <c r="V545" i="2" s="1"/>
  <c r="U529" i="2"/>
  <c r="V529" i="2" s="1"/>
  <c r="U513" i="2"/>
  <c r="V513" i="2" s="1"/>
  <c r="U497" i="2"/>
  <c r="V497" i="2" s="1"/>
  <c r="U481" i="2"/>
  <c r="V481" i="2" s="1"/>
  <c r="U465" i="2"/>
  <c r="V465" i="2" s="1"/>
  <c r="U449" i="2"/>
  <c r="V449" i="2" s="1"/>
  <c r="U433" i="2"/>
  <c r="V433" i="2" s="1"/>
  <c r="U397" i="2"/>
  <c r="V397" i="2" s="1"/>
  <c r="U365" i="2"/>
  <c r="V365" i="2" s="1"/>
  <c r="U560" i="2"/>
  <c r="V560" i="2" s="1"/>
  <c r="U544" i="2"/>
  <c r="V544" i="2" s="1"/>
  <c r="U528" i="2"/>
  <c r="V528" i="2" s="1"/>
  <c r="U512" i="2"/>
  <c r="V512" i="2" s="1"/>
  <c r="U496" i="2"/>
  <c r="V496" i="2" s="1"/>
  <c r="U480" i="2"/>
  <c r="V480" i="2" s="1"/>
  <c r="U464" i="2"/>
  <c r="V464" i="2" s="1"/>
  <c r="U407" i="2"/>
  <c r="V407" i="2" s="1"/>
  <c r="U375" i="2"/>
  <c r="V375" i="2" s="1"/>
  <c r="U559" i="2"/>
  <c r="V559" i="2" s="1"/>
  <c r="U543" i="2"/>
  <c r="V543" i="2" s="1"/>
  <c r="U527" i="2"/>
  <c r="V527" i="2" s="1"/>
  <c r="U511" i="2"/>
  <c r="V511" i="2" s="1"/>
  <c r="U495" i="2"/>
  <c r="V495" i="2" s="1"/>
  <c r="U417" i="2"/>
  <c r="V417" i="2" s="1"/>
  <c r="U385" i="2"/>
  <c r="V385" i="2" s="1"/>
  <c r="U558" i="2"/>
  <c r="V558" i="2" s="1"/>
  <c r="U542" i="2"/>
  <c r="V542" i="2" s="1"/>
  <c r="U526" i="2"/>
  <c r="V526" i="2" s="1"/>
  <c r="U510" i="2"/>
  <c r="V510" i="2" s="1"/>
  <c r="U395" i="2"/>
  <c r="V395" i="2" s="1"/>
  <c r="U557" i="2"/>
  <c r="V557" i="2" s="1"/>
  <c r="U541" i="2"/>
  <c r="V541" i="2" s="1"/>
  <c r="U525" i="2"/>
  <c r="V525" i="2" s="1"/>
  <c r="U405" i="2"/>
  <c r="V405" i="2" s="1"/>
  <c r="U556" i="2"/>
  <c r="V556" i="2" s="1"/>
  <c r="U490" i="2"/>
  <c r="V490" i="2" s="1"/>
  <c r="U437" i="2"/>
  <c r="V437" i="2" s="1"/>
  <c r="U384" i="2"/>
  <c r="V384" i="2" s="1"/>
  <c r="U334" i="2"/>
  <c r="V334" i="2" s="1"/>
  <c r="U306" i="2"/>
  <c r="V306" i="2" s="1"/>
  <c r="U292" i="2"/>
  <c r="V292" i="2" s="1"/>
  <c r="U266" i="2"/>
  <c r="V266" i="2" s="1"/>
  <c r="U252" i="2"/>
  <c r="V252" i="2" s="1"/>
  <c r="U239" i="2"/>
  <c r="V239" i="2" s="1"/>
  <c r="U175" i="2"/>
  <c r="V175" i="2" s="1"/>
  <c r="U168" i="2"/>
  <c r="V168" i="2" s="1"/>
  <c r="U555" i="2"/>
  <c r="V555" i="2" s="1"/>
  <c r="U485" i="2"/>
  <c r="V485" i="2" s="1"/>
  <c r="U434" i="2"/>
  <c r="V434" i="2" s="1"/>
  <c r="U320" i="2"/>
  <c r="V320" i="2" s="1"/>
  <c r="U214" i="2"/>
  <c r="V214" i="2" s="1"/>
  <c r="U201" i="2"/>
  <c r="V201" i="2" s="1"/>
  <c r="U194" i="2"/>
  <c r="V194" i="2" s="1"/>
  <c r="U482" i="2"/>
  <c r="V482" i="2" s="1"/>
  <c r="U432" i="2"/>
  <c r="V432" i="2" s="1"/>
  <c r="U364" i="2"/>
  <c r="V364" i="2" s="1"/>
  <c r="U350" i="2"/>
  <c r="V350" i="2" s="1"/>
  <c r="U333" i="2"/>
  <c r="V333" i="2" s="1"/>
  <c r="U291" i="2"/>
  <c r="V291" i="2" s="1"/>
  <c r="U278" i="2"/>
  <c r="V278" i="2" s="1"/>
  <c r="U554" i="2"/>
  <c r="V554" i="2" s="1"/>
  <c r="U479" i="2"/>
  <c r="V479" i="2" s="1"/>
  <c r="U431" i="2"/>
  <c r="V431" i="2" s="1"/>
  <c r="U404" i="2"/>
  <c r="V404" i="2" s="1"/>
  <c r="U383" i="2"/>
  <c r="V383" i="2" s="1"/>
  <c r="U304" i="2"/>
  <c r="V304" i="2" s="1"/>
  <c r="U540" i="2"/>
  <c r="V540" i="2" s="1"/>
  <c r="U478" i="2"/>
  <c r="V478" i="2" s="1"/>
  <c r="U430" i="2"/>
  <c r="V430" i="2" s="1"/>
  <c r="U348" i="2"/>
  <c r="V348" i="2" s="1"/>
  <c r="U319" i="2"/>
  <c r="V319" i="2" s="1"/>
  <c r="U250" i="2"/>
  <c r="V250" i="2" s="1"/>
  <c r="U213" i="2"/>
  <c r="V213" i="2" s="1"/>
  <c r="U151" i="2"/>
  <c r="V151" i="2" s="1"/>
  <c r="U477" i="2"/>
  <c r="V477" i="2" s="1"/>
  <c r="U429" i="2"/>
  <c r="V429" i="2" s="1"/>
  <c r="U363" i="2"/>
  <c r="V363" i="2" s="1"/>
  <c r="U332" i="2"/>
  <c r="V332" i="2" s="1"/>
  <c r="U290" i="2"/>
  <c r="V290" i="2" s="1"/>
  <c r="U277" i="2"/>
  <c r="V277" i="2" s="1"/>
  <c r="U539" i="2"/>
  <c r="V539" i="2" s="1"/>
  <c r="U476" i="2"/>
  <c r="V476" i="2" s="1"/>
  <c r="U428" i="2"/>
  <c r="V428" i="2" s="1"/>
  <c r="U382" i="2"/>
  <c r="V382" i="2" s="1"/>
  <c r="U303" i="2"/>
  <c r="V303" i="2" s="1"/>
  <c r="U400" i="2"/>
  <c r="V400" i="2" s="1"/>
  <c r="U380" i="2"/>
  <c r="V380" i="2" s="1"/>
  <c r="U318" i="2"/>
  <c r="V318" i="2" s="1"/>
  <c r="U262" i="2"/>
  <c r="V262" i="2" s="1"/>
  <c r="U538" i="2"/>
  <c r="V538" i="2" s="1"/>
  <c r="U475" i="2"/>
  <c r="V475" i="2" s="1"/>
  <c r="U427" i="2"/>
  <c r="V427" i="2" s="1"/>
  <c r="U362" i="2"/>
  <c r="V362" i="2" s="1"/>
  <c r="U346" i="2"/>
  <c r="V346" i="2" s="1"/>
  <c r="U331" i="2"/>
  <c r="V331" i="2" s="1"/>
  <c r="U533" i="2"/>
  <c r="V533" i="2" s="1"/>
  <c r="U316" i="2"/>
  <c r="V316" i="2" s="1"/>
  <c r="U261" i="2"/>
  <c r="V261" i="2" s="1"/>
  <c r="U236" i="2"/>
  <c r="V236" i="2" s="1"/>
  <c r="U530" i="2"/>
  <c r="V530" i="2" s="1"/>
  <c r="U474" i="2"/>
  <c r="V474" i="2" s="1"/>
  <c r="U426" i="2"/>
  <c r="V426" i="2" s="1"/>
  <c r="U398" i="2"/>
  <c r="V398" i="2" s="1"/>
  <c r="U378" i="2"/>
  <c r="V378" i="2" s="1"/>
  <c r="U524" i="2"/>
  <c r="V524" i="2" s="1"/>
  <c r="U469" i="2"/>
  <c r="V469" i="2" s="1"/>
  <c r="U361" i="2"/>
  <c r="V361" i="2" s="1"/>
  <c r="U344" i="2"/>
  <c r="V344" i="2" s="1"/>
  <c r="U330" i="2"/>
  <c r="V330" i="2" s="1"/>
  <c r="U466" i="2"/>
  <c r="V466" i="2" s="1"/>
  <c r="U420" i="2"/>
  <c r="V420" i="2" s="1"/>
  <c r="U522" i="2"/>
  <c r="V522" i="2" s="1"/>
  <c r="U461" i="2"/>
  <c r="V461" i="2" s="1"/>
  <c r="U418" i="2"/>
  <c r="V418" i="2" s="1"/>
  <c r="U514" i="2"/>
  <c r="V514" i="2" s="1"/>
  <c r="U394" i="2"/>
  <c r="V394" i="2" s="1"/>
  <c r="U509" i="2"/>
  <c r="V509" i="2" s="1"/>
  <c r="U508" i="2"/>
  <c r="V508" i="2" s="1"/>
  <c r="U458" i="2"/>
  <c r="V458" i="2" s="1"/>
  <c r="U523" i="2"/>
  <c r="V523" i="2" s="1"/>
  <c r="U353" i="2"/>
  <c r="V353" i="2" s="1"/>
  <c r="U309" i="2"/>
  <c r="V309" i="2" s="1"/>
  <c r="U271" i="2"/>
  <c r="V271" i="2" s="1"/>
  <c r="U226" i="2"/>
  <c r="V226" i="2" s="1"/>
  <c r="U195" i="2"/>
  <c r="V195" i="2" s="1"/>
  <c r="U182" i="2"/>
  <c r="V182" i="2" s="1"/>
  <c r="U148" i="2"/>
  <c r="V148" i="2" s="1"/>
  <c r="U138" i="2"/>
  <c r="V138" i="2" s="1"/>
  <c r="U416" i="2"/>
  <c r="V416" i="2" s="1"/>
  <c r="U376" i="2"/>
  <c r="V376" i="2" s="1"/>
  <c r="U326" i="2"/>
  <c r="V326" i="2" s="1"/>
  <c r="U288" i="2"/>
  <c r="V288" i="2" s="1"/>
  <c r="U256" i="2"/>
  <c r="V256" i="2" s="1"/>
  <c r="U240" i="2"/>
  <c r="V240" i="2" s="1"/>
  <c r="U212" i="2"/>
  <c r="V212" i="2" s="1"/>
  <c r="U161" i="2"/>
  <c r="V161" i="2" s="1"/>
  <c r="U517" i="2"/>
  <c r="V517" i="2" s="1"/>
  <c r="U225" i="2"/>
  <c r="V225" i="2" s="1"/>
  <c r="U374" i="2"/>
  <c r="V374" i="2" s="1"/>
  <c r="U287" i="2"/>
  <c r="V287" i="2" s="1"/>
  <c r="U255" i="2"/>
  <c r="V255" i="2" s="1"/>
  <c r="U210" i="2"/>
  <c r="V210" i="2" s="1"/>
  <c r="U200" i="2"/>
  <c r="V200" i="2" s="1"/>
  <c r="U130" i="2"/>
  <c r="V130" i="2" s="1"/>
  <c r="U506" i="2"/>
  <c r="V506" i="2" s="1"/>
  <c r="U324" i="2"/>
  <c r="V324" i="2" s="1"/>
  <c r="U238" i="2"/>
  <c r="V238" i="2" s="1"/>
  <c r="U224" i="2"/>
  <c r="V224" i="2" s="1"/>
  <c r="U166" i="2"/>
  <c r="V166" i="2" s="1"/>
  <c r="U501" i="2"/>
  <c r="V501" i="2" s="1"/>
  <c r="U414" i="2"/>
  <c r="V414" i="2" s="1"/>
  <c r="U351" i="2"/>
  <c r="V351" i="2" s="1"/>
  <c r="U302" i="2"/>
  <c r="V302" i="2" s="1"/>
  <c r="U269" i="2"/>
  <c r="V269" i="2" s="1"/>
  <c r="U171" i="2"/>
  <c r="V171" i="2" s="1"/>
  <c r="U498" i="2"/>
  <c r="V498" i="2" s="1"/>
  <c r="U412" i="2"/>
  <c r="V412" i="2" s="1"/>
  <c r="U373" i="2"/>
  <c r="V373" i="2" s="1"/>
  <c r="U323" i="2"/>
  <c r="V323" i="2" s="1"/>
  <c r="U286" i="2"/>
  <c r="V286" i="2" s="1"/>
  <c r="U254" i="2"/>
  <c r="V254" i="2" s="1"/>
  <c r="U237" i="2"/>
  <c r="V237" i="2" s="1"/>
  <c r="U192" i="2"/>
  <c r="V192" i="2" s="1"/>
  <c r="U184" i="2"/>
  <c r="V184" i="2" s="1"/>
  <c r="U163" i="2"/>
  <c r="V163" i="2" s="1"/>
  <c r="U140" i="2"/>
  <c r="V140" i="2" s="1"/>
  <c r="U494" i="2"/>
  <c r="V494" i="2" s="1"/>
  <c r="U343" i="2"/>
  <c r="V343" i="2" s="1"/>
  <c r="U301" i="2"/>
  <c r="V301" i="2" s="1"/>
  <c r="U223" i="2"/>
  <c r="V223" i="2" s="1"/>
  <c r="U208" i="2"/>
  <c r="V208" i="2" s="1"/>
  <c r="U197" i="2"/>
  <c r="V197" i="2" s="1"/>
  <c r="U150" i="2"/>
  <c r="V150" i="2" s="1"/>
  <c r="U493" i="2"/>
  <c r="V493" i="2" s="1"/>
  <c r="U284" i="2"/>
  <c r="V284" i="2" s="1"/>
  <c r="U268" i="2"/>
  <c r="V268" i="2" s="1"/>
  <c r="U189" i="2"/>
  <c r="V189" i="2" s="1"/>
  <c r="U492" i="2"/>
  <c r="V492" i="2" s="1"/>
  <c r="U372" i="2"/>
  <c r="V372" i="2" s="1"/>
  <c r="U408" i="2"/>
  <c r="V408" i="2" s="1"/>
  <c r="U342" i="2"/>
  <c r="V342" i="2" s="1"/>
  <c r="U300" i="2"/>
  <c r="V300" i="2" s="1"/>
  <c r="U222" i="2"/>
  <c r="V222" i="2" s="1"/>
  <c r="U460" i="2"/>
  <c r="V460" i="2" s="1"/>
  <c r="U265" i="2"/>
  <c r="V265" i="2" s="1"/>
  <c r="U199" i="2"/>
  <c r="V199" i="2" s="1"/>
  <c r="U191" i="2"/>
  <c r="V191" i="2" s="1"/>
  <c r="U280" i="2"/>
  <c r="V280" i="2" s="1"/>
  <c r="U453" i="2"/>
  <c r="V453" i="2" s="1"/>
  <c r="U366" i="2"/>
  <c r="V366" i="2" s="1"/>
  <c r="U314" i="2"/>
  <c r="V314" i="2" s="1"/>
  <c r="U450" i="2"/>
  <c r="V450" i="2" s="1"/>
  <c r="U448" i="2"/>
  <c r="V448" i="2" s="1"/>
  <c r="U393" i="2"/>
  <c r="V393" i="2" s="1"/>
  <c r="U447" i="2"/>
  <c r="V447" i="2" s="1"/>
  <c r="U507" i="2"/>
  <c r="V507" i="2" s="1"/>
  <c r="U370" i="2"/>
  <c r="V370" i="2" s="1"/>
  <c r="U165" i="2"/>
  <c r="V165" i="2" s="1"/>
  <c r="U491" i="2"/>
  <c r="V491" i="2" s="1"/>
  <c r="U294" i="2"/>
  <c r="V294" i="2" s="1"/>
  <c r="U244" i="2"/>
  <c r="V244" i="2" s="1"/>
  <c r="U219" i="2"/>
  <c r="V219" i="2" s="1"/>
  <c r="U196" i="2"/>
  <c r="V196" i="2" s="1"/>
  <c r="U172" i="2"/>
  <c r="V172" i="2" s="1"/>
  <c r="U162" i="2"/>
  <c r="V162" i="2" s="1"/>
  <c r="U126" i="2"/>
  <c r="V126" i="2" s="1"/>
  <c r="U123" i="2"/>
  <c r="V123" i="2" s="1"/>
  <c r="U368" i="2"/>
  <c r="V368" i="2" s="1"/>
  <c r="U325" i="2"/>
  <c r="V325" i="2" s="1"/>
  <c r="U112" i="2"/>
  <c r="V112" i="2" s="1"/>
  <c r="U463" i="2"/>
  <c r="V463" i="2" s="1"/>
  <c r="U322" i="2"/>
  <c r="V322" i="2" s="1"/>
  <c r="U293" i="2"/>
  <c r="V293" i="2" s="1"/>
  <c r="U218" i="2"/>
  <c r="V218" i="2" s="1"/>
  <c r="U137" i="2"/>
  <c r="V137" i="2" s="1"/>
  <c r="U462" i="2"/>
  <c r="V462" i="2" s="1"/>
  <c r="U242" i="2"/>
  <c r="V242" i="2" s="1"/>
  <c r="U459" i="2"/>
  <c r="V459" i="2" s="1"/>
  <c r="U358" i="2"/>
  <c r="V358" i="2" s="1"/>
  <c r="U321" i="2"/>
  <c r="V321" i="2" s="1"/>
  <c r="U203" i="2"/>
  <c r="V203" i="2" s="1"/>
  <c r="U155" i="2"/>
  <c r="V155" i="2" s="1"/>
  <c r="U445" i="2"/>
  <c r="V445" i="2" s="1"/>
  <c r="U357" i="2"/>
  <c r="V357" i="2" s="1"/>
  <c r="U260" i="2"/>
  <c r="V260" i="2" s="1"/>
  <c r="U181" i="2"/>
  <c r="V181" i="2" s="1"/>
  <c r="U444" i="2"/>
  <c r="V444" i="2" s="1"/>
  <c r="U443" i="2"/>
  <c r="V443" i="2" s="1"/>
  <c r="U356" i="2"/>
  <c r="V356" i="2" s="1"/>
  <c r="U235" i="2"/>
  <c r="V235" i="2" s="1"/>
  <c r="U216" i="2"/>
  <c r="V216" i="2" s="1"/>
  <c r="U158" i="2"/>
  <c r="V158" i="2" s="1"/>
  <c r="U259" i="2"/>
  <c r="V259" i="2" s="1"/>
  <c r="U442" i="2"/>
  <c r="V442" i="2" s="1"/>
  <c r="U128" i="2"/>
  <c r="V128" i="2" s="1"/>
  <c r="U406" i="2"/>
  <c r="V406" i="2" s="1"/>
  <c r="U396" i="2"/>
  <c r="V396" i="2" s="1"/>
  <c r="U446" i="2"/>
  <c r="V446" i="2" s="1"/>
  <c r="U247" i="2"/>
  <c r="V247" i="2" s="1"/>
  <c r="U246" i="2"/>
  <c r="V246" i="2" s="1"/>
  <c r="U329" i="2"/>
  <c r="V329" i="2" s="1"/>
  <c r="U147" i="2"/>
  <c r="V147" i="2" s="1"/>
  <c r="U143" i="2"/>
  <c r="V143" i="2" s="1"/>
  <c r="U139" i="2"/>
  <c r="V139" i="2" s="1"/>
  <c r="U105" i="2"/>
  <c r="V105" i="2" s="1"/>
  <c r="U415" i="2"/>
  <c r="V415" i="2" s="1"/>
  <c r="U215" i="2"/>
  <c r="V215" i="2" s="1"/>
  <c r="U132" i="2"/>
  <c r="V132" i="2" s="1"/>
  <c r="U121" i="2"/>
  <c r="V121" i="2" s="1"/>
  <c r="U186" i="2"/>
  <c r="V186" i="2" s="1"/>
  <c r="U118" i="2"/>
  <c r="V118" i="2" s="1"/>
  <c r="U279" i="2"/>
  <c r="V279" i="2" s="1"/>
  <c r="U108" i="2"/>
  <c r="V108" i="2" s="1"/>
  <c r="U245" i="2"/>
  <c r="V245" i="2" s="1"/>
  <c r="U167" i="2"/>
  <c r="V167" i="2" s="1"/>
  <c r="U159" i="2"/>
  <c r="V159" i="2" s="1"/>
  <c r="U111" i="2"/>
  <c r="V111" i="2" s="1"/>
  <c r="U276" i="2"/>
  <c r="V276" i="2" s="1"/>
  <c r="U176" i="2"/>
  <c r="V176" i="2" s="1"/>
  <c r="U117" i="2"/>
  <c r="V117" i="2" s="1"/>
  <c r="U114" i="2"/>
  <c r="V114" i="2" s="1"/>
  <c r="U312" i="2"/>
  <c r="V312" i="2" s="1"/>
  <c r="U135" i="2"/>
  <c r="V135" i="2" s="1"/>
  <c r="U131" i="2"/>
  <c r="V131" i="2" s="1"/>
  <c r="U274" i="2"/>
  <c r="V274" i="2" s="1"/>
  <c r="U185" i="2"/>
  <c r="V185" i="2" s="1"/>
  <c r="U146" i="2"/>
  <c r="V146" i="2" s="1"/>
  <c r="U142" i="2"/>
  <c r="V142" i="2" s="1"/>
  <c r="U124" i="2"/>
  <c r="V124" i="2" s="1"/>
  <c r="U389" i="2"/>
  <c r="V389" i="2" s="1"/>
  <c r="U207" i="2"/>
  <c r="V207" i="2" s="1"/>
  <c r="U127" i="2"/>
  <c r="V127" i="2" s="1"/>
  <c r="U388" i="2"/>
  <c r="V388" i="2" s="1"/>
  <c r="U311" i="2"/>
  <c r="V311" i="2" s="1"/>
  <c r="U234" i="2"/>
  <c r="V234" i="2" s="1"/>
  <c r="U154" i="2"/>
  <c r="V154" i="2" s="1"/>
  <c r="U120" i="2"/>
  <c r="V120" i="2" s="1"/>
  <c r="U308" i="2"/>
  <c r="V308" i="2" s="1"/>
  <c r="U267" i="2"/>
  <c r="V267" i="2" s="1"/>
  <c r="U230" i="2"/>
  <c r="V230" i="2" s="1"/>
  <c r="U170" i="2"/>
  <c r="V170" i="2" s="1"/>
  <c r="U157" i="2"/>
  <c r="V157" i="2" s="1"/>
  <c r="U145" i="2"/>
  <c r="V145" i="2" s="1"/>
  <c r="U204" i="2"/>
  <c r="V204" i="2" s="1"/>
  <c r="U354" i="2"/>
  <c r="V354" i="2" s="1"/>
  <c r="U153" i="2"/>
  <c r="V153" i="2" s="1"/>
  <c r="U229" i="2"/>
  <c r="V229" i="2" s="1"/>
  <c r="U188" i="2"/>
  <c r="V188" i="2" s="1"/>
  <c r="U299" i="2"/>
  <c r="V299" i="2" s="1"/>
  <c r="U258" i="2"/>
  <c r="V258" i="2" s="1"/>
  <c r="U174" i="2"/>
  <c r="V174" i="2" s="1"/>
  <c r="U352" i="2"/>
  <c r="V352" i="2" s="1"/>
  <c r="U198" i="2"/>
  <c r="V198" i="2" s="1"/>
  <c r="U298" i="2"/>
  <c r="V298" i="2" s="1"/>
  <c r="U228" i="2"/>
  <c r="V228" i="2" s="1"/>
  <c r="U193" i="2"/>
  <c r="V193" i="2" s="1"/>
  <c r="U257" i="2"/>
  <c r="V257" i="2" s="1"/>
  <c r="U341" i="2"/>
  <c r="V341" i="2" s="1"/>
  <c r="U297" i="2"/>
  <c r="V297" i="2" s="1"/>
  <c r="U340" i="2"/>
  <c r="V340" i="2" s="1"/>
  <c r="U144" i="2"/>
  <c r="V144" i="2" s="1"/>
  <c r="U233" i="2"/>
  <c r="V233" i="2" s="1"/>
  <c r="U187" i="2"/>
  <c r="V187" i="2" s="1"/>
  <c r="U122" i="2"/>
  <c r="V122" i="2" s="1"/>
  <c r="U109" i="2"/>
  <c r="V109" i="2" s="1"/>
  <c r="U386" i="2"/>
  <c r="V386" i="2" s="1"/>
  <c r="U169" i="2"/>
  <c r="V169" i="2" s="1"/>
  <c r="U177" i="2"/>
  <c r="V177" i="2" s="1"/>
  <c r="U129" i="2"/>
  <c r="V129" i="2" s="1"/>
  <c r="U136" i="2"/>
  <c r="V136" i="2" s="1"/>
  <c r="U227" i="2"/>
  <c r="V227" i="2" s="1"/>
  <c r="U133" i="2"/>
  <c r="V133" i="2" s="1"/>
  <c r="U338" i="2"/>
  <c r="V338" i="2" s="1"/>
  <c r="U116" i="2"/>
  <c r="V116" i="2" s="1"/>
  <c r="U106" i="2"/>
  <c r="V106" i="2" s="1"/>
  <c r="U134" i="2"/>
  <c r="V134" i="2" s="1"/>
  <c r="U336" i="2"/>
  <c r="V336" i="2" s="1"/>
  <c r="U110" i="2"/>
  <c r="V110" i="2" s="1"/>
  <c r="U149" i="2"/>
  <c r="V149" i="2" s="1"/>
  <c r="U119" i="2"/>
  <c r="V119" i="2" s="1"/>
  <c r="U248" i="2"/>
  <c r="V248" i="2" s="1"/>
  <c r="U183" i="2"/>
  <c r="V183" i="2" s="1"/>
  <c r="U141" i="2"/>
  <c r="V141" i="2" s="1"/>
  <c r="U310" i="2"/>
  <c r="V310" i="2" s="1"/>
  <c r="U220" i="2"/>
  <c r="V220" i="2" s="1"/>
  <c r="U217" i="2"/>
  <c r="V217" i="2" s="1"/>
  <c r="U206" i="2"/>
  <c r="V206" i="2" s="1"/>
  <c r="U115" i="2"/>
  <c r="V115" i="2" s="1"/>
  <c r="U205" i="2"/>
  <c r="V205" i="2" s="1"/>
  <c r="U289" i="2"/>
  <c r="V289" i="2" s="1"/>
  <c r="U173" i="2"/>
  <c r="V173" i="2" s="1"/>
  <c r="U164" i="2"/>
  <c r="V164" i="2" s="1"/>
  <c r="U160" i="2"/>
  <c r="V160" i="2" s="1"/>
  <c r="U282" i="2"/>
  <c r="V282" i="2" s="1"/>
  <c r="U156" i="2"/>
  <c r="V156" i="2" s="1"/>
  <c r="U202" i="2"/>
  <c r="V202" i="2" s="1"/>
  <c r="U272" i="2"/>
  <c r="V272" i="2" s="1"/>
  <c r="U152" i="2"/>
  <c r="V152" i="2" s="1"/>
  <c r="U190" i="2"/>
  <c r="V190" i="2" s="1"/>
  <c r="U180" i="2"/>
  <c r="V180" i="2" s="1"/>
  <c r="U125" i="2"/>
  <c r="V125" i="2" s="1"/>
  <c r="U270" i="2"/>
  <c r="V270" i="2" s="1"/>
  <c r="U113" i="2"/>
  <c r="V113" i="2" s="1"/>
  <c r="U179" i="2"/>
  <c r="V179" i="2" s="1"/>
  <c r="U178" i="2"/>
  <c r="V178" i="2" s="1"/>
  <c r="U107" i="2"/>
  <c r="V107" i="2" s="1"/>
  <c r="U249" i="2"/>
  <c r="V249" i="2" s="1"/>
  <c r="U47" i="2"/>
  <c r="V47" i="2" s="1"/>
  <c r="U63" i="2"/>
  <c r="V63" i="2" s="1"/>
  <c r="U24" i="2"/>
  <c r="V24" i="2" s="1"/>
  <c r="U4" i="2"/>
  <c r="V4" i="2" s="1"/>
  <c r="U102" i="2"/>
  <c r="V102" i="2" s="1"/>
  <c r="U97" i="2"/>
  <c r="V97" i="2" s="1"/>
  <c r="AD164" i="2"/>
  <c r="AD78" i="2"/>
  <c r="AD259" i="2"/>
  <c r="AD244" i="2"/>
  <c r="AD132" i="2"/>
  <c r="AD36" i="2"/>
  <c r="AD115" i="2"/>
  <c r="AD196" i="2"/>
  <c r="AD413" i="2"/>
  <c r="AD381" i="2"/>
  <c r="AD349" i="2"/>
  <c r="AD317" i="2"/>
  <c r="AD402" i="2"/>
  <c r="AD370" i="2"/>
  <c r="AD338" i="2"/>
  <c r="AD306" i="2"/>
  <c r="AD391" i="2"/>
  <c r="AD359" i="2"/>
  <c r="AD327" i="2"/>
  <c r="AD295" i="2"/>
  <c r="AD412" i="2"/>
  <c r="AD380" i="2"/>
  <c r="AD401" i="2"/>
  <c r="AD369" i="2"/>
  <c r="AD337" i="2"/>
  <c r="AD305" i="2"/>
  <c r="AD411" i="2"/>
  <c r="AD379" i="2"/>
  <c r="AD347" i="2"/>
  <c r="AD315" i="2"/>
  <c r="AD400" i="2"/>
  <c r="AD368" i="2"/>
  <c r="AD421" i="2"/>
  <c r="AD389" i="2"/>
  <c r="AD357" i="2"/>
  <c r="AD325" i="2"/>
  <c r="AD399" i="2"/>
  <c r="AD420" i="2"/>
  <c r="AD409" i="2"/>
  <c r="AD377" i="2"/>
  <c r="AD345" i="2"/>
  <c r="AD313" i="2"/>
  <c r="AD419" i="2"/>
  <c r="AD387" i="2"/>
  <c r="AD355" i="2"/>
  <c r="AD323" i="2"/>
  <c r="AD397" i="2"/>
  <c r="AD365" i="2"/>
  <c r="AD333" i="2"/>
  <c r="AD407" i="2"/>
  <c r="AD375" i="2"/>
  <c r="AD343" i="2"/>
  <c r="AD417" i="2"/>
  <c r="AD385" i="2"/>
  <c r="AD395" i="2"/>
  <c r="AD405" i="2"/>
  <c r="AD415" i="2"/>
  <c r="AD350" i="2"/>
  <c r="AD404" i="2"/>
  <c r="AD383" i="2"/>
  <c r="AD364" i="2"/>
  <c r="AD319" i="2"/>
  <c r="AD304" i="2"/>
  <c r="AD363" i="2"/>
  <c r="AD348" i="2"/>
  <c r="AD332" i="2"/>
  <c r="AD403" i="2"/>
  <c r="AD382" i="2"/>
  <c r="AD303" i="2"/>
  <c r="AD318" i="2"/>
  <c r="AD362" i="2"/>
  <c r="AD346" i="2"/>
  <c r="AD331" i="2"/>
  <c r="AD302" i="2"/>
  <c r="AD378" i="2"/>
  <c r="AD398" i="2"/>
  <c r="AD361" i="2"/>
  <c r="AD330" i="2"/>
  <c r="AD301" i="2"/>
  <c r="AD396" i="2"/>
  <c r="AD376" i="2"/>
  <c r="AD360" i="2"/>
  <c r="AD329" i="2"/>
  <c r="AD416" i="2"/>
  <c r="AD384" i="2"/>
  <c r="AD326" i="2"/>
  <c r="AD352" i="2"/>
  <c r="AD308" i="2"/>
  <c r="AD414" i="2"/>
  <c r="AD351" i="2"/>
  <c r="AD324" i="2"/>
  <c r="AD307" i="2"/>
  <c r="AD373" i="2"/>
  <c r="AD344" i="2"/>
  <c r="AD410" i="2"/>
  <c r="AD372" i="2"/>
  <c r="AD322" i="2"/>
  <c r="AD342" i="2"/>
  <c r="AD300" i="2"/>
  <c r="AD408" i="2"/>
  <c r="AD371" i="2"/>
  <c r="AD321" i="2"/>
  <c r="AD367" i="2"/>
  <c r="AD366" i="2"/>
  <c r="AD339" i="2"/>
  <c r="AD297" i="2"/>
  <c r="AD393" i="2"/>
  <c r="AD358" i="2"/>
  <c r="AD388" i="2"/>
  <c r="AD328" i="2"/>
  <c r="AD294" i="2"/>
  <c r="AD316" i="2"/>
  <c r="AD356" i="2"/>
  <c r="AD312" i="2"/>
  <c r="AD354" i="2"/>
  <c r="AD392" i="2"/>
  <c r="AD335" i="2"/>
  <c r="AD418" i="2"/>
  <c r="AD334" i="2"/>
  <c r="AD406" i="2"/>
  <c r="AD394" i="2"/>
  <c r="AD320" i="2"/>
  <c r="AD314" i="2"/>
  <c r="AD390" i="2"/>
  <c r="AD311" i="2"/>
  <c r="AD299" i="2"/>
  <c r="AD353" i="2"/>
  <c r="AD298" i="2"/>
  <c r="AD341" i="2"/>
  <c r="AD340" i="2"/>
  <c r="AD386" i="2"/>
  <c r="AD336" i="2"/>
  <c r="AD374" i="2"/>
  <c r="AD310" i="2"/>
  <c r="AD309" i="2"/>
  <c r="AD296" i="2"/>
  <c r="AD281" i="2"/>
  <c r="AD198" i="2"/>
  <c r="U29" i="2"/>
  <c r="V29" i="2" s="1"/>
  <c r="U55" i="2"/>
  <c r="V55" i="2" s="1"/>
  <c r="AD17" i="2"/>
  <c r="AD204" i="2"/>
  <c r="AD109" i="2"/>
  <c r="AD229" i="2"/>
  <c r="AD117" i="2"/>
  <c r="AD139" i="2"/>
  <c r="AD66" i="2"/>
  <c r="AD150" i="2"/>
  <c r="AD237" i="2"/>
  <c r="AD221" i="2"/>
  <c r="U93" i="2"/>
  <c r="V93" i="2" s="1"/>
  <c r="U90" i="2"/>
  <c r="V90" i="2" s="1"/>
  <c r="U18" i="2"/>
  <c r="V18" i="2" s="1"/>
  <c r="AD199" i="2"/>
  <c r="AD75" i="2"/>
  <c r="AD16" i="2"/>
  <c r="AD130" i="2"/>
  <c r="AD172" i="2"/>
  <c r="AD147" i="2"/>
  <c r="AD76" i="2"/>
  <c r="AD208" i="2"/>
  <c r="AD264" i="2"/>
  <c r="AD253" i="2"/>
  <c r="AD13" i="2"/>
  <c r="AD290" i="2"/>
  <c r="AD40" i="2"/>
  <c r="AD166" i="2"/>
  <c r="AD212" i="2"/>
  <c r="AD151" i="2"/>
  <c r="AD96" i="2"/>
  <c r="AD223" i="2"/>
  <c r="AD65" i="2"/>
  <c r="AD285" i="2"/>
  <c r="U7" i="2"/>
  <c r="V7" i="2" s="1"/>
  <c r="AD276" i="2"/>
  <c r="AD23" i="2"/>
  <c r="AD171" i="2"/>
  <c r="AD108" i="2"/>
  <c r="AD100" i="2"/>
  <c r="U48" i="2"/>
  <c r="V48" i="2" s="1"/>
  <c r="AD124" i="2"/>
  <c r="U50" i="2"/>
  <c r="V50" i="2" s="1"/>
  <c r="U79" i="2"/>
  <c r="V79" i="2" s="1"/>
  <c r="AD248" i="2"/>
  <c r="AD180" i="2"/>
  <c r="U88" i="2"/>
  <c r="V88" i="2" s="1"/>
  <c r="U26" i="2"/>
  <c r="V26" i="2" s="1"/>
  <c r="U25" i="2"/>
  <c r="V25" i="2" s="1"/>
  <c r="AD200" i="2"/>
  <c r="AD140" i="2"/>
  <c r="AD227" i="2"/>
  <c r="AD206" i="2"/>
  <c r="AD114" i="2"/>
  <c r="AD191" i="2"/>
  <c r="AD45" i="2"/>
  <c r="AD184" i="2"/>
  <c r="AD119" i="2"/>
  <c r="U9" i="2"/>
  <c r="V9" i="2" s="1"/>
  <c r="U73" i="2"/>
  <c r="V73" i="2" s="1"/>
  <c r="U74" i="2"/>
  <c r="V74" i="2" s="1"/>
  <c r="U32" i="2"/>
  <c r="V32" i="2" s="1"/>
  <c r="AD107" i="2"/>
  <c r="AD134" i="2"/>
  <c r="AD181" i="2"/>
  <c r="U65" i="2"/>
  <c r="V65" i="2" s="1"/>
  <c r="U87" i="2"/>
  <c r="V87" i="2" s="1"/>
  <c r="U104" i="2"/>
  <c r="V104" i="2" s="1"/>
  <c r="AD43" i="2"/>
  <c r="AD22" i="2"/>
  <c r="AD230" i="2"/>
  <c r="AD272" i="2"/>
  <c r="AD213" i="2"/>
  <c r="AD258" i="2"/>
  <c r="AD59" i="2"/>
  <c r="AD192" i="2"/>
  <c r="AD135" i="2"/>
  <c r="AD245" i="2"/>
  <c r="AD216" i="2"/>
  <c r="AD81" i="2"/>
  <c r="AD254" i="2"/>
  <c r="AD163" i="2"/>
  <c r="U39" i="2"/>
  <c r="V39" i="2" s="1"/>
  <c r="AD170" i="2"/>
  <c r="U70" i="2"/>
  <c r="V70" i="2" s="1"/>
  <c r="AD256" i="2"/>
  <c r="AD42" i="2"/>
  <c r="AD234" i="2"/>
  <c r="AD111" i="2"/>
  <c r="AD289" i="2"/>
  <c r="AD91" i="2"/>
  <c r="AD286" i="2"/>
  <c r="AD182" i="2"/>
  <c r="U51" i="2"/>
  <c r="V51" i="2" s="1"/>
  <c r="U82" i="2"/>
  <c r="V82" i="2" s="1"/>
  <c r="U66" i="2"/>
  <c r="V66" i="2" s="1"/>
  <c r="AD26" i="2"/>
  <c r="AD173" i="2"/>
  <c r="U12" i="2"/>
  <c r="V12" i="2" s="1"/>
  <c r="U76" i="2"/>
  <c r="V76" i="2" s="1"/>
  <c r="AD29" i="2"/>
  <c r="U40" i="2"/>
  <c r="V40" i="2" s="1"/>
  <c r="U31" i="2"/>
  <c r="V31" i="2" s="1"/>
  <c r="U96" i="2"/>
  <c r="V96" i="2" s="1"/>
  <c r="AD32" i="2"/>
  <c r="AD90" i="2"/>
  <c r="AD55" i="2"/>
  <c r="AD8" i="2"/>
  <c r="AD167" i="2"/>
  <c r="AD178" i="2"/>
  <c r="AD112" i="2"/>
  <c r="AD56" i="2"/>
  <c r="AD238" i="2"/>
  <c r="W2" i="4" l="1" a="1"/>
  <c r="W2" i="2" a="1"/>
  <c r="W2" i="3" a="1"/>
  <c r="W2" i="3" s="1"/>
  <c r="E14" i="3" s="1"/>
  <c r="W2" i="5" a="1"/>
  <c r="W2" i="5" s="1"/>
  <c r="AF1" i="4" a="1"/>
  <c r="AF1" i="4" s="1"/>
  <c r="AF2" i="4" s="1"/>
  <c r="AF1" i="5" a="1"/>
  <c r="AF1" i="5" s="1"/>
  <c r="AF1" i="3" a="1"/>
  <c r="AF1" i="3" s="1"/>
  <c r="AF1" i="2" a="1"/>
  <c r="AF1" i="2" s="1"/>
  <c r="H14" i="5" l="1"/>
  <c r="J14" i="5" s="1"/>
  <c r="E14" i="5"/>
  <c r="B14" i="5"/>
  <c r="H2" i="5" s="1"/>
  <c r="W2" i="4"/>
  <c r="W2" i="2"/>
  <c r="W1" i="2" s="1" a="1"/>
  <c r="W1" i="2" s="1"/>
  <c r="A15" i="2" s="1"/>
  <c r="AF4" i="4"/>
  <c r="W1" i="5" a="1"/>
  <c r="W1" i="5" s="1"/>
  <c r="A15" i="5" s="1"/>
  <c r="AF3" i="4"/>
  <c r="AF3" i="5"/>
  <c r="AF4" i="5"/>
  <c r="AF2" i="5"/>
  <c r="AF4" i="3"/>
  <c r="AF2" i="3"/>
  <c r="AF3" i="3"/>
  <c r="AF2" i="2"/>
  <c r="AF4" i="2"/>
  <c r="AF3" i="2"/>
  <c r="H14" i="4" l="1"/>
  <c r="J14" i="4" s="1"/>
  <c r="E14" i="4"/>
  <c r="H3" i="4"/>
  <c r="I3" i="4" s="1"/>
  <c r="L15" i="5"/>
  <c r="B15" i="5"/>
  <c r="B15" i="2"/>
  <c r="G15" i="2" s="1"/>
  <c r="L15" i="2"/>
  <c r="A16" i="5"/>
  <c r="B16" i="5" s="1"/>
  <c r="E15" i="5"/>
  <c r="H15" i="5"/>
  <c r="I15" i="5" s="1"/>
  <c r="E15" i="2"/>
  <c r="H15" i="2"/>
  <c r="I15" i="2" s="1"/>
  <c r="A16" i="2"/>
  <c r="F15" i="2" l="1"/>
  <c r="H16" i="2"/>
  <c r="L16" i="2"/>
  <c r="C15" i="2"/>
  <c r="D15" i="2"/>
  <c r="A17" i="5"/>
  <c r="L17" i="5" s="1"/>
  <c r="H16" i="5"/>
  <c r="I16" i="5" s="1"/>
  <c r="J16" i="5" s="1"/>
  <c r="K16" i="5" s="1"/>
  <c r="L16" i="5"/>
  <c r="A17" i="2"/>
  <c r="L17" i="2" s="1"/>
  <c r="F15" i="5"/>
  <c r="E16" i="2"/>
  <c r="B16" i="2"/>
  <c r="C16" i="2" s="1"/>
  <c r="E16" i="5"/>
  <c r="F16" i="5" s="1"/>
  <c r="J15" i="2"/>
  <c r="K15" i="2" s="1"/>
  <c r="G15" i="5"/>
  <c r="J15" i="5"/>
  <c r="K15" i="5" s="1"/>
  <c r="D15" i="5"/>
  <c r="C15" i="5"/>
  <c r="I16" i="2"/>
  <c r="J16" i="2" s="1"/>
  <c r="K16" i="2" s="1"/>
  <c r="H17" i="5"/>
  <c r="I17" i="5" s="1"/>
  <c r="B17" i="5"/>
  <c r="E17" i="5"/>
  <c r="A18" i="5"/>
  <c r="L18" i="5" s="1"/>
  <c r="G16" i="5"/>
  <c r="D16" i="5"/>
  <c r="C16" i="5"/>
  <c r="M15" i="2"/>
  <c r="H17" i="2"/>
  <c r="I17" i="2" s="1"/>
  <c r="E17" i="2"/>
  <c r="B17" i="2"/>
  <c r="A18" i="2"/>
  <c r="L18" i="2" s="1"/>
  <c r="G16" i="2" l="1"/>
  <c r="D16" i="2"/>
  <c r="F16" i="2"/>
  <c r="M15" i="5"/>
  <c r="M16" i="5"/>
  <c r="G17" i="5"/>
  <c r="F17" i="5"/>
  <c r="D17" i="5"/>
  <c r="C17" i="5"/>
  <c r="H18" i="5"/>
  <c r="I18" i="5" s="1"/>
  <c r="E18" i="5"/>
  <c r="B18" i="5"/>
  <c r="A19" i="5"/>
  <c r="L19" i="5" s="1"/>
  <c r="J17" i="5"/>
  <c r="K17" i="5" s="1"/>
  <c r="J17" i="2"/>
  <c r="K17" i="2" s="1"/>
  <c r="H18" i="2"/>
  <c r="I18" i="2" s="1"/>
  <c r="E18" i="2"/>
  <c r="B18" i="2"/>
  <c r="A19" i="2"/>
  <c r="L19" i="2" s="1"/>
  <c r="G17" i="2"/>
  <c r="F17" i="2"/>
  <c r="D17" i="2"/>
  <c r="C17" i="2"/>
  <c r="M16" i="2" l="1"/>
  <c r="M17" i="5"/>
  <c r="H19" i="5"/>
  <c r="I19" i="5" s="1"/>
  <c r="B19" i="5"/>
  <c r="E19" i="5"/>
  <c r="A20" i="5"/>
  <c r="L20" i="5" s="1"/>
  <c r="G18" i="5"/>
  <c r="C18" i="5"/>
  <c r="F18" i="5"/>
  <c r="D18" i="5"/>
  <c r="J18" i="5"/>
  <c r="K18" i="5" s="1"/>
  <c r="M17" i="2"/>
  <c r="C18" i="2"/>
  <c r="F18" i="2"/>
  <c r="G18" i="2"/>
  <c r="D18" i="2"/>
  <c r="J18" i="2"/>
  <c r="K18" i="2" s="1"/>
  <c r="H19" i="2"/>
  <c r="I19" i="2" s="1"/>
  <c r="E19" i="2"/>
  <c r="B19" i="2"/>
  <c r="A20" i="2"/>
  <c r="L20" i="2" s="1"/>
  <c r="M18" i="5" l="1"/>
  <c r="C19" i="5"/>
  <c r="G19" i="5"/>
  <c r="F19" i="5"/>
  <c r="D19" i="5"/>
  <c r="J19" i="5"/>
  <c r="K19" i="5" s="1"/>
  <c r="E20" i="5"/>
  <c r="B20" i="5"/>
  <c r="H20" i="5"/>
  <c r="I20" i="5" s="1"/>
  <c r="A21" i="5"/>
  <c r="L21" i="5" s="1"/>
  <c r="M18" i="2"/>
  <c r="H20" i="2"/>
  <c r="I20" i="2" s="1"/>
  <c r="B20" i="2"/>
  <c r="E20" i="2"/>
  <c r="A21" i="2"/>
  <c r="L21" i="2" s="1"/>
  <c r="J19" i="2"/>
  <c r="K19" i="2" s="1"/>
  <c r="G19" i="2"/>
  <c r="F19" i="2"/>
  <c r="D19" i="2"/>
  <c r="C19" i="2"/>
  <c r="M19" i="5" l="1"/>
  <c r="D20" i="5"/>
  <c r="C20" i="5"/>
  <c r="F20" i="5"/>
  <c r="G20" i="5"/>
  <c r="J20" i="5"/>
  <c r="K20" i="5" s="1"/>
  <c r="H21" i="5"/>
  <c r="I21" i="5" s="1"/>
  <c r="E21" i="5"/>
  <c r="B21" i="5"/>
  <c r="A22" i="5"/>
  <c r="L22" i="5" s="1"/>
  <c r="M19" i="2"/>
  <c r="E21" i="2"/>
  <c r="B21" i="2"/>
  <c r="H21" i="2"/>
  <c r="I21" i="2" s="1"/>
  <c r="A22" i="2"/>
  <c r="L22" i="2" s="1"/>
  <c r="C20" i="2"/>
  <c r="F20" i="2"/>
  <c r="G20" i="2"/>
  <c r="D20" i="2"/>
  <c r="J20" i="2"/>
  <c r="K20" i="2" s="1"/>
  <c r="M20" i="5" l="1"/>
  <c r="G21" i="5"/>
  <c r="F21" i="5"/>
  <c r="D21" i="5"/>
  <c r="C21" i="5"/>
  <c r="J21" i="5"/>
  <c r="K21" i="5" s="1"/>
  <c r="E22" i="5"/>
  <c r="H22" i="5"/>
  <c r="I22" i="5" s="1"/>
  <c r="B22" i="5"/>
  <c r="A23" i="5"/>
  <c r="L23" i="5" s="1"/>
  <c r="M20" i="2"/>
  <c r="J21" i="2"/>
  <c r="K21" i="2" s="1"/>
  <c r="G21" i="2"/>
  <c r="D21" i="2"/>
  <c r="F21" i="2"/>
  <c r="C21" i="2"/>
  <c r="E22" i="2"/>
  <c r="H22" i="2"/>
  <c r="I22" i="2" s="1"/>
  <c r="B22" i="2"/>
  <c r="A23" i="2"/>
  <c r="L23" i="2" s="1"/>
  <c r="M21" i="5" l="1"/>
  <c r="H23" i="5"/>
  <c r="I23" i="5" s="1"/>
  <c r="B23" i="5"/>
  <c r="E23" i="5"/>
  <c r="A24" i="5"/>
  <c r="L24" i="5" s="1"/>
  <c r="G22" i="5"/>
  <c r="F22" i="5"/>
  <c r="D22" i="5"/>
  <c r="C22" i="5"/>
  <c r="J22" i="5"/>
  <c r="K22" i="5" s="1"/>
  <c r="M21" i="2"/>
  <c r="J22" i="2"/>
  <c r="K22" i="2" s="1"/>
  <c r="C22" i="2"/>
  <c r="G22" i="2"/>
  <c r="F22" i="2"/>
  <c r="D22" i="2"/>
  <c r="H23" i="2"/>
  <c r="I23" i="2" s="1"/>
  <c r="E23" i="2"/>
  <c r="B23" i="2"/>
  <c r="A24" i="2"/>
  <c r="L24" i="2" s="1"/>
  <c r="M22" i="5" l="1"/>
  <c r="B24" i="5"/>
  <c r="E24" i="5"/>
  <c r="H24" i="5"/>
  <c r="I24" i="5" s="1"/>
  <c r="A25" i="5"/>
  <c r="L25" i="5" s="1"/>
  <c r="G23" i="5"/>
  <c r="F23" i="5"/>
  <c r="D23" i="5"/>
  <c r="C23" i="5"/>
  <c r="J23" i="5"/>
  <c r="K23" i="5" s="1"/>
  <c r="M22" i="2"/>
  <c r="E24" i="2"/>
  <c r="B24" i="2"/>
  <c r="H24" i="2"/>
  <c r="I24" i="2" s="1"/>
  <c r="A25" i="2"/>
  <c r="L25" i="2" s="1"/>
  <c r="F23" i="2"/>
  <c r="D23" i="2"/>
  <c r="G23" i="2"/>
  <c r="C23" i="2"/>
  <c r="J23" i="2"/>
  <c r="K23" i="2" s="1"/>
  <c r="M23" i="5" l="1"/>
  <c r="H25" i="5"/>
  <c r="I25" i="5" s="1"/>
  <c r="E25" i="5"/>
  <c r="B25" i="5"/>
  <c r="A26" i="5"/>
  <c r="L26" i="5" s="1"/>
  <c r="J24" i="5"/>
  <c r="K24" i="5" s="1"/>
  <c r="G24" i="5"/>
  <c r="C24" i="5"/>
  <c r="F24" i="5"/>
  <c r="D24" i="5"/>
  <c r="M23" i="2"/>
  <c r="J24" i="2"/>
  <c r="K24" i="2" s="1"/>
  <c r="E25" i="2"/>
  <c r="H25" i="2"/>
  <c r="I25" i="2" s="1"/>
  <c r="B25" i="2"/>
  <c r="A26" i="2"/>
  <c r="L26" i="2" s="1"/>
  <c r="C24" i="2"/>
  <c r="D24" i="2"/>
  <c r="G24" i="2"/>
  <c r="F24" i="2"/>
  <c r="M24" i="5" l="1"/>
  <c r="D25" i="5"/>
  <c r="G25" i="5"/>
  <c r="F25" i="5"/>
  <c r="C25" i="5"/>
  <c r="B26" i="5"/>
  <c r="H26" i="5"/>
  <c r="I26" i="5" s="1"/>
  <c r="E26" i="5"/>
  <c r="A27" i="5"/>
  <c r="L27" i="5" s="1"/>
  <c r="J25" i="5"/>
  <c r="K25" i="5" s="1"/>
  <c r="M24" i="2"/>
  <c r="B26" i="2"/>
  <c r="H26" i="2"/>
  <c r="I26" i="2" s="1"/>
  <c r="E26" i="2"/>
  <c r="A27" i="2"/>
  <c r="L27" i="2" s="1"/>
  <c r="J25" i="2"/>
  <c r="K25" i="2" s="1"/>
  <c r="F25" i="2"/>
  <c r="G25" i="2"/>
  <c r="D25" i="2"/>
  <c r="C25" i="2"/>
  <c r="M25" i="5" l="1"/>
  <c r="D26" i="5"/>
  <c r="C26" i="5"/>
  <c r="G26" i="5"/>
  <c r="F26" i="5"/>
  <c r="J26" i="5"/>
  <c r="K26" i="5" s="1"/>
  <c r="H27" i="5"/>
  <c r="I27" i="5" s="1"/>
  <c r="B27" i="5"/>
  <c r="E27" i="5"/>
  <c r="A28" i="5"/>
  <c r="L28" i="5" s="1"/>
  <c r="M25" i="2"/>
  <c r="C26" i="2"/>
  <c r="D26" i="2"/>
  <c r="F26" i="2"/>
  <c r="G26" i="2"/>
  <c r="H27" i="2"/>
  <c r="I27" i="2" s="1"/>
  <c r="E27" i="2"/>
  <c r="B27" i="2"/>
  <c r="A28" i="2"/>
  <c r="L28" i="2" s="1"/>
  <c r="J26" i="2"/>
  <c r="K26" i="2" s="1"/>
  <c r="M26" i="5" l="1"/>
  <c r="H28" i="5"/>
  <c r="I28" i="5" s="1"/>
  <c r="E28" i="5"/>
  <c r="B28" i="5"/>
  <c r="A29" i="5"/>
  <c r="L29" i="5" s="1"/>
  <c r="D27" i="5"/>
  <c r="G27" i="5"/>
  <c r="F27" i="5"/>
  <c r="C27" i="5"/>
  <c r="J27" i="5"/>
  <c r="K27" i="5" s="1"/>
  <c r="M26" i="2"/>
  <c r="E28" i="2"/>
  <c r="B28" i="2"/>
  <c r="H28" i="2"/>
  <c r="I28" i="2" s="1"/>
  <c r="A29" i="2"/>
  <c r="L29" i="2" s="1"/>
  <c r="F27" i="2"/>
  <c r="D27" i="2"/>
  <c r="G27" i="2"/>
  <c r="C27" i="2"/>
  <c r="J27" i="2"/>
  <c r="K27" i="2" s="1"/>
  <c r="M27" i="5" l="1"/>
  <c r="D28" i="5"/>
  <c r="C28" i="5"/>
  <c r="G28" i="5"/>
  <c r="F28" i="5"/>
  <c r="H29" i="5"/>
  <c r="I29" i="5" s="1"/>
  <c r="B29" i="5"/>
  <c r="E29" i="5"/>
  <c r="A30" i="5"/>
  <c r="L30" i="5" s="1"/>
  <c r="J28" i="5"/>
  <c r="K28" i="5" s="1"/>
  <c r="M27" i="2"/>
  <c r="B29" i="2"/>
  <c r="E29" i="2"/>
  <c r="H29" i="2"/>
  <c r="I29" i="2" s="1"/>
  <c r="A30" i="2"/>
  <c r="L30" i="2" s="1"/>
  <c r="J28" i="2"/>
  <c r="K28" i="2" s="1"/>
  <c r="C28" i="2"/>
  <c r="D28" i="2"/>
  <c r="F28" i="2"/>
  <c r="G28" i="2"/>
  <c r="M28" i="5" l="1"/>
  <c r="D29" i="5"/>
  <c r="C29" i="5"/>
  <c r="F29" i="5"/>
  <c r="G29" i="5"/>
  <c r="J29" i="5"/>
  <c r="K29" i="5" s="1"/>
  <c r="E30" i="5"/>
  <c r="H30" i="5"/>
  <c r="I30" i="5" s="1"/>
  <c r="B30" i="5"/>
  <c r="A31" i="5"/>
  <c r="L31" i="5" s="1"/>
  <c r="M28" i="2"/>
  <c r="J29" i="2"/>
  <c r="K29" i="2" s="1"/>
  <c r="E30" i="2"/>
  <c r="H30" i="2"/>
  <c r="I30" i="2" s="1"/>
  <c r="B30" i="2"/>
  <c r="A31" i="2"/>
  <c r="L31" i="2" s="1"/>
  <c r="C29" i="2"/>
  <c r="G29" i="2"/>
  <c r="F29" i="2"/>
  <c r="D29" i="2"/>
  <c r="M29" i="5" l="1"/>
  <c r="J30" i="5"/>
  <c r="K30" i="5" s="1"/>
  <c r="H31" i="5"/>
  <c r="I31" i="5" s="1"/>
  <c r="E31" i="5"/>
  <c r="B31" i="5"/>
  <c r="A32" i="5"/>
  <c r="L32" i="5" s="1"/>
  <c r="G30" i="5"/>
  <c r="F30" i="5"/>
  <c r="D30" i="5"/>
  <c r="C30" i="5"/>
  <c r="M29" i="2"/>
  <c r="H31" i="2"/>
  <c r="I31" i="2" s="1"/>
  <c r="B31" i="2"/>
  <c r="E31" i="2"/>
  <c r="A32" i="2"/>
  <c r="L32" i="2" s="1"/>
  <c r="C30" i="2"/>
  <c r="G30" i="2"/>
  <c r="F30" i="2"/>
  <c r="D30" i="2"/>
  <c r="J30" i="2"/>
  <c r="K30" i="2" s="1"/>
  <c r="M30" i="5" l="1"/>
  <c r="D31" i="5"/>
  <c r="G31" i="5"/>
  <c r="C31" i="5"/>
  <c r="F31" i="5"/>
  <c r="J31" i="5"/>
  <c r="K31" i="5" s="1"/>
  <c r="H32" i="5"/>
  <c r="I32" i="5" s="1"/>
  <c r="E32" i="5"/>
  <c r="B32" i="5"/>
  <c r="A33" i="5"/>
  <c r="L33" i="5" s="1"/>
  <c r="M30" i="2"/>
  <c r="F31" i="2"/>
  <c r="G31" i="2"/>
  <c r="D31" i="2"/>
  <c r="C31" i="2"/>
  <c r="H32" i="2"/>
  <c r="I32" i="2" s="1"/>
  <c r="B32" i="2"/>
  <c r="E32" i="2"/>
  <c r="A33" i="2"/>
  <c r="L33" i="2" s="1"/>
  <c r="J31" i="2"/>
  <c r="K31" i="2" s="1"/>
  <c r="M31" i="5" l="1"/>
  <c r="H33" i="5"/>
  <c r="I33" i="5" s="1"/>
  <c r="B33" i="5"/>
  <c r="E33" i="5"/>
  <c r="A34" i="5"/>
  <c r="L34" i="5" s="1"/>
  <c r="C32" i="5"/>
  <c r="G32" i="5"/>
  <c r="F32" i="5"/>
  <c r="D32" i="5"/>
  <c r="J32" i="5"/>
  <c r="K32" i="5" s="1"/>
  <c r="M31" i="2"/>
  <c r="H33" i="2"/>
  <c r="I33" i="2" s="1"/>
  <c r="E33" i="2"/>
  <c r="B33" i="2"/>
  <c r="A34" i="2"/>
  <c r="L34" i="2" s="1"/>
  <c r="J32" i="2"/>
  <c r="K32" i="2" s="1"/>
  <c r="C32" i="2"/>
  <c r="F32" i="2"/>
  <c r="G32" i="2"/>
  <c r="D32" i="2"/>
  <c r="M32" i="5" l="1"/>
  <c r="B34" i="5"/>
  <c r="E34" i="5"/>
  <c r="H34" i="5"/>
  <c r="I34" i="5" s="1"/>
  <c r="A35" i="5"/>
  <c r="L35" i="5" s="1"/>
  <c r="J33" i="5"/>
  <c r="K33" i="5" s="1"/>
  <c r="D33" i="5"/>
  <c r="C33" i="5"/>
  <c r="F33" i="5"/>
  <c r="G33" i="5"/>
  <c r="M32" i="2"/>
  <c r="B34" i="2"/>
  <c r="H34" i="2"/>
  <c r="I34" i="2" s="1"/>
  <c r="E34" i="2"/>
  <c r="A35" i="2"/>
  <c r="L35" i="2" s="1"/>
  <c r="G33" i="2"/>
  <c r="F33" i="2"/>
  <c r="D33" i="2"/>
  <c r="C33" i="2"/>
  <c r="J33" i="2"/>
  <c r="K33" i="2" s="1"/>
  <c r="M33" i="5" l="1"/>
  <c r="J34" i="5"/>
  <c r="K34" i="5" s="1"/>
  <c r="H35" i="5"/>
  <c r="I35" i="5" s="1"/>
  <c r="E35" i="5"/>
  <c r="B35" i="5"/>
  <c r="A36" i="5"/>
  <c r="L36" i="5" s="1"/>
  <c r="F34" i="5"/>
  <c r="C34" i="5"/>
  <c r="D34" i="5"/>
  <c r="G34" i="5"/>
  <c r="M33" i="2"/>
  <c r="J34" i="2"/>
  <c r="K34" i="2" s="1"/>
  <c r="H35" i="2"/>
  <c r="I35" i="2" s="1"/>
  <c r="E35" i="2"/>
  <c r="B35" i="2"/>
  <c r="A36" i="2"/>
  <c r="L36" i="2" s="1"/>
  <c r="C34" i="2"/>
  <c r="G34" i="2"/>
  <c r="D34" i="2"/>
  <c r="F34" i="2"/>
  <c r="M34" i="5" l="1"/>
  <c r="D35" i="5"/>
  <c r="F35" i="5"/>
  <c r="G35" i="5"/>
  <c r="C35" i="5"/>
  <c r="H36" i="5"/>
  <c r="I36" i="5" s="1"/>
  <c r="E36" i="5"/>
  <c r="B36" i="5"/>
  <c r="A37" i="5"/>
  <c r="L37" i="5" s="1"/>
  <c r="J35" i="5"/>
  <c r="K35" i="5" s="1"/>
  <c r="M34" i="2"/>
  <c r="H36" i="2"/>
  <c r="I36" i="2" s="1"/>
  <c r="E36" i="2"/>
  <c r="B36" i="2"/>
  <c r="A37" i="2"/>
  <c r="L37" i="2" s="1"/>
  <c r="G35" i="2"/>
  <c r="F35" i="2"/>
  <c r="D35" i="2"/>
  <c r="C35" i="2"/>
  <c r="J35" i="2"/>
  <c r="K35" i="2" s="1"/>
  <c r="M35" i="5" l="1"/>
  <c r="H37" i="5"/>
  <c r="I37" i="5" s="1"/>
  <c r="E37" i="5"/>
  <c r="B37" i="5"/>
  <c r="A38" i="5"/>
  <c r="L38" i="5" s="1"/>
  <c r="J36" i="5"/>
  <c r="K36" i="5" s="1"/>
  <c r="G36" i="5"/>
  <c r="F36" i="5"/>
  <c r="D36" i="5"/>
  <c r="C36" i="5"/>
  <c r="M35" i="2"/>
  <c r="J36" i="2"/>
  <c r="K36" i="2" s="1"/>
  <c r="C36" i="2"/>
  <c r="F36" i="2"/>
  <c r="D36" i="2"/>
  <c r="G36" i="2"/>
  <c r="B37" i="2"/>
  <c r="H37" i="2"/>
  <c r="I37" i="2" s="1"/>
  <c r="E37" i="2"/>
  <c r="A38" i="2"/>
  <c r="L38" i="2" s="1"/>
  <c r="M36" i="5" l="1"/>
  <c r="D37" i="5"/>
  <c r="G37" i="5"/>
  <c r="F37" i="5"/>
  <c r="C37" i="5"/>
  <c r="B38" i="5"/>
  <c r="H38" i="5"/>
  <c r="I38" i="5" s="1"/>
  <c r="E38" i="5"/>
  <c r="A39" i="5"/>
  <c r="L39" i="5" s="1"/>
  <c r="J37" i="5"/>
  <c r="K37" i="5" s="1"/>
  <c r="M36" i="2"/>
  <c r="B38" i="2"/>
  <c r="E38" i="2"/>
  <c r="H38" i="2"/>
  <c r="I38" i="2" s="1"/>
  <c r="A39" i="2"/>
  <c r="L39" i="2" s="1"/>
  <c r="J37" i="2"/>
  <c r="K37" i="2" s="1"/>
  <c r="G37" i="2"/>
  <c r="F37" i="2"/>
  <c r="C37" i="2"/>
  <c r="D37" i="2"/>
  <c r="M37" i="5" l="1"/>
  <c r="H39" i="5"/>
  <c r="I39" i="5" s="1"/>
  <c r="E39" i="5"/>
  <c r="B39" i="5"/>
  <c r="A40" i="5"/>
  <c r="L40" i="5" s="1"/>
  <c r="D38" i="5"/>
  <c r="C38" i="5"/>
  <c r="G38" i="5"/>
  <c r="F38" i="5"/>
  <c r="J38" i="5"/>
  <c r="K38" i="5" s="1"/>
  <c r="M37" i="2"/>
  <c r="B39" i="2"/>
  <c r="H39" i="2"/>
  <c r="I39" i="2" s="1"/>
  <c r="E39" i="2"/>
  <c r="A40" i="2"/>
  <c r="L40" i="2" s="1"/>
  <c r="J38" i="2"/>
  <c r="K38" i="2" s="1"/>
  <c r="C38" i="2"/>
  <c r="G38" i="2"/>
  <c r="F38" i="2"/>
  <c r="D38" i="2"/>
  <c r="M38" i="5" l="1"/>
  <c r="D39" i="5"/>
  <c r="G39" i="5"/>
  <c r="C39" i="5"/>
  <c r="F39" i="5"/>
  <c r="E40" i="5"/>
  <c r="B40" i="5"/>
  <c r="H40" i="5"/>
  <c r="I40" i="5" s="1"/>
  <c r="A41" i="5"/>
  <c r="L41" i="5" s="1"/>
  <c r="J39" i="5"/>
  <c r="K39" i="5" s="1"/>
  <c r="M38" i="2"/>
  <c r="H40" i="2"/>
  <c r="I40" i="2" s="1"/>
  <c r="E40" i="2"/>
  <c r="B40" i="2"/>
  <c r="A41" i="2"/>
  <c r="L41" i="2" s="1"/>
  <c r="J39" i="2"/>
  <c r="K39" i="2" s="1"/>
  <c r="D39" i="2"/>
  <c r="C39" i="2"/>
  <c r="G39" i="2"/>
  <c r="F39" i="2"/>
  <c r="M39" i="5" l="1"/>
  <c r="E41" i="5"/>
  <c r="B41" i="5"/>
  <c r="H41" i="5"/>
  <c r="I41" i="5" s="1"/>
  <c r="A42" i="5"/>
  <c r="L42" i="5" s="1"/>
  <c r="F40" i="5"/>
  <c r="G40" i="5"/>
  <c r="D40" i="5"/>
  <c r="C40" i="5"/>
  <c r="J40" i="5"/>
  <c r="K40" i="5" s="1"/>
  <c r="M39" i="2"/>
  <c r="C40" i="2"/>
  <c r="F40" i="2"/>
  <c r="D40" i="2"/>
  <c r="G40" i="2"/>
  <c r="H41" i="2"/>
  <c r="I41" i="2" s="1"/>
  <c r="E41" i="2"/>
  <c r="B41" i="2"/>
  <c r="A42" i="2"/>
  <c r="L42" i="2" s="1"/>
  <c r="J40" i="2"/>
  <c r="K40" i="2" s="1"/>
  <c r="M40" i="5" l="1"/>
  <c r="J41" i="5"/>
  <c r="K41" i="5" s="1"/>
  <c r="H42" i="5"/>
  <c r="I42" i="5" s="1"/>
  <c r="E42" i="5"/>
  <c r="B42" i="5"/>
  <c r="A43" i="5"/>
  <c r="L43" i="5" s="1"/>
  <c r="G41" i="5"/>
  <c r="D41" i="5"/>
  <c r="F41" i="5"/>
  <c r="C41" i="5"/>
  <c r="M40" i="2"/>
  <c r="E42" i="2"/>
  <c r="B42" i="2"/>
  <c r="H42" i="2"/>
  <c r="I42" i="2" s="1"/>
  <c r="A43" i="2"/>
  <c r="L43" i="2" s="1"/>
  <c r="J41" i="2"/>
  <c r="K41" i="2" s="1"/>
  <c r="G41" i="2"/>
  <c r="F41" i="2"/>
  <c r="D41" i="2"/>
  <c r="C41" i="2"/>
  <c r="M41" i="5" l="1"/>
  <c r="J42" i="5"/>
  <c r="K42" i="5" s="1"/>
  <c r="G42" i="5"/>
  <c r="C42" i="5"/>
  <c r="D42" i="5"/>
  <c r="F42" i="5"/>
  <c r="B43" i="5"/>
  <c r="H43" i="5"/>
  <c r="I43" i="5" s="1"/>
  <c r="E43" i="5"/>
  <c r="A44" i="5"/>
  <c r="L44" i="5" s="1"/>
  <c r="M41" i="2"/>
  <c r="J42" i="2"/>
  <c r="K42" i="2" s="1"/>
  <c r="C42" i="2"/>
  <c r="G42" i="2"/>
  <c r="D42" i="2"/>
  <c r="F42" i="2"/>
  <c r="H43" i="2"/>
  <c r="I43" i="2" s="1"/>
  <c r="B43" i="2"/>
  <c r="E43" i="2"/>
  <c r="A44" i="2"/>
  <c r="L44" i="2" s="1"/>
  <c r="M42" i="5" l="1"/>
  <c r="J43" i="5"/>
  <c r="K43" i="5" s="1"/>
  <c r="F43" i="5"/>
  <c r="C43" i="5"/>
  <c r="D43" i="5"/>
  <c r="G43" i="5"/>
  <c r="B44" i="5"/>
  <c r="H44" i="5"/>
  <c r="I44" i="5" s="1"/>
  <c r="E44" i="5"/>
  <c r="A45" i="5"/>
  <c r="L45" i="5" s="1"/>
  <c r="M42" i="2"/>
  <c r="D43" i="2"/>
  <c r="C43" i="2"/>
  <c r="F43" i="2"/>
  <c r="G43" i="2"/>
  <c r="H44" i="2"/>
  <c r="I44" i="2" s="1"/>
  <c r="E44" i="2"/>
  <c r="B44" i="2"/>
  <c r="A45" i="2"/>
  <c r="L45" i="2" s="1"/>
  <c r="J43" i="2"/>
  <c r="K43" i="2" s="1"/>
  <c r="M43" i="5" l="1"/>
  <c r="J44" i="5"/>
  <c r="K44" i="5" s="1"/>
  <c r="G44" i="5"/>
  <c r="D44" i="5"/>
  <c r="C44" i="5"/>
  <c r="F44" i="5"/>
  <c r="E45" i="5"/>
  <c r="H45" i="5"/>
  <c r="I45" i="5" s="1"/>
  <c r="B45" i="5"/>
  <c r="A46" i="5"/>
  <c r="L46" i="5" s="1"/>
  <c r="M43" i="2"/>
  <c r="C44" i="2"/>
  <c r="F44" i="2"/>
  <c r="G44" i="2"/>
  <c r="D44" i="2"/>
  <c r="H45" i="2"/>
  <c r="I45" i="2" s="1"/>
  <c r="E45" i="2"/>
  <c r="B45" i="2"/>
  <c r="A46" i="2"/>
  <c r="L46" i="2" s="1"/>
  <c r="J44" i="2"/>
  <c r="K44" i="2" s="1"/>
  <c r="M44" i="5" l="1"/>
  <c r="G45" i="5"/>
  <c r="D45" i="5"/>
  <c r="C45" i="5"/>
  <c r="F45" i="5"/>
  <c r="J45" i="5"/>
  <c r="K45" i="5" s="1"/>
  <c r="H46" i="5"/>
  <c r="I46" i="5" s="1"/>
  <c r="E46" i="5"/>
  <c r="B46" i="5"/>
  <c r="A47" i="5"/>
  <c r="L47" i="5" s="1"/>
  <c r="M44" i="2"/>
  <c r="G45" i="2"/>
  <c r="F45" i="2"/>
  <c r="D45" i="2"/>
  <c r="C45" i="2"/>
  <c r="H46" i="2"/>
  <c r="I46" i="2" s="1"/>
  <c r="E46" i="2"/>
  <c r="B46" i="2"/>
  <c r="A47" i="2"/>
  <c r="L47" i="2" s="1"/>
  <c r="J45" i="2"/>
  <c r="K45" i="2" s="1"/>
  <c r="M45" i="5" l="1"/>
  <c r="C46" i="5"/>
  <c r="G46" i="5"/>
  <c r="F46" i="5"/>
  <c r="D46" i="5"/>
  <c r="H47" i="5"/>
  <c r="I47" i="5" s="1"/>
  <c r="E47" i="5"/>
  <c r="B47" i="5"/>
  <c r="A48" i="5"/>
  <c r="L48" i="5" s="1"/>
  <c r="J46" i="5"/>
  <c r="K46" i="5" s="1"/>
  <c r="M45" i="2"/>
  <c r="C46" i="2"/>
  <c r="G46" i="2"/>
  <c r="D46" i="2"/>
  <c r="F46" i="2"/>
  <c r="H47" i="2"/>
  <c r="I47" i="2" s="1"/>
  <c r="E47" i="2"/>
  <c r="B47" i="2"/>
  <c r="A48" i="2"/>
  <c r="L48" i="2" s="1"/>
  <c r="J46" i="2"/>
  <c r="K46" i="2" s="1"/>
  <c r="M46" i="5" l="1"/>
  <c r="G47" i="5"/>
  <c r="F47" i="5"/>
  <c r="D47" i="5"/>
  <c r="C47" i="5"/>
  <c r="B48" i="5"/>
  <c r="E48" i="5"/>
  <c r="H48" i="5"/>
  <c r="I48" i="5" s="1"/>
  <c r="A49" i="5"/>
  <c r="L49" i="5" s="1"/>
  <c r="J47" i="5"/>
  <c r="K47" i="5" s="1"/>
  <c r="M46" i="2"/>
  <c r="F47" i="2"/>
  <c r="G47" i="2"/>
  <c r="C47" i="2"/>
  <c r="D47" i="2"/>
  <c r="J47" i="2"/>
  <c r="K47" i="2" s="1"/>
  <c r="H48" i="2"/>
  <c r="I48" i="2" s="1"/>
  <c r="E48" i="2"/>
  <c r="B48" i="2"/>
  <c r="A49" i="2"/>
  <c r="L49" i="2" s="1"/>
  <c r="M47" i="5" l="1"/>
  <c r="E49" i="5"/>
  <c r="B49" i="5"/>
  <c r="H49" i="5"/>
  <c r="I49" i="5" s="1"/>
  <c r="A50" i="5"/>
  <c r="L50" i="5" s="1"/>
  <c r="J48" i="5"/>
  <c r="K48" i="5" s="1"/>
  <c r="G48" i="5"/>
  <c r="F48" i="5"/>
  <c r="C48" i="5"/>
  <c r="D48" i="5"/>
  <c r="M47" i="2"/>
  <c r="C48" i="2"/>
  <c r="D48" i="2"/>
  <c r="G48" i="2"/>
  <c r="F48" i="2"/>
  <c r="H49" i="2"/>
  <c r="I49" i="2" s="1"/>
  <c r="E49" i="2"/>
  <c r="B49" i="2"/>
  <c r="A50" i="2"/>
  <c r="L50" i="2" s="1"/>
  <c r="J48" i="2"/>
  <c r="K48" i="2" s="1"/>
  <c r="M48" i="5" l="1"/>
  <c r="F49" i="5"/>
  <c r="G49" i="5"/>
  <c r="D49" i="5"/>
  <c r="C49" i="5"/>
  <c r="H50" i="5"/>
  <c r="I50" i="5" s="1"/>
  <c r="E50" i="5"/>
  <c r="B50" i="5"/>
  <c r="A51" i="5"/>
  <c r="L51" i="5" s="1"/>
  <c r="J49" i="5"/>
  <c r="K49" i="5" s="1"/>
  <c r="M48" i="2"/>
  <c r="G49" i="2"/>
  <c r="F49" i="2"/>
  <c r="D49" i="2"/>
  <c r="C49" i="2"/>
  <c r="H50" i="2"/>
  <c r="I50" i="2" s="1"/>
  <c r="E50" i="2"/>
  <c r="B50" i="2"/>
  <c r="A51" i="2"/>
  <c r="L51" i="2" s="1"/>
  <c r="J49" i="2"/>
  <c r="K49" i="2" s="1"/>
  <c r="M49" i="5" l="1"/>
  <c r="G50" i="5"/>
  <c r="F50" i="5"/>
  <c r="D50" i="5"/>
  <c r="C50" i="5"/>
  <c r="B51" i="5"/>
  <c r="H51" i="5"/>
  <c r="I51" i="5" s="1"/>
  <c r="E51" i="5"/>
  <c r="A52" i="5"/>
  <c r="L52" i="5" s="1"/>
  <c r="J50" i="5"/>
  <c r="K50" i="5" s="1"/>
  <c r="M49" i="2"/>
  <c r="H51" i="2"/>
  <c r="I51" i="2" s="1"/>
  <c r="B51" i="2"/>
  <c r="E51" i="2"/>
  <c r="A52" i="2"/>
  <c r="L52" i="2" s="1"/>
  <c r="C50" i="2"/>
  <c r="G50" i="2"/>
  <c r="F50" i="2"/>
  <c r="D50" i="2"/>
  <c r="J50" i="2"/>
  <c r="K50" i="2" s="1"/>
  <c r="M50" i="5" l="1"/>
  <c r="B52" i="5"/>
  <c r="H52" i="5"/>
  <c r="I52" i="5" s="1"/>
  <c r="E52" i="5"/>
  <c r="A53" i="5"/>
  <c r="L53" i="5" s="1"/>
  <c r="J51" i="5"/>
  <c r="K51" i="5" s="1"/>
  <c r="G51" i="5"/>
  <c r="C51" i="5"/>
  <c r="F51" i="5"/>
  <c r="D51" i="5"/>
  <c r="M50" i="2"/>
  <c r="G51" i="2"/>
  <c r="F51" i="2"/>
  <c r="D51" i="2"/>
  <c r="C51" i="2"/>
  <c r="H52" i="2"/>
  <c r="I52" i="2" s="1"/>
  <c r="E52" i="2"/>
  <c r="B52" i="2"/>
  <c r="A53" i="2"/>
  <c r="L53" i="2" s="1"/>
  <c r="J51" i="2"/>
  <c r="K51" i="2" s="1"/>
  <c r="M51" i="5" l="1"/>
  <c r="H53" i="5"/>
  <c r="I53" i="5" s="1"/>
  <c r="E53" i="5"/>
  <c r="B53" i="5"/>
  <c r="A54" i="5"/>
  <c r="L54" i="5" s="1"/>
  <c r="F52" i="5"/>
  <c r="D52" i="5"/>
  <c r="C52" i="5"/>
  <c r="G52" i="5"/>
  <c r="J52" i="5"/>
  <c r="K52" i="5" s="1"/>
  <c r="M51" i="2"/>
  <c r="C52" i="2"/>
  <c r="F52" i="2"/>
  <c r="D52" i="2"/>
  <c r="G52" i="2"/>
  <c r="B53" i="2"/>
  <c r="H53" i="2"/>
  <c r="I53" i="2" s="1"/>
  <c r="E53" i="2"/>
  <c r="A54" i="2"/>
  <c r="L54" i="2" s="1"/>
  <c r="J52" i="2"/>
  <c r="K52" i="2" s="1"/>
  <c r="M52" i="5" l="1"/>
  <c r="B54" i="5"/>
  <c r="E54" i="5"/>
  <c r="H54" i="5"/>
  <c r="I54" i="5" s="1"/>
  <c r="A55" i="5"/>
  <c r="L55" i="5" s="1"/>
  <c r="D53" i="5"/>
  <c r="C53" i="5"/>
  <c r="G53" i="5"/>
  <c r="F53" i="5"/>
  <c r="J53" i="5"/>
  <c r="K53" i="5" s="1"/>
  <c r="M52" i="2"/>
  <c r="J53" i="2"/>
  <c r="K53" i="2" s="1"/>
  <c r="H54" i="2"/>
  <c r="I54" i="2" s="1"/>
  <c r="E54" i="2"/>
  <c r="B54" i="2"/>
  <c r="A55" i="2"/>
  <c r="L55" i="2" s="1"/>
  <c r="D53" i="2"/>
  <c r="C53" i="2"/>
  <c r="F53" i="2"/>
  <c r="G53" i="2"/>
  <c r="M53" i="5" l="1"/>
  <c r="H55" i="5"/>
  <c r="I55" i="5" s="1"/>
  <c r="E55" i="5"/>
  <c r="B55" i="5"/>
  <c r="A56" i="5"/>
  <c r="L56" i="5" s="1"/>
  <c r="J54" i="5"/>
  <c r="K54" i="5" s="1"/>
  <c r="C54" i="5"/>
  <c r="G54" i="5"/>
  <c r="F54" i="5"/>
  <c r="D54" i="5"/>
  <c r="M53" i="2"/>
  <c r="B55" i="2"/>
  <c r="E55" i="2"/>
  <c r="H55" i="2"/>
  <c r="I55" i="2" s="1"/>
  <c r="A56" i="2"/>
  <c r="L56" i="2" s="1"/>
  <c r="C54" i="2"/>
  <c r="F54" i="2"/>
  <c r="G54" i="2"/>
  <c r="D54" i="2"/>
  <c r="J54" i="2"/>
  <c r="K54" i="2" s="1"/>
  <c r="M54" i="5" l="1"/>
  <c r="F55" i="5"/>
  <c r="G55" i="5"/>
  <c r="D55" i="5"/>
  <c r="C55" i="5"/>
  <c r="B56" i="5"/>
  <c r="H56" i="5"/>
  <c r="I56" i="5" s="1"/>
  <c r="E56" i="5"/>
  <c r="A57" i="5"/>
  <c r="L57" i="5" s="1"/>
  <c r="J55" i="5"/>
  <c r="K55" i="5" s="1"/>
  <c r="M54" i="2"/>
  <c r="J55" i="2"/>
  <c r="K55" i="2" s="1"/>
  <c r="B56" i="2"/>
  <c r="H56" i="2"/>
  <c r="I56" i="2" s="1"/>
  <c r="E56" i="2"/>
  <c r="A57" i="2"/>
  <c r="L57" i="2" s="1"/>
  <c r="D55" i="2"/>
  <c r="C55" i="2"/>
  <c r="G55" i="2"/>
  <c r="F55" i="2"/>
  <c r="M55" i="5" l="1"/>
  <c r="J56" i="5"/>
  <c r="K56" i="5" s="1"/>
  <c r="H57" i="5"/>
  <c r="I57" i="5" s="1"/>
  <c r="B57" i="5"/>
  <c r="E57" i="5"/>
  <c r="A58" i="5"/>
  <c r="L58" i="5" s="1"/>
  <c r="D56" i="5"/>
  <c r="C56" i="5"/>
  <c r="G56" i="5"/>
  <c r="F56" i="5"/>
  <c r="M55" i="2"/>
  <c r="H57" i="2"/>
  <c r="I57" i="2" s="1"/>
  <c r="E57" i="2"/>
  <c r="B57" i="2"/>
  <c r="A58" i="2"/>
  <c r="L58" i="2" s="1"/>
  <c r="J56" i="2"/>
  <c r="K56" i="2" s="1"/>
  <c r="C56" i="2"/>
  <c r="D56" i="2"/>
  <c r="F56" i="2"/>
  <c r="G56" i="2"/>
  <c r="M56" i="5" l="1"/>
  <c r="E58" i="5"/>
  <c r="B58" i="5"/>
  <c r="H58" i="5"/>
  <c r="I58" i="5" s="1"/>
  <c r="A59" i="5"/>
  <c r="L59" i="5" s="1"/>
  <c r="J57" i="5"/>
  <c r="K57" i="5" s="1"/>
  <c r="D57" i="5"/>
  <c r="G57" i="5"/>
  <c r="C57" i="5"/>
  <c r="F57" i="5"/>
  <c r="M56" i="2"/>
  <c r="D57" i="2"/>
  <c r="G57" i="2"/>
  <c r="F57" i="2"/>
  <c r="C57" i="2"/>
  <c r="J57" i="2"/>
  <c r="K57" i="2" s="1"/>
  <c r="H58" i="2"/>
  <c r="I58" i="2" s="1"/>
  <c r="B58" i="2"/>
  <c r="E58" i="2"/>
  <c r="A59" i="2"/>
  <c r="L59" i="2" s="1"/>
  <c r="M57" i="5" l="1"/>
  <c r="E59" i="5"/>
  <c r="B59" i="5"/>
  <c r="H59" i="5"/>
  <c r="I59" i="5" s="1"/>
  <c r="A60" i="5"/>
  <c r="L60" i="5" s="1"/>
  <c r="J58" i="5"/>
  <c r="K58" i="5" s="1"/>
  <c r="D58" i="5"/>
  <c r="C58" i="5"/>
  <c r="F58" i="5"/>
  <c r="G58" i="5"/>
  <c r="M57" i="2"/>
  <c r="B59" i="2"/>
  <c r="H59" i="2"/>
  <c r="I59" i="2" s="1"/>
  <c r="E59" i="2"/>
  <c r="A60" i="2"/>
  <c r="L60" i="2" s="1"/>
  <c r="C58" i="2"/>
  <c r="G58" i="2"/>
  <c r="F58" i="2"/>
  <c r="D58" i="2"/>
  <c r="J58" i="2"/>
  <c r="K58" i="2" s="1"/>
  <c r="M58" i="5" l="1"/>
  <c r="E60" i="5"/>
  <c r="H60" i="5"/>
  <c r="I60" i="5" s="1"/>
  <c r="B60" i="5"/>
  <c r="A61" i="5"/>
  <c r="L61" i="5" s="1"/>
  <c r="J59" i="5"/>
  <c r="K59" i="5" s="1"/>
  <c r="F59" i="5"/>
  <c r="D59" i="5"/>
  <c r="C59" i="5"/>
  <c r="G59" i="5"/>
  <c r="M58" i="2"/>
  <c r="J59" i="2"/>
  <c r="K59" i="2" s="1"/>
  <c r="F59" i="2"/>
  <c r="G59" i="2"/>
  <c r="D59" i="2"/>
  <c r="C59" i="2"/>
  <c r="B60" i="2"/>
  <c r="E60" i="2"/>
  <c r="H60" i="2"/>
  <c r="I60" i="2" s="1"/>
  <c r="A61" i="2"/>
  <c r="L61" i="2" s="1"/>
  <c r="M59" i="5" l="1"/>
  <c r="E61" i="5"/>
  <c r="B61" i="5"/>
  <c r="H61" i="5"/>
  <c r="I61" i="5" s="1"/>
  <c r="A62" i="5"/>
  <c r="L62" i="5" s="1"/>
  <c r="G60" i="5"/>
  <c r="D60" i="5"/>
  <c r="F60" i="5"/>
  <c r="C60" i="5"/>
  <c r="J60" i="5"/>
  <c r="K60" i="5" s="1"/>
  <c r="M59" i="2"/>
  <c r="J60" i="2"/>
  <c r="K60" i="2" s="1"/>
  <c r="H61" i="2"/>
  <c r="I61" i="2" s="1"/>
  <c r="B61" i="2"/>
  <c r="E61" i="2"/>
  <c r="A62" i="2"/>
  <c r="L62" i="2" s="1"/>
  <c r="C60" i="2"/>
  <c r="G60" i="2"/>
  <c r="F60" i="2"/>
  <c r="D60" i="2"/>
  <c r="M60" i="5" l="1"/>
  <c r="B62" i="5"/>
  <c r="H62" i="5"/>
  <c r="I62" i="5" s="1"/>
  <c r="E62" i="5"/>
  <c r="A63" i="5"/>
  <c r="L63" i="5" s="1"/>
  <c r="J61" i="5"/>
  <c r="K61" i="5" s="1"/>
  <c r="G61" i="5"/>
  <c r="F61" i="5"/>
  <c r="D61" i="5"/>
  <c r="C61" i="5"/>
  <c r="M60" i="2"/>
  <c r="E62" i="2"/>
  <c r="B62" i="2"/>
  <c r="H62" i="2"/>
  <c r="I62" i="2" s="1"/>
  <c r="A63" i="2"/>
  <c r="L63" i="2" s="1"/>
  <c r="D61" i="2"/>
  <c r="F61" i="2"/>
  <c r="C61" i="2"/>
  <c r="G61" i="2"/>
  <c r="J61" i="2"/>
  <c r="K61" i="2" s="1"/>
  <c r="M61" i="5" l="1"/>
  <c r="E63" i="5"/>
  <c r="H63" i="5"/>
  <c r="I63" i="5" s="1"/>
  <c r="B63" i="5"/>
  <c r="A64" i="5"/>
  <c r="L64" i="5" s="1"/>
  <c r="J62" i="5"/>
  <c r="K62" i="5" s="1"/>
  <c r="F62" i="5"/>
  <c r="G62" i="5"/>
  <c r="D62" i="5"/>
  <c r="C62" i="5"/>
  <c r="M61" i="2"/>
  <c r="J62" i="2"/>
  <c r="K62" i="2" s="1"/>
  <c r="C62" i="2"/>
  <c r="F62" i="2"/>
  <c r="D62" i="2"/>
  <c r="G62" i="2"/>
  <c r="H63" i="2"/>
  <c r="I63" i="2" s="1"/>
  <c r="E63" i="2"/>
  <c r="B63" i="2"/>
  <c r="A64" i="2"/>
  <c r="L64" i="2" s="1"/>
  <c r="M62" i="5" l="1"/>
  <c r="H64" i="5"/>
  <c r="I64" i="5" s="1"/>
  <c r="B64" i="5"/>
  <c r="E64" i="5"/>
  <c r="A65" i="5"/>
  <c r="L65" i="5" s="1"/>
  <c r="J63" i="5"/>
  <c r="K63" i="5" s="1"/>
  <c r="F63" i="5"/>
  <c r="G63" i="5"/>
  <c r="D63" i="5"/>
  <c r="C63" i="5"/>
  <c r="M62" i="2"/>
  <c r="H64" i="2"/>
  <c r="I64" i="2" s="1"/>
  <c r="B64" i="2"/>
  <c r="E64" i="2"/>
  <c r="A65" i="2"/>
  <c r="L65" i="2" s="1"/>
  <c r="F63" i="2"/>
  <c r="D63" i="2"/>
  <c r="G63" i="2"/>
  <c r="C63" i="2"/>
  <c r="J63" i="2"/>
  <c r="K63" i="2" s="1"/>
  <c r="M63" i="5" l="1"/>
  <c r="E65" i="5"/>
  <c r="H65" i="5"/>
  <c r="I65" i="5" s="1"/>
  <c r="B65" i="5"/>
  <c r="A66" i="5"/>
  <c r="L66" i="5" s="1"/>
  <c r="C64" i="5"/>
  <c r="D64" i="5"/>
  <c r="F64" i="5"/>
  <c r="G64" i="5"/>
  <c r="J64" i="5"/>
  <c r="K64" i="5" s="1"/>
  <c r="M63" i="2"/>
  <c r="H65" i="2"/>
  <c r="I65" i="2" s="1"/>
  <c r="B65" i="2"/>
  <c r="E65" i="2"/>
  <c r="A66" i="2"/>
  <c r="L66" i="2" s="1"/>
  <c r="C64" i="2"/>
  <c r="G64" i="2"/>
  <c r="F64" i="2"/>
  <c r="D64" i="2"/>
  <c r="J64" i="2"/>
  <c r="K64" i="2" s="1"/>
  <c r="M64" i="5" l="1"/>
  <c r="B66" i="5"/>
  <c r="E66" i="5"/>
  <c r="H66" i="5"/>
  <c r="I66" i="5" s="1"/>
  <c r="A67" i="5"/>
  <c r="L67" i="5" s="1"/>
  <c r="C65" i="5"/>
  <c r="D65" i="5"/>
  <c r="G65" i="5"/>
  <c r="F65" i="5"/>
  <c r="J65" i="5"/>
  <c r="K65" i="5" s="1"/>
  <c r="M64" i="2"/>
  <c r="J65" i="2"/>
  <c r="K65" i="2" s="1"/>
  <c r="H66" i="2"/>
  <c r="I66" i="2" s="1"/>
  <c r="B66" i="2"/>
  <c r="E66" i="2"/>
  <c r="A67" i="2"/>
  <c r="L67" i="2" s="1"/>
  <c r="F65" i="2"/>
  <c r="G65" i="2"/>
  <c r="D65" i="2"/>
  <c r="C65" i="2"/>
  <c r="M65" i="5" l="1"/>
  <c r="E67" i="5"/>
  <c r="H67" i="5"/>
  <c r="I67" i="5" s="1"/>
  <c r="B67" i="5"/>
  <c r="A68" i="5"/>
  <c r="L68" i="5" s="1"/>
  <c r="J66" i="5"/>
  <c r="K66" i="5" s="1"/>
  <c r="D66" i="5"/>
  <c r="F66" i="5"/>
  <c r="C66" i="5"/>
  <c r="G66" i="5"/>
  <c r="M65" i="2"/>
  <c r="B67" i="2"/>
  <c r="H67" i="2"/>
  <c r="I67" i="2" s="1"/>
  <c r="E67" i="2"/>
  <c r="A68" i="2"/>
  <c r="L68" i="2" s="1"/>
  <c r="C66" i="2"/>
  <c r="G66" i="2"/>
  <c r="F66" i="2"/>
  <c r="D66" i="2"/>
  <c r="J66" i="2"/>
  <c r="K66" i="2" s="1"/>
  <c r="M66" i="5" l="1"/>
  <c r="E68" i="5"/>
  <c r="H68" i="5"/>
  <c r="I68" i="5" s="1"/>
  <c r="B68" i="5"/>
  <c r="A69" i="5"/>
  <c r="L69" i="5" s="1"/>
  <c r="G67" i="5"/>
  <c r="F67" i="5"/>
  <c r="D67" i="5"/>
  <c r="C67" i="5"/>
  <c r="J67" i="5"/>
  <c r="K67" i="5" s="1"/>
  <c r="M66" i="2"/>
  <c r="J67" i="2"/>
  <c r="K67" i="2" s="1"/>
  <c r="C67" i="2"/>
  <c r="D67" i="2"/>
  <c r="F67" i="2"/>
  <c r="G67" i="2"/>
  <c r="H68" i="2"/>
  <c r="I68" i="2" s="1"/>
  <c r="B68" i="2"/>
  <c r="E68" i="2"/>
  <c r="A69" i="2"/>
  <c r="L69" i="2" s="1"/>
  <c r="M67" i="5" l="1"/>
  <c r="E69" i="5"/>
  <c r="B69" i="5"/>
  <c r="H69" i="5"/>
  <c r="I69" i="5" s="1"/>
  <c r="A70" i="5"/>
  <c r="L70" i="5" s="1"/>
  <c r="D68" i="5"/>
  <c r="G68" i="5"/>
  <c r="F68" i="5"/>
  <c r="C68" i="5"/>
  <c r="J68" i="5"/>
  <c r="K68" i="5" s="1"/>
  <c r="M67" i="2"/>
  <c r="E69" i="2"/>
  <c r="H69" i="2"/>
  <c r="I69" i="2" s="1"/>
  <c r="B69" i="2"/>
  <c r="A70" i="2"/>
  <c r="L70" i="2" s="1"/>
  <c r="J68" i="2"/>
  <c r="K68" i="2" s="1"/>
  <c r="C68" i="2"/>
  <c r="G68" i="2"/>
  <c r="F68" i="2"/>
  <c r="D68" i="2"/>
  <c r="M68" i="5" l="1"/>
  <c r="H70" i="5"/>
  <c r="I70" i="5" s="1"/>
  <c r="E70" i="5"/>
  <c r="B70" i="5"/>
  <c r="A71" i="5"/>
  <c r="L71" i="5" s="1"/>
  <c r="J69" i="5"/>
  <c r="K69" i="5" s="1"/>
  <c r="D69" i="5"/>
  <c r="C69" i="5"/>
  <c r="G69" i="5"/>
  <c r="F69" i="5"/>
  <c r="M68" i="2"/>
  <c r="B70" i="2"/>
  <c r="E70" i="2"/>
  <c r="H70" i="2"/>
  <c r="I70" i="2" s="1"/>
  <c r="A71" i="2"/>
  <c r="L71" i="2" s="1"/>
  <c r="G69" i="2"/>
  <c r="F69" i="2"/>
  <c r="D69" i="2"/>
  <c r="C69" i="2"/>
  <c r="J69" i="2"/>
  <c r="K69" i="2" s="1"/>
  <c r="M69" i="5" l="1"/>
  <c r="E71" i="5"/>
  <c r="H71" i="5"/>
  <c r="I71" i="5" s="1"/>
  <c r="B71" i="5"/>
  <c r="A72" i="5"/>
  <c r="L72" i="5" s="1"/>
  <c r="F70" i="5"/>
  <c r="G70" i="5"/>
  <c r="D70" i="5"/>
  <c r="C70" i="5"/>
  <c r="J70" i="5"/>
  <c r="K70" i="5" s="1"/>
  <c r="M69" i="2"/>
  <c r="J70" i="2"/>
  <c r="K70" i="2" s="1"/>
  <c r="B71" i="2"/>
  <c r="H71" i="2"/>
  <c r="I71" i="2" s="1"/>
  <c r="E71" i="2"/>
  <c r="A72" i="2"/>
  <c r="L72" i="2" s="1"/>
  <c r="C70" i="2"/>
  <c r="D70" i="2"/>
  <c r="G70" i="2"/>
  <c r="F70" i="2"/>
  <c r="M70" i="5" l="1"/>
  <c r="H72" i="5"/>
  <c r="I72" i="5" s="1"/>
  <c r="E72" i="5"/>
  <c r="B72" i="5"/>
  <c r="A73" i="5"/>
  <c r="L73" i="5" s="1"/>
  <c r="G71" i="5"/>
  <c r="F71" i="5"/>
  <c r="D71" i="5"/>
  <c r="C71" i="5"/>
  <c r="J71" i="5"/>
  <c r="K71" i="5" s="1"/>
  <c r="M70" i="2"/>
  <c r="B72" i="2"/>
  <c r="E72" i="2"/>
  <c r="H72" i="2"/>
  <c r="I72" i="2" s="1"/>
  <c r="A73" i="2"/>
  <c r="L73" i="2" s="1"/>
  <c r="J71" i="2"/>
  <c r="K71" i="2" s="1"/>
  <c r="G71" i="2"/>
  <c r="F71" i="2"/>
  <c r="C71" i="2"/>
  <c r="D71" i="2"/>
  <c r="M71" i="5" l="1"/>
  <c r="E73" i="5"/>
  <c r="B73" i="5"/>
  <c r="H73" i="5"/>
  <c r="I73" i="5" s="1"/>
  <c r="A74" i="5"/>
  <c r="L74" i="5" s="1"/>
  <c r="G72" i="5"/>
  <c r="F72" i="5"/>
  <c r="D72" i="5"/>
  <c r="C72" i="5"/>
  <c r="J72" i="5"/>
  <c r="K72" i="5" s="1"/>
  <c r="M71" i="2"/>
  <c r="H73" i="2"/>
  <c r="I73" i="2" s="1"/>
  <c r="E73" i="2"/>
  <c r="B73" i="2"/>
  <c r="A74" i="2"/>
  <c r="L74" i="2" s="1"/>
  <c r="J72" i="2"/>
  <c r="K72" i="2" s="1"/>
  <c r="C72" i="2"/>
  <c r="D72" i="2"/>
  <c r="G72" i="2"/>
  <c r="F72" i="2"/>
  <c r="M72" i="5" l="1"/>
  <c r="H74" i="5"/>
  <c r="I74" i="5" s="1"/>
  <c r="E74" i="5"/>
  <c r="B74" i="5"/>
  <c r="A75" i="5"/>
  <c r="L75" i="5" s="1"/>
  <c r="J73" i="5"/>
  <c r="K73" i="5" s="1"/>
  <c r="C73" i="5"/>
  <c r="F73" i="5"/>
  <c r="D73" i="5"/>
  <c r="G73" i="5"/>
  <c r="M72" i="2"/>
  <c r="B74" i="2"/>
  <c r="H74" i="2"/>
  <c r="I74" i="2" s="1"/>
  <c r="E74" i="2"/>
  <c r="A75" i="2"/>
  <c r="L75" i="2" s="1"/>
  <c r="G73" i="2"/>
  <c r="F73" i="2"/>
  <c r="D73" i="2"/>
  <c r="C73" i="2"/>
  <c r="J73" i="2"/>
  <c r="K73" i="2" s="1"/>
  <c r="M73" i="5" l="1"/>
  <c r="E75" i="5"/>
  <c r="B75" i="5"/>
  <c r="H75" i="5"/>
  <c r="I75" i="5" s="1"/>
  <c r="A76" i="5"/>
  <c r="L76" i="5" s="1"/>
  <c r="G74" i="5"/>
  <c r="F74" i="5"/>
  <c r="D74" i="5"/>
  <c r="C74" i="5"/>
  <c r="J74" i="5"/>
  <c r="K74" i="5" s="1"/>
  <c r="M73" i="2"/>
  <c r="J74" i="2"/>
  <c r="K74" i="2" s="1"/>
  <c r="H75" i="2"/>
  <c r="I75" i="2" s="1"/>
  <c r="E75" i="2"/>
  <c r="B75" i="2"/>
  <c r="A76" i="2"/>
  <c r="L76" i="2" s="1"/>
  <c r="C74" i="2"/>
  <c r="G74" i="2"/>
  <c r="D74" i="2"/>
  <c r="F74" i="2"/>
  <c r="M74" i="5" l="1"/>
  <c r="H76" i="5"/>
  <c r="I76" i="5" s="1"/>
  <c r="E76" i="5"/>
  <c r="B76" i="5"/>
  <c r="A77" i="5"/>
  <c r="L77" i="5" s="1"/>
  <c r="J75" i="5"/>
  <c r="K75" i="5" s="1"/>
  <c r="F75" i="5"/>
  <c r="G75" i="5"/>
  <c r="C75" i="5"/>
  <c r="D75" i="5"/>
  <c r="M74" i="2"/>
  <c r="G75" i="2"/>
  <c r="F75" i="2"/>
  <c r="D75" i="2"/>
  <c r="C75" i="2"/>
  <c r="B76" i="2"/>
  <c r="H76" i="2"/>
  <c r="I76" i="2" s="1"/>
  <c r="E76" i="2"/>
  <c r="A77" i="2"/>
  <c r="L77" i="2" s="1"/>
  <c r="J75" i="2"/>
  <c r="K75" i="2" s="1"/>
  <c r="M75" i="5" l="1"/>
  <c r="E77" i="5"/>
  <c r="H77" i="5"/>
  <c r="I77" i="5" s="1"/>
  <c r="B77" i="5"/>
  <c r="A78" i="5"/>
  <c r="L78" i="5" s="1"/>
  <c r="G76" i="5"/>
  <c r="C76" i="5"/>
  <c r="F76" i="5"/>
  <c r="D76" i="5"/>
  <c r="J76" i="5"/>
  <c r="K76" i="5" s="1"/>
  <c r="M75" i="2"/>
  <c r="B77" i="2"/>
  <c r="E77" i="2"/>
  <c r="H77" i="2"/>
  <c r="I77" i="2" s="1"/>
  <c r="A78" i="2"/>
  <c r="L78" i="2" s="1"/>
  <c r="J76" i="2"/>
  <c r="K76" i="2" s="1"/>
  <c r="C76" i="2"/>
  <c r="F76" i="2"/>
  <c r="D76" i="2"/>
  <c r="G76" i="2"/>
  <c r="M76" i="5" l="1"/>
  <c r="H78" i="5"/>
  <c r="I78" i="5" s="1"/>
  <c r="E78" i="5"/>
  <c r="B78" i="5"/>
  <c r="A79" i="5"/>
  <c r="L79" i="5" s="1"/>
  <c r="G77" i="5"/>
  <c r="F77" i="5"/>
  <c r="D77" i="5"/>
  <c r="C77" i="5"/>
  <c r="J77" i="5"/>
  <c r="K77" i="5" s="1"/>
  <c r="M76" i="2"/>
  <c r="B78" i="2"/>
  <c r="H78" i="2"/>
  <c r="I78" i="2" s="1"/>
  <c r="E78" i="2"/>
  <c r="A79" i="2"/>
  <c r="L79" i="2" s="1"/>
  <c r="J77" i="2"/>
  <c r="K77" i="2" s="1"/>
  <c r="G77" i="2"/>
  <c r="F77" i="2"/>
  <c r="D77" i="2"/>
  <c r="C77" i="2"/>
  <c r="M77" i="5" l="1"/>
  <c r="H79" i="5"/>
  <c r="I79" i="5" s="1"/>
  <c r="E79" i="5"/>
  <c r="B79" i="5"/>
  <c r="A80" i="5"/>
  <c r="L80" i="5" s="1"/>
  <c r="G78" i="5"/>
  <c r="F78" i="5"/>
  <c r="D78" i="5"/>
  <c r="C78" i="5"/>
  <c r="J78" i="5"/>
  <c r="K78" i="5" s="1"/>
  <c r="M77" i="2"/>
  <c r="J78" i="2"/>
  <c r="K78" i="2" s="1"/>
  <c r="E79" i="2"/>
  <c r="H79" i="2"/>
  <c r="I79" i="2" s="1"/>
  <c r="B79" i="2"/>
  <c r="A80" i="2"/>
  <c r="L80" i="2" s="1"/>
  <c r="C78" i="2"/>
  <c r="G78" i="2"/>
  <c r="F78" i="2"/>
  <c r="D78" i="2"/>
  <c r="M78" i="5" l="1"/>
  <c r="B80" i="5"/>
  <c r="E80" i="5"/>
  <c r="H80" i="5"/>
  <c r="I80" i="5" s="1"/>
  <c r="A81" i="5"/>
  <c r="L81" i="5" s="1"/>
  <c r="G79" i="5"/>
  <c r="F79" i="5"/>
  <c r="D79" i="5"/>
  <c r="C79" i="5"/>
  <c r="J79" i="5"/>
  <c r="K79" i="5" s="1"/>
  <c r="M78" i="2"/>
  <c r="B80" i="2"/>
  <c r="H80" i="2"/>
  <c r="I80" i="2" s="1"/>
  <c r="E80" i="2"/>
  <c r="A81" i="2"/>
  <c r="L81" i="2" s="1"/>
  <c r="G79" i="2"/>
  <c r="F79" i="2"/>
  <c r="D79" i="2"/>
  <c r="C79" i="2"/>
  <c r="J79" i="2"/>
  <c r="K79" i="2" s="1"/>
  <c r="M79" i="5" l="1"/>
  <c r="H81" i="5"/>
  <c r="I81" i="5" s="1"/>
  <c r="E81" i="5"/>
  <c r="B81" i="5"/>
  <c r="A82" i="5"/>
  <c r="L82" i="5" s="1"/>
  <c r="J80" i="5"/>
  <c r="K80" i="5" s="1"/>
  <c r="F80" i="5"/>
  <c r="D80" i="5"/>
  <c r="C80" i="5"/>
  <c r="G80" i="5"/>
  <c r="M79" i="2"/>
  <c r="E81" i="2"/>
  <c r="H81" i="2"/>
  <c r="I81" i="2" s="1"/>
  <c r="B81" i="2"/>
  <c r="A82" i="2"/>
  <c r="L82" i="2" s="1"/>
  <c r="J80" i="2"/>
  <c r="K80" i="2" s="1"/>
  <c r="C80" i="2"/>
  <c r="F80" i="2"/>
  <c r="G80" i="2"/>
  <c r="D80" i="2"/>
  <c r="M80" i="5" l="1"/>
  <c r="H82" i="5"/>
  <c r="I82" i="5" s="1"/>
  <c r="E82" i="5"/>
  <c r="B82" i="5"/>
  <c r="A83" i="5"/>
  <c r="L83" i="5" s="1"/>
  <c r="G81" i="5"/>
  <c r="F81" i="5"/>
  <c r="D81" i="5"/>
  <c r="C81" i="5"/>
  <c r="J81" i="5"/>
  <c r="K81" i="5" s="1"/>
  <c r="M80" i="2"/>
  <c r="C81" i="2"/>
  <c r="G81" i="2"/>
  <c r="D81" i="2"/>
  <c r="F81" i="2"/>
  <c r="J81" i="2"/>
  <c r="K81" i="2" s="1"/>
  <c r="B82" i="2"/>
  <c r="H82" i="2"/>
  <c r="I82" i="2" s="1"/>
  <c r="E82" i="2"/>
  <c r="A83" i="2"/>
  <c r="L83" i="2" s="1"/>
  <c r="M81" i="5" l="1"/>
  <c r="H83" i="5"/>
  <c r="I83" i="5" s="1"/>
  <c r="B83" i="5"/>
  <c r="E83" i="5"/>
  <c r="A84" i="5"/>
  <c r="L84" i="5" s="1"/>
  <c r="G82" i="5"/>
  <c r="F82" i="5"/>
  <c r="C82" i="5"/>
  <c r="D82" i="5"/>
  <c r="J82" i="5"/>
  <c r="K82" i="5" s="1"/>
  <c r="M81" i="2"/>
  <c r="B83" i="2"/>
  <c r="H83" i="2"/>
  <c r="I83" i="2" s="1"/>
  <c r="E83" i="2"/>
  <c r="A84" i="2"/>
  <c r="L84" i="2" s="1"/>
  <c r="J82" i="2"/>
  <c r="K82" i="2" s="1"/>
  <c r="C82" i="2"/>
  <c r="G82" i="2"/>
  <c r="F82" i="2"/>
  <c r="D82" i="2"/>
  <c r="M82" i="5" l="1"/>
  <c r="B84" i="5"/>
  <c r="H84" i="5"/>
  <c r="I84" i="5" s="1"/>
  <c r="E84" i="5"/>
  <c r="A85" i="5"/>
  <c r="L85" i="5" s="1"/>
  <c r="C83" i="5"/>
  <c r="G83" i="5"/>
  <c r="F83" i="5"/>
  <c r="D83" i="5"/>
  <c r="J83" i="5"/>
  <c r="K83" i="5" s="1"/>
  <c r="M82" i="2"/>
  <c r="B84" i="2"/>
  <c r="H84" i="2"/>
  <c r="I84" i="2" s="1"/>
  <c r="E84" i="2"/>
  <c r="A85" i="2"/>
  <c r="L85" i="2" s="1"/>
  <c r="J83" i="2"/>
  <c r="K83" i="2" s="1"/>
  <c r="G83" i="2"/>
  <c r="C83" i="2"/>
  <c r="D83" i="2"/>
  <c r="F83" i="2"/>
  <c r="M83" i="5" l="1"/>
  <c r="H85" i="5"/>
  <c r="I85" i="5" s="1"/>
  <c r="E85" i="5"/>
  <c r="B85" i="5"/>
  <c r="A86" i="5"/>
  <c r="L86" i="5" s="1"/>
  <c r="J84" i="5"/>
  <c r="K84" i="5" s="1"/>
  <c r="D84" i="5"/>
  <c r="C84" i="5"/>
  <c r="G84" i="5"/>
  <c r="F84" i="5"/>
  <c r="M83" i="2"/>
  <c r="J84" i="2"/>
  <c r="K84" i="2" s="1"/>
  <c r="H85" i="2"/>
  <c r="I85" i="2" s="1"/>
  <c r="E85" i="2"/>
  <c r="B85" i="2"/>
  <c r="A86" i="2"/>
  <c r="L86" i="2" s="1"/>
  <c r="C84" i="2"/>
  <c r="G84" i="2"/>
  <c r="F84" i="2"/>
  <c r="D84" i="2"/>
  <c r="M84" i="5" l="1"/>
  <c r="H86" i="5"/>
  <c r="I86" i="5" s="1"/>
  <c r="E86" i="5"/>
  <c r="B86" i="5"/>
  <c r="A87" i="5"/>
  <c r="L87" i="5" s="1"/>
  <c r="C85" i="5"/>
  <c r="G85" i="5"/>
  <c r="F85" i="5"/>
  <c r="D85" i="5"/>
  <c r="J85" i="5"/>
  <c r="K85" i="5" s="1"/>
  <c r="M84" i="2"/>
  <c r="G85" i="2"/>
  <c r="F85" i="2"/>
  <c r="D85" i="2"/>
  <c r="C85" i="2"/>
  <c r="B86" i="2"/>
  <c r="H86" i="2"/>
  <c r="I86" i="2" s="1"/>
  <c r="E86" i="2"/>
  <c r="A87" i="2"/>
  <c r="L87" i="2" s="1"/>
  <c r="J85" i="2"/>
  <c r="K85" i="2" s="1"/>
  <c r="M85" i="5" l="1"/>
  <c r="B87" i="5"/>
  <c r="H87" i="5"/>
  <c r="I87" i="5" s="1"/>
  <c r="E87" i="5"/>
  <c r="A88" i="5"/>
  <c r="L88" i="5" s="1"/>
  <c r="D86" i="5"/>
  <c r="G86" i="5"/>
  <c r="F86" i="5"/>
  <c r="C86" i="5"/>
  <c r="J86" i="5"/>
  <c r="K86" i="5" s="1"/>
  <c r="M85" i="2"/>
  <c r="H87" i="2"/>
  <c r="I87" i="2" s="1"/>
  <c r="E87" i="2"/>
  <c r="B87" i="2"/>
  <c r="A88" i="2"/>
  <c r="L88" i="2" s="1"/>
  <c r="C86" i="2"/>
  <c r="F86" i="2"/>
  <c r="G86" i="2"/>
  <c r="D86" i="2"/>
  <c r="J86" i="2"/>
  <c r="K86" i="2" s="1"/>
  <c r="M86" i="5" l="1"/>
  <c r="J87" i="5"/>
  <c r="K87" i="5" s="1"/>
  <c r="H88" i="5"/>
  <c r="I88" i="5" s="1"/>
  <c r="E88" i="5"/>
  <c r="B88" i="5"/>
  <c r="A89" i="5"/>
  <c r="L89" i="5" s="1"/>
  <c r="F87" i="5"/>
  <c r="G87" i="5"/>
  <c r="D87" i="5"/>
  <c r="C87" i="5"/>
  <c r="M86" i="2"/>
  <c r="C87" i="2"/>
  <c r="G87" i="2"/>
  <c r="F87" i="2"/>
  <c r="D87" i="2"/>
  <c r="J87" i="2"/>
  <c r="K87" i="2" s="1"/>
  <c r="B88" i="2"/>
  <c r="E88" i="2"/>
  <c r="H88" i="2"/>
  <c r="I88" i="2" s="1"/>
  <c r="A89" i="2"/>
  <c r="L89" i="2" s="1"/>
  <c r="M87" i="5" l="1"/>
  <c r="G88" i="5"/>
  <c r="D88" i="5"/>
  <c r="F88" i="5"/>
  <c r="C88" i="5"/>
  <c r="E89" i="5"/>
  <c r="B89" i="5"/>
  <c r="H89" i="5"/>
  <c r="I89" i="5" s="1"/>
  <c r="A90" i="5"/>
  <c r="L90" i="5" s="1"/>
  <c r="J88" i="5"/>
  <c r="K88" i="5" s="1"/>
  <c r="M87" i="2"/>
  <c r="E89" i="2"/>
  <c r="B89" i="2"/>
  <c r="H89" i="2"/>
  <c r="I89" i="2" s="1"/>
  <c r="A90" i="2"/>
  <c r="L90" i="2" s="1"/>
  <c r="J88" i="2"/>
  <c r="K88" i="2" s="1"/>
  <c r="C88" i="2"/>
  <c r="G88" i="2"/>
  <c r="D88" i="2"/>
  <c r="F88" i="2"/>
  <c r="M88" i="5" l="1"/>
  <c r="E90" i="5"/>
  <c r="B90" i="5"/>
  <c r="H90" i="5"/>
  <c r="I90" i="5" s="1"/>
  <c r="A91" i="5"/>
  <c r="L91" i="5" s="1"/>
  <c r="G89" i="5"/>
  <c r="D89" i="5"/>
  <c r="F89" i="5"/>
  <c r="C89" i="5"/>
  <c r="J89" i="5"/>
  <c r="K89" i="5" s="1"/>
  <c r="M88" i="2"/>
  <c r="B90" i="2"/>
  <c r="E90" i="2"/>
  <c r="H90" i="2"/>
  <c r="I90" i="2" s="1"/>
  <c r="A91" i="2"/>
  <c r="L91" i="2" s="1"/>
  <c r="J89" i="2"/>
  <c r="K89" i="2" s="1"/>
  <c r="G89" i="2"/>
  <c r="F89" i="2"/>
  <c r="D89" i="2"/>
  <c r="C89" i="2"/>
  <c r="M89" i="5" l="1"/>
  <c r="E91" i="5"/>
  <c r="H91" i="5"/>
  <c r="I91" i="5" s="1"/>
  <c r="B91" i="5"/>
  <c r="A92" i="5"/>
  <c r="L92" i="5" s="1"/>
  <c r="J90" i="5"/>
  <c r="K90" i="5" s="1"/>
  <c r="F90" i="5"/>
  <c r="C90" i="5"/>
  <c r="G90" i="5"/>
  <c r="D90" i="5"/>
  <c r="M89" i="2"/>
  <c r="H91" i="2"/>
  <c r="I91" i="2" s="1"/>
  <c r="E91" i="2"/>
  <c r="B91" i="2"/>
  <c r="A92" i="2"/>
  <c r="L92" i="2" s="1"/>
  <c r="J90" i="2"/>
  <c r="K90" i="2" s="1"/>
  <c r="C90" i="2"/>
  <c r="G90" i="2"/>
  <c r="F90" i="2"/>
  <c r="D90" i="2"/>
  <c r="M90" i="5" l="1"/>
  <c r="B92" i="5"/>
  <c r="H92" i="5"/>
  <c r="I92" i="5" s="1"/>
  <c r="E92" i="5"/>
  <c r="A93" i="5"/>
  <c r="L93" i="5" s="1"/>
  <c r="G91" i="5"/>
  <c r="F91" i="5"/>
  <c r="D91" i="5"/>
  <c r="C91" i="5"/>
  <c r="J91" i="5"/>
  <c r="K91" i="5" s="1"/>
  <c r="M90" i="2"/>
  <c r="G91" i="2"/>
  <c r="D91" i="2"/>
  <c r="F91" i="2"/>
  <c r="C91" i="2"/>
  <c r="J91" i="2"/>
  <c r="K91" i="2" s="1"/>
  <c r="B92" i="2"/>
  <c r="E92" i="2"/>
  <c r="H92" i="2"/>
  <c r="I92" i="2" s="1"/>
  <c r="A93" i="2"/>
  <c r="L93" i="2" s="1"/>
  <c r="M91" i="5" l="1"/>
  <c r="B93" i="5"/>
  <c r="E93" i="5"/>
  <c r="H93" i="5"/>
  <c r="I93" i="5" s="1"/>
  <c r="A94" i="5"/>
  <c r="L94" i="5" s="1"/>
  <c r="J92" i="5"/>
  <c r="K92" i="5" s="1"/>
  <c r="G92" i="5"/>
  <c r="F92" i="5"/>
  <c r="D92" i="5"/>
  <c r="C92" i="5"/>
  <c r="M91" i="2"/>
  <c r="J92" i="2"/>
  <c r="K92" i="2" s="1"/>
  <c r="H93" i="2"/>
  <c r="I93" i="2" s="1"/>
  <c r="E93" i="2"/>
  <c r="B93" i="2"/>
  <c r="A94" i="2"/>
  <c r="L94" i="2" s="1"/>
  <c r="C92" i="2"/>
  <c r="F92" i="2"/>
  <c r="D92" i="2"/>
  <c r="G92" i="2"/>
  <c r="M92" i="5" l="1"/>
  <c r="H94" i="5"/>
  <c r="I94" i="5" s="1"/>
  <c r="E94" i="5"/>
  <c r="B94" i="5"/>
  <c r="A95" i="5"/>
  <c r="L95" i="5" s="1"/>
  <c r="J93" i="5"/>
  <c r="K93" i="5" s="1"/>
  <c r="D93" i="5"/>
  <c r="C93" i="5"/>
  <c r="G93" i="5"/>
  <c r="F93" i="5"/>
  <c r="M92" i="2"/>
  <c r="B94" i="2"/>
  <c r="H94" i="2"/>
  <c r="I94" i="2" s="1"/>
  <c r="E94" i="2"/>
  <c r="A95" i="2"/>
  <c r="L95" i="2" s="1"/>
  <c r="F93" i="2"/>
  <c r="G93" i="2"/>
  <c r="D93" i="2"/>
  <c r="C93" i="2"/>
  <c r="J93" i="2"/>
  <c r="K93" i="2" s="1"/>
  <c r="M93" i="5" l="1"/>
  <c r="H95" i="5"/>
  <c r="I95" i="5" s="1"/>
  <c r="E95" i="5"/>
  <c r="B95" i="5"/>
  <c r="A96" i="5"/>
  <c r="L96" i="5" s="1"/>
  <c r="C94" i="5"/>
  <c r="F94" i="5"/>
  <c r="D94" i="5"/>
  <c r="G94" i="5"/>
  <c r="J94" i="5"/>
  <c r="K94" i="5" s="1"/>
  <c r="M93" i="2"/>
  <c r="J94" i="2"/>
  <c r="K94" i="2" s="1"/>
  <c r="H95" i="2"/>
  <c r="I95" i="2" s="1"/>
  <c r="B95" i="2"/>
  <c r="E95" i="2"/>
  <c r="A96" i="2"/>
  <c r="L96" i="2" s="1"/>
  <c r="C94" i="2"/>
  <c r="G94" i="2"/>
  <c r="F94" i="2"/>
  <c r="D94" i="2"/>
  <c r="M94" i="5" l="1"/>
  <c r="E96" i="5"/>
  <c r="B96" i="5"/>
  <c r="H96" i="5"/>
  <c r="I96" i="5" s="1"/>
  <c r="A97" i="5"/>
  <c r="L97" i="5" s="1"/>
  <c r="G95" i="5"/>
  <c r="D95" i="5"/>
  <c r="F95" i="5"/>
  <c r="C95" i="5"/>
  <c r="J95" i="5"/>
  <c r="K95" i="5" s="1"/>
  <c r="M94" i="2"/>
  <c r="B96" i="2"/>
  <c r="H96" i="2"/>
  <c r="I96" i="2" s="1"/>
  <c r="E96" i="2"/>
  <c r="A97" i="2"/>
  <c r="L97" i="2" s="1"/>
  <c r="C95" i="2"/>
  <c r="G95" i="2"/>
  <c r="F95" i="2"/>
  <c r="D95" i="2"/>
  <c r="J95" i="2"/>
  <c r="K95" i="2" s="1"/>
  <c r="M95" i="5" l="1"/>
  <c r="B97" i="5"/>
  <c r="H97" i="5"/>
  <c r="I97" i="5" s="1"/>
  <c r="E97" i="5"/>
  <c r="A98" i="5"/>
  <c r="L98" i="5" s="1"/>
  <c r="J96" i="5"/>
  <c r="K96" i="5" s="1"/>
  <c r="F96" i="5"/>
  <c r="D96" i="5"/>
  <c r="C96" i="5"/>
  <c r="G96" i="5"/>
  <c r="M95" i="2"/>
  <c r="H97" i="2"/>
  <c r="I97" i="2" s="1"/>
  <c r="B97" i="2"/>
  <c r="E97" i="2"/>
  <c r="A98" i="2"/>
  <c r="L98" i="2" s="1"/>
  <c r="J96" i="2"/>
  <c r="K96" i="2" s="1"/>
  <c r="C96" i="2"/>
  <c r="G96" i="2"/>
  <c r="F96" i="2"/>
  <c r="D96" i="2"/>
  <c r="M96" i="5" l="1"/>
  <c r="H98" i="5"/>
  <c r="I98" i="5" s="1"/>
  <c r="E98" i="5"/>
  <c r="B98" i="5"/>
  <c r="A99" i="5"/>
  <c r="L99" i="5" s="1"/>
  <c r="F97" i="5"/>
  <c r="D97" i="5"/>
  <c r="C97" i="5"/>
  <c r="G97" i="5"/>
  <c r="J97" i="5"/>
  <c r="K97" i="5" s="1"/>
  <c r="M96" i="2"/>
  <c r="B98" i="2"/>
  <c r="H98" i="2"/>
  <c r="I98" i="2" s="1"/>
  <c r="E98" i="2"/>
  <c r="A99" i="2"/>
  <c r="L99" i="2" s="1"/>
  <c r="D97" i="2"/>
  <c r="G97" i="2"/>
  <c r="F97" i="2"/>
  <c r="C97" i="2"/>
  <c r="J97" i="2"/>
  <c r="K97" i="2" s="1"/>
  <c r="M97" i="5" l="1"/>
  <c r="G98" i="5"/>
  <c r="D98" i="5"/>
  <c r="C98" i="5"/>
  <c r="F98" i="5"/>
  <c r="B99" i="5"/>
  <c r="H99" i="5"/>
  <c r="I99" i="5" s="1"/>
  <c r="E99" i="5"/>
  <c r="A100" i="5"/>
  <c r="L100" i="5" s="1"/>
  <c r="J98" i="5"/>
  <c r="K98" i="5" s="1"/>
  <c r="M97" i="2"/>
  <c r="H99" i="2"/>
  <c r="I99" i="2" s="1"/>
  <c r="E99" i="2"/>
  <c r="B99" i="2"/>
  <c r="A100" i="2"/>
  <c r="L100" i="2" s="1"/>
  <c r="J98" i="2"/>
  <c r="K98" i="2" s="1"/>
  <c r="C98" i="2"/>
  <c r="G98" i="2"/>
  <c r="F98" i="2"/>
  <c r="D98" i="2"/>
  <c r="M98" i="5" l="1"/>
  <c r="J99" i="5"/>
  <c r="K99" i="5" s="1"/>
  <c r="F99" i="5"/>
  <c r="D99" i="5"/>
  <c r="C99" i="5"/>
  <c r="G99" i="5"/>
  <c r="H100" i="5"/>
  <c r="I100" i="5" s="1"/>
  <c r="E100" i="5"/>
  <c r="B100" i="5"/>
  <c r="A101" i="5"/>
  <c r="L101" i="5" s="1"/>
  <c r="M98" i="2"/>
  <c r="G99" i="2"/>
  <c r="F99" i="2"/>
  <c r="D99" i="2"/>
  <c r="C99" i="2"/>
  <c r="B100" i="2"/>
  <c r="H100" i="2"/>
  <c r="I100" i="2" s="1"/>
  <c r="E100" i="2"/>
  <c r="A101" i="2"/>
  <c r="L101" i="2" s="1"/>
  <c r="J99" i="2"/>
  <c r="K99" i="2" s="1"/>
  <c r="M99" i="5" l="1"/>
  <c r="B101" i="5"/>
  <c r="H101" i="5"/>
  <c r="I101" i="5" s="1"/>
  <c r="E101" i="5"/>
  <c r="A102" i="5"/>
  <c r="L102" i="5" s="1"/>
  <c r="F100" i="5"/>
  <c r="D100" i="5"/>
  <c r="C100" i="5"/>
  <c r="G100" i="5"/>
  <c r="J100" i="5"/>
  <c r="K100" i="5" s="1"/>
  <c r="M99" i="2"/>
  <c r="J100" i="2"/>
  <c r="K100" i="2" s="1"/>
  <c r="H101" i="2"/>
  <c r="I101" i="2" s="1"/>
  <c r="E101" i="2"/>
  <c r="B101" i="2"/>
  <c r="A102" i="2"/>
  <c r="L102" i="2" s="1"/>
  <c r="C100" i="2"/>
  <c r="D100" i="2"/>
  <c r="G100" i="2"/>
  <c r="F100" i="2"/>
  <c r="M100" i="5" l="1"/>
  <c r="H102" i="5"/>
  <c r="I102" i="5" s="1"/>
  <c r="E102" i="5"/>
  <c r="B102" i="5"/>
  <c r="A103" i="5"/>
  <c r="L103" i="5" s="1"/>
  <c r="J101" i="5"/>
  <c r="K101" i="5" s="1"/>
  <c r="C101" i="5"/>
  <c r="G101" i="5"/>
  <c r="F101" i="5"/>
  <c r="D101" i="5"/>
  <c r="M100" i="2"/>
  <c r="B102" i="2"/>
  <c r="H102" i="2"/>
  <c r="I102" i="2" s="1"/>
  <c r="E102" i="2"/>
  <c r="A103" i="2"/>
  <c r="L103" i="2" s="1"/>
  <c r="J101" i="2"/>
  <c r="K101" i="2" s="1"/>
  <c r="G101" i="2"/>
  <c r="F101" i="2"/>
  <c r="D101" i="2"/>
  <c r="C101" i="2"/>
  <c r="M101" i="5" l="1"/>
  <c r="G102" i="5"/>
  <c r="D102" i="5"/>
  <c r="F102" i="5"/>
  <c r="C102" i="5"/>
  <c r="B103" i="5"/>
  <c r="H103" i="5"/>
  <c r="I103" i="5" s="1"/>
  <c r="E103" i="5"/>
  <c r="A104" i="5"/>
  <c r="L104" i="5" s="1"/>
  <c r="J102" i="5"/>
  <c r="K102" i="5" s="1"/>
  <c r="M101" i="2"/>
  <c r="E103" i="2"/>
  <c r="H103" i="2"/>
  <c r="I103" i="2" s="1"/>
  <c r="B103" i="2"/>
  <c r="A104" i="2"/>
  <c r="L104" i="2" s="1"/>
  <c r="J102" i="2"/>
  <c r="K102" i="2" s="1"/>
  <c r="C102" i="2"/>
  <c r="G102" i="2"/>
  <c r="D102" i="2"/>
  <c r="F102" i="2"/>
  <c r="M102" i="5" l="1"/>
  <c r="H104" i="5"/>
  <c r="I104" i="5" s="1"/>
  <c r="B104" i="5"/>
  <c r="E104" i="5"/>
  <c r="A105" i="5"/>
  <c r="L105" i="5" s="1"/>
  <c r="G103" i="5"/>
  <c r="C103" i="5"/>
  <c r="D103" i="5"/>
  <c r="F103" i="5"/>
  <c r="J103" i="5"/>
  <c r="K103" i="5" s="1"/>
  <c r="M102" i="2"/>
  <c r="D103" i="2"/>
  <c r="C103" i="2"/>
  <c r="G103" i="2"/>
  <c r="F103" i="2"/>
  <c r="J103" i="2"/>
  <c r="K103" i="2" s="1"/>
  <c r="B104" i="2"/>
  <c r="H104" i="2"/>
  <c r="I104" i="2" s="1"/>
  <c r="E104" i="2"/>
  <c r="A105" i="2"/>
  <c r="L105" i="2" s="1"/>
  <c r="M103" i="5" l="1"/>
  <c r="B105" i="5"/>
  <c r="H105" i="5"/>
  <c r="I105" i="5" s="1"/>
  <c r="E105" i="5"/>
  <c r="A106" i="5"/>
  <c r="L106" i="5" s="1"/>
  <c r="G104" i="5"/>
  <c r="D104" i="5"/>
  <c r="C104" i="5"/>
  <c r="F104" i="5"/>
  <c r="J104" i="5"/>
  <c r="K104" i="5" s="1"/>
  <c r="M103" i="2"/>
  <c r="B105" i="2"/>
  <c r="H105" i="2"/>
  <c r="I105" i="2" s="1"/>
  <c r="E105" i="2"/>
  <c r="A106" i="2"/>
  <c r="L106" i="2" s="1"/>
  <c r="J104" i="2"/>
  <c r="K104" i="2" s="1"/>
  <c r="C104" i="2"/>
  <c r="G104" i="2"/>
  <c r="F104" i="2"/>
  <c r="D104" i="2"/>
  <c r="M104" i="5" l="1"/>
  <c r="H106" i="5"/>
  <c r="I106" i="5" s="1"/>
  <c r="B106" i="5"/>
  <c r="E106" i="5"/>
  <c r="A107" i="5"/>
  <c r="L107" i="5" s="1"/>
  <c r="J105" i="5"/>
  <c r="K105" i="5" s="1"/>
  <c r="F105" i="5"/>
  <c r="D105" i="5"/>
  <c r="C105" i="5"/>
  <c r="G105" i="5"/>
  <c r="M104" i="2"/>
  <c r="B106" i="2"/>
  <c r="H106" i="2"/>
  <c r="I106" i="2" s="1"/>
  <c r="E106" i="2"/>
  <c r="A107" i="2"/>
  <c r="L107" i="2" s="1"/>
  <c r="J105" i="2"/>
  <c r="K105" i="2" s="1"/>
  <c r="G105" i="2"/>
  <c r="F105" i="2"/>
  <c r="D105" i="2"/>
  <c r="C105" i="2"/>
  <c r="M105" i="5" l="1"/>
  <c r="H107" i="5"/>
  <c r="I107" i="5" s="1"/>
  <c r="B107" i="5"/>
  <c r="E107" i="5"/>
  <c r="A108" i="5"/>
  <c r="L108" i="5" s="1"/>
  <c r="D106" i="5"/>
  <c r="G106" i="5"/>
  <c r="F106" i="5"/>
  <c r="C106" i="5"/>
  <c r="J106" i="5"/>
  <c r="K106" i="5" s="1"/>
  <c r="M105" i="2"/>
  <c r="H107" i="2"/>
  <c r="I107" i="2" s="1"/>
  <c r="B107" i="2"/>
  <c r="E107" i="2"/>
  <c r="A108" i="2"/>
  <c r="L108" i="2" s="1"/>
  <c r="J106" i="2"/>
  <c r="K106" i="2" s="1"/>
  <c r="C106" i="2"/>
  <c r="G106" i="2"/>
  <c r="F106" i="2"/>
  <c r="D106" i="2"/>
  <c r="M106" i="5" l="1"/>
  <c r="F107" i="5"/>
  <c r="G107" i="5"/>
  <c r="D107" i="5"/>
  <c r="C107" i="5"/>
  <c r="B108" i="5"/>
  <c r="H108" i="5"/>
  <c r="I108" i="5" s="1"/>
  <c r="E108" i="5"/>
  <c r="A109" i="5"/>
  <c r="L109" i="5" s="1"/>
  <c r="J107" i="5"/>
  <c r="K107" i="5" s="1"/>
  <c r="M107" i="5" s="1"/>
  <c r="M106" i="2"/>
  <c r="B108" i="2"/>
  <c r="H108" i="2"/>
  <c r="I108" i="2" s="1"/>
  <c r="E108" i="2"/>
  <c r="A109" i="2"/>
  <c r="L109" i="2" s="1"/>
  <c r="G107" i="2"/>
  <c r="D107" i="2"/>
  <c r="C107" i="2"/>
  <c r="F107" i="2"/>
  <c r="J107" i="2"/>
  <c r="K107" i="2" s="1"/>
  <c r="H109" i="5" l="1"/>
  <c r="I109" i="5" s="1"/>
  <c r="E109" i="5"/>
  <c r="B109" i="5"/>
  <c r="A110" i="5"/>
  <c r="L110" i="5" s="1"/>
  <c r="J108" i="5"/>
  <c r="K108" i="5" s="1"/>
  <c r="C108" i="5"/>
  <c r="G108" i="5"/>
  <c r="F108" i="5"/>
  <c r="D108" i="5"/>
  <c r="M107" i="2"/>
  <c r="B109" i="2"/>
  <c r="E109" i="2"/>
  <c r="H109" i="2"/>
  <c r="I109" i="2" s="1"/>
  <c r="A110" i="2"/>
  <c r="L110" i="2" s="1"/>
  <c r="C108" i="2"/>
  <c r="G108" i="2"/>
  <c r="F108" i="2"/>
  <c r="D108" i="2"/>
  <c r="J108" i="2"/>
  <c r="K108" i="2" s="1"/>
  <c r="M108" i="5" l="1"/>
  <c r="E110" i="5"/>
  <c r="B110" i="5"/>
  <c r="H110" i="5"/>
  <c r="I110" i="5" s="1"/>
  <c r="A111" i="5"/>
  <c r="L111" i="5" s="1"/>
  <c r="G109" i="5"/>
  <c r="D109" i="5"/>
  <c r="C109" i="5"/>
  <c r="F109" i="5"/>
  <c r="J109" i="5"/>
  <c r="K109" i="5" s="1"/>
  <c r="M108" i="2"/>
  <c r="J109" i="2"/>
  <c r="K109" i="2" s="1"/>
  <c r="B110" i="2"/>
  <c r="E110" i="2"/>
  <c r="H110" i="2"/>
  <c r="I110" i="2" s="1"/>
  <c r="A111" i="2"/>
  <c r="L111" i="2" s="1"/>
  <c r="F109" i="2"/>
  <c r="D109" i="2"/>
  <c r="C109" i="2"/>
  <c r="G109" i="2"/>
  <c r="M109" i="5" l="1"/>
  <c r="B111" i="5"/>
  <c r="E111" i="5"/>
  <c r="H111" i="5"/>
  <c r="I111" i="5" s="1"/>
  <c r="A112" i="5"/>
  <c r="L112" i="5" s="1"/>
  <c r="J110" i="5"/>
  <c r="K110" i="5" s="1"/>
  <c r="C110" i="5"/>
  <c r="D110" i="5"/>
  <c r="F110" i="5"/>
  <c r="G110" i="5"/>
  <c r="M109" i="2"/>
  <c r="E111" i="2"/>
  <c r="B111" i="2"/>
  <c r="H111" i="2"/>
  <c r="I111" i="2" s="1"/>
  <c r="A112" i="2"/>
  <c r="L112" i="2" s="1"/>
  <c r="J110" i="2"/>
  <c r="K110" i="2" s="1"/>
  <c r="C110" i="2"/>
  <c r="G110" i="2"/>
  <c r="F110" i="2"/>
  <c r="D110" i="2"/>
  <c r="M110" i="5" l="1"/>
  <c r="J111" i="5"/>
  <c r="K111" i="5" s="1"/>
  <c r="E112" i="5"/>
  <c r="H112" i="5"/>
  <c r="I112" i="5" s="1"/>
  <c r="B112" i="5"/>
  <c r="A113" i="5"/>
  <c r="L113" i="5" s="1"/>
  <c r="C111" i="5"/>
  <c r="G111" i="5"/>
  <c r="F111" i="5"/>
  <c r="D111" i="5"/>
  <c r="M110" i="2"/>
  <c r="B112" i="2"/>
  <c r="E112" i="2"/>
  <c r="H112" i="2"/>
  <c r="I112" i="2" s="1"/>
  <c r="A113" i="2"/>
  <c r="L113" i="2" s="1"/>
  <c r="C111" i="2"/>
  <c r="G111" i="2"/>
  <c r="F111" i="2"/>
  <c r="D111" i="2"/>
  <c r="J111" i="2"/>
  <c r="K111" i="2" s="1"/>
  <c r="M111" i="5" l="1"/>
  <c r="E113" i="5"/>
  <c r="B113" i="5"/>
  <c r="H113" i="5"/>
  <c r="I113" i="5" s="1"/>
  <c r="A114" i="5"/>
  <c r="L114" i="5" s="1"/>
  <c r="J112" i="5"/>
  <c r="K112" i="5" s="1"/>
  <c r="C112" i="5"/>
  <c r="F112" i="5"/>
  <c r="D112" i="5"/>
  <c r="G112" i="5"/>
  <c r="M111" i="2"/>
  <c r="H113" i="2"/>
  <c r="I113" i="2" s="1"/>
  <c r="E113" i="2"/>
  <c r="B113" i="2"/>
  <c r="A114" i="2"/>
  <c r="L114" i="2" s="1"/>
  <c r="J112" i="2"/>
  <c r="K112" i="2" s="1"/>
  <c r="C112" i="2"/>
  <c r="G112" i="2"/>
  <c r="F112" i="2"/>
  <c r="D112" i="2"/>
  <c r="M112" i="5" l="1"/>
  <c r="J113" i="5"/>
  <c r="K113" i="5" s="1"/>
  <c r="A115" i="5"/>
  <c r="L115" i="5" s="1"/>
  <c r="H114" i="5"/>
  <c r="I114" i="5" s="1"/>
  <c r="E114" i="5"/>
  <c r="B114" i="5"/>
  <c r="F113" i="5"/>
  <c r="C113" i="5"/>
  <c r="G113" i="5"/>
  <c r="D113" i="5"/>
  <c r="M112" i="2"/>
  <c r="F113" i="2"/>
  <c r="C113" i="2"/>
  <c r="D113" i="2"/>
  <c r="G113" i="2"/>
  <c r="B114" i="2"/>
  <c r="A115" i="2"/>
  <c r="L115" i="2" s="1"/>
  <c r="H114" i="2"/>
  <c r="I114" i="2" s="1"/>
  <c r="E114" i="2"/>
  <c r="J113" i="2"/>
  <c r="K113" i="2" s="1"/>
  <c r="M113" i="5" l="1"/>
  <c r="A116" i="5"/>
  <c r="L116" i="5" s="1"/>
  <c r="H115" i="5"/>
  <c r="I115" i="5" s="1"/>
  <c r="E115" i="5"/>
  <c r="B115" i="5"/>
  <c r="J114" i="5"/>
  <c r="K114" i="5" s="1"/>
  <c r="C114" i="5"/>
  <c r="G114" i="5"/>
  <c r="F114" i="5"/>
  <c r="D114" i="5"/>
  <c r="M113" i="2"/>
  <c r="H115" i="2"/>
  <c r="I115" i="2" s="1"/>
  <c r="E115" i="2"/>
  <c r="B115" i="2"/>
  <c r="A116" i="2"/>
  <c r="L116" i="2" s="1"/>
  <c r="J114" i="2"/>
  <c r="K114" i="2" s="1"/>
  <c r="C114" i="2"/>
  <c r="F114" i="2"/>
  <c r="G114" i="2"/>
  <c r="D114" i="2"/>
  <c r="M114" i="5" l="1"/>
  <c r="F115" i="5"/>
  <c r="D115" i="5"/>
  <c r="C115" i="5"/>
  <c r="G115" i="5"/>
  <c r="J115" i="5"/>
  <c r="K115" i="5" s="1"/>
  <c r="E116" i="5"/>
  <c r="A117" i="5"/>
  <c r="L117" i="5" s="1"/>
  <c r="H116" i="5"/>
  <c r="B116" i="5"/>
  <c r="M114" i="2"/>
  <c r="B116" i="2"/>
  <c r="H116" i="2"/>
  <c r="I116" i="2" s="1"/>
  <c r="A117" i="2"/>
  <c r="L117" i="2" s="1"/>
  <c r="E116" i="2"/>
  <c r="F115" i="2"/>
  <c r="G115" i="2"/>
  <c r="D115" i="2"/>
  <c r="C115" i="2"/>
  <c r="J115" i="2"/>
  <c r="K115" i="2" s="1"/>
  <c r="M115" i="5" l="1"/>
  <c r="J116" i="5"/>
  <c r="K116" i="5"/>
  <c r="C116" i="5"/>
  <c r="M116" i="5"/>
  <c r="G116" i="5"/>
  <c r="F116" i="5"/>
  <c r="D116" i="5"/>
  <c r="A118" i="5"/>
  <c r="L118" i="5" s="1"/>
  <c r="B117" i="5"/>
  <c r="H117" i="5"/>
  <c r="I117" i="5" s="1"/>
  <c r="E117" i="5"/>
  <c r="I116" i="5"/>
  <c r="M115" i="2"/>
  <c r="K116" i="2"/>
  <c r="J116" i="2"/>
  <c r="A118" i="2"/>
  <c r="L118" i="2" s="1"/>
  <c r="H117" i="2"/>
  <c r="I117" i="2" s="1"/>
  <c r="B117" i="2"/>
  <c r="E117" i="2"/>
  <c r="C116" i="2"/>
  <c r="D116" i="2"/>
  <c r="M116" i="2"/>
  <c r="G116" i="2"/>
  <c r="F116" i="2"/>
  <c r="D117" i="5" l="1"/>
  <c r="M117" i="5"/>
  <c r="G117" i="5"/>
  <c r="F117" i="5"/>
  <c r="C117" i="5"/>
  <c r="H118" i="5"/>
  <c r="I118" i="5" s="1"/>
  <c r="E118" i="5"/>
  <c r="B118" i="5"/>
  <c r="A119" i="5"/>
  <c r="L119" i="5" s="1"/>
  <c r="K117" i="5"/>
  <c r="J117" i="5"/>
  <c r="K117" i="2"/>
  <c r="J117" i="2"/>
  <c r="B118" i="2"/>
  <c r="E118" i="2"/>
  <c r="H118" i="2"/>
  <c r="A119" i="2"/>
  <c r="L119" i="2" s="1"/>
  <c r="M117" i="2"/>
  <c r="C117" i="2"/>
  <c r="F117" i="2"/>
  <c r="D117" i="2"/>
  <c r="G117" i="2"/>
  <c r="C118" i="5" l="1"/>
  <c r="M118" i="5"/>
  <c r="G118" i="5"/>
  <c r="F118" i="5"/>
  <c r="D118" i="5"/>
  <c r="A120" i="5"/>
  <c r="L120" i="5" s="1"/>
  <c r="E119" i="5"/>
  <c r="B119" i="5"/>
  <c r="H119" i="5"/>
  <c r="K118" i="5"/>
  <c r="J118" i="5"/>
  <c r="J118" i="2"/>
  <c r="K118" i="2"/>
  <c r="I118" i="2"/>
  <c r="A120" i="2"/>
  <c r="L120" i="2" s="1"/>
  <c r="E119" i="2"/>
  <c r="H119" i="2"/>
  <c r="B119" i="2"/>
  <c r="C118" i="2"/>
  <c r="M118" i="2"/>
  <c r="G118" i="2"/>
  <c r="F118" i="2"/>
  <c r="D118" i="2"/>
  <c r="M119" i="5" l="1"/>
  <c r="C119" i="5"/>
  <c r="F119" i="5"/>
  <c r="D119" i="5"/>
  <c r="G119" i="5"/>
  <c r="J119" i="5"/>
  <c r="K119" i="5"/>
  <c r="I119" i="5"/>
  <c r="H120" i="5"/>
  <c r="B120" i="5"/>
  <c r="E120" i="5"/>
  <c r="A121" i="5"/>
  <c r="L121" i="5" s="1"/>
  <c r="K119" i="2"/>
  <c r="J119" i="2"/>
  <c r="B120" i="2"/>
  <c r="A121" i="2"/>
  <c r="L121" i="2" s="1"/>
  <c r="E120" i="2"/>
  <c r="H120" i="2"/>
  <c r="M119" i="2"/>
  <c r="F119" i="2"/>
  <c r="G119" i="2"/>
  <c r="D119" i="2"/>
  <c r="C119" i="2"/>
  <c r="I119" i="2"/>
  <c r="A122" i="5" l="1"/>
  <c r="L122" i="5" s="1"/>
  <c r="H121" i="5"/>
  <c r="B121" i="5"/>
  <c r="E121" i="5"/>
  <c r="J120" i="5"/>
  <c r="K120" i="5"/>
  <c r="C120" i="5"/>
  <c r="M120" i="5"/>
  <c r="G120" i="5"/>
  <c r="F120" i="5"/>
  <c r="D120" i="5"/>
  <c r="I120" i="5"/>
  <c r="K120" i="2"/>
  <c r="J120" i="2"/>
  <c r="I120" i="2"/>
  <c r="A122" i="2"/>
  <c r="L122" i="2" s="1"/>
  <c r="E121" i="2"/>
  <c r="B121" i="2"/>
  <c r="H121" i="2"/>
  <c r="C120" i="2"/>
  <c r="M120" i="2"/>
  <c r="F120" i="2"/>
  <c r="G120" i="2"/>
  <c r="D120" i="2"/>
  <c r="G121" i="5" l="1"/>
  <c r="M121" i="5"/>
  <c r="F121" i="5"/>
  <c r="D121" i="5"/>
  <c r="C121" i="5"/>
  <c r="K121" i="5"/>
  <c r="J121" i="5"/>
  <c r="I121" i="5"/>
  <c r="B122" i="5"/>
  <c r="E122" i="5"/>
  <c r="A123" i="5"/>
  <c r="L123" i="5" s="1"/>
  <c r="H122" i="5"/>
  <c r="K121" i="2"/>
  <c r="J121" i="2"/>
  <c r="I121" i="2"/>
  <c r="B122" i="2"/>
  <c r="A123" i="2"/>
  <c r="L123" i="2" s="1"/>
  <c r="E122" i="2"/>
  <c r="H122" i="2"/>
  <c r="I122" i="2" s="1"/>
  <c r="C121" i="2"/>
  <c r="D121" i="2"/>
  <c r="M121" i="2"/>
  <c r="G121" i="2"/>
  <c r="F121" i="2"/>
  <c r="K122" i="5" l="1"/>
  <c r="J122" i="5"/>
  <c r="I122" i="5"/>
  <c r="A124" i="5"/>
  <c r="L124" i="5" s="1"/>
  <c r="B123" i="5"/>
  <c r="E123" i="5"/>
  <c r="H123" i="5"/>
  <c r="I123" i="5" s="1"/>
  <c r="C122" i="5"/>
  <c r="D122" i="5"/>
  <c r="M122" i="5"/>
  <c r="F122" i="5"/>
  <c r="G122" i="5"/>
  <c r="C122" i="2"/>
  <c r="G122" i="2"/>
  <c r="D122" i="2"/>
  <c r="M122" i="2"/>
  <c r="F122" i="2"/>
  <c r="K122" i="2"/>
  <c r="J122" i="2"/>
  <c r="A124" i="2"/>
  <c r="L124" i="2" s="1"/>
  <c r="E123" i="2"/>
  <c r="H123" i="2"/>
  <c r="B123" i="2"/>
  <c r="C123" i="5" l="1"/>
  <c r="D123" i="5"/>
  <c r="M123" i="5"/>
  <c r="G123" i="5"/>
  <c r="F123" i="5"/>
  <c r="A125" i="5"/>
  <c r="L125" i="5" s="1"/>
  <c r="B124" i="5"/>
  <c r="H124" i="5"/>
  <c r="E124" i="5"/>
  <c r="K123" i="5"/>
  <c r="J123" i="5"/>
  <c r="C123" i="2"/>
  <c r="M123" i="2"/>
  <c r="G123" i="2"/>
  <c r="F123" i="2"/>
  <c r="D123" i="2"/>
  <c r="K123" i="2"/>
  <c r="J123" i="2"/>
  <c r="B124" i="2"/>
  <c r="H124" i="2"/>
  <c r="I124" i="2" s="1"/>
  <c r="A125" i="2"/>
  <c r="L125" i="2" s="1"/>
  <c r="E124" i="2"/>
  <c r="I123" i="2"/>
  <c r="K124" i="5" l="1"/>
  <c r="J124" i="5"/>
  <c r="I124" i="5"/>
  <c r="A126" i="5"/>
  <c r="L126" i="5" s="1"/>
  <c r="H125" i="5"/>
  <c r="E125" i="5"/>
  <c r="B125" i="5"/>
  <c r="C124" i="5"/>
  <c r="G124" i="5"/>
  <c r="F124" i="5"/>
  <c r="D124" i="5"/>
  <c r="M124" i="5"/>
  <c r="A126" i="2"/>
  <c r="L126" i="2" s="1"/>
  <c r="H125" i="2"/>
  <c r="I125" i="2" s="1"/>
  <c r="B125" i="2"/>
  <c r="E125" i="2"/>
  <c r="C124" i="2"/>
  <c r="M124" i="2"/>
  <c r="D124" i="2"/>
  <c r="G124" i="2"/>
  <c r="F124" i="2"/>
  <c r="K124" i="2"/>
  <c r="J124" i="2"/>
  <c r="G125" i="5" l="1"/>
  <c r="D125" i="5"/>
  <c r="M125" i="5"/>
  <c r="F125" i="5"/>
  <c r="C125" i="5"/>
  <c r="K125" i="5"/>
  <c r="J125" i="5"/>
  <c r="I125" i="5"/>
  <c r="A127" i="5"/>
  <c r="L127" i="5" s="1"/>
  <c r="H126" i="5"/>
  <c r="I126" i="5" s="1"/>
  <c r="E126" i="5"/>
  <c r="B126" i="5"/>
  <c r="G125" i="2"/>
  <c r="D125" i="2"/>
  <c r="F125" i="2"/>
  <c r="C125" i="2"/>
  <c r="M125" i="2"/>
  <c r="J125" i="2"/>
  <c r="K125" i="2"/>
  <c r="B126" i="2"/>
  <c r="A127" i="2"/>
  <c r="L127" i="2" s="1"/>
  <c r="H126" i="2"/>
  <c r="E126" i="2"/>
  <c r="C126" i="5" l="1"/>
  <c r="G126" i="5"/>
  <c r="M126" i="5"/>
  <c r="F126" i="5"/>
  <c r="D126" i="5"/>
  <c r="A128" i="5"/>
  <c r="L128" i="5" s="1"/>
  <c r="H127" i="5"/>
  <c r="E127" i="5"/>
  <c r="B127" i="5"/>
  <c r="J126" i="5"/>
  <c r="K126" i="5"/>
  <c r="K126" i="2"/>
  <c r="J126" i="2"/>
  <c r="I126" i="2"/>
  <c r="C126" i="2"/>
  <c r="D126" i="2"/>
  <c r="M126" i="2"/>
  <c r="G126" i="2"/>
  <c r="F126" i="2"/>
  <c r="A128" i="2"/>
  <c r="L128" i="2" s="1"/>
  <c r="E127" i="2"/>
  <c r="H127" i="2"/>
  <c r="I127" i="2" s="1"/>
  <c r="B127" i="2"/>
  <c r="J127" i="5" l="1"/>
  <c r="K127" i="5"/>
  <c r="C127" i="5"/>
  <c r="M127" i="5"/>
  <c r="D127" i="5"/>
  <c r="G127" i="5"/>
  <c r="F127" i="5"/>
  <c r="E128" i="5"/>
  <c r="B128" i="5"/>
  <c r="H128" i="5"/>
  <c r="A129" i="5"/>
  <c r="L129" i="5" s="1"/>
  <c r="I127" i="5"/>
  <c r="M127" i="2"/>
  <c r="G127" i="2"/>
  <c r="F127" i="2"/>
  <c r="C127" i="2"/>
  <c r="D127" i="2"/>
  <c r="K127" i="2"/>
  <c r="J127" i="2"/>
  <c r="B128" i="2"/>
  <c r="E128" i="2"/>
  <c r="A129" i="2"/>
  <c r="L129" i="2" s="1"/>
  <c r="H128" i="2"/>
  <c r="A130" i="5" l="1"/>
  <c r="L130" i="5" s="1"/>
  <c r="E129" i="5"/>
  <c r="H129" i="5"/>
  <c r="B129" i="5"/>
  <c r="J128" i="5"/>
  <c r="K128" i="5"/>
  <c r="C128" i="5"/>
  <c r="M128" i="5"/>
  <c r="D128" i="5"/>
  <c r="G128" i="5"/>
  <c r="F128" i="5"/>
  <c r="I128" i="5"/>
  <c r="K128" i="2"/>
  <c r="J128" i="2"/>
  <c r="I128" i="2"/>
  <c r="A130" i="2"/>
  <c r="L130" i="2" s="1"/>
  <c r="H129" i="2"/>
  <c r="B129" i="2"/>
  <c r="E129" i="2"/>
  <c r="C128" i="2"/>
  <c r="G128" i="2"/>
  <c r="M128" i="2"/>
  <c r="F128" i="2"/>
  <c r="D128" i="2"/>
  <c r="F129" i="5" l="1"/>
  <c r="M129" i="5"/>
  <c r="G129" i="5"/>
  <c r="D129" i="5"/>
  <c r="C129" i="5"/>
  <c r="J129" i="5"/>
  <c r="K129" i="5"/>
  <c r="I129" i="5"/>
  <c r="B130" i="5"/>
  <c r="A131" i="5"/>
  <c r="L131" i="5" s="1"/>
  <c r="H130" i="5"/>
  <c r="E130" i="5"/>
  <c r="K129" i="2"/>
  <c r="J129" i="2"/>
  <c r="D129" i="2"/>
  <c r="C129" i="2"/>
  <c r="G129" i="2"/>
  <c r="M129" i="2"/>
  <c r="F129" i="2"/>
  <c r="I129" i="2"/>
  <c r="B130" i="2"/>
  <c r="E130" i="2"/>
  <c r="H130" i="2"/>
  <c r="A131" i="2"/>
  <c r="L131" i="2" s="1"/>
  <c r="K130" i="5" l="1"/>
  <c r="J130" i="5"/>
  <c r="A132" i="5"/>
  <c r="L132" i="5" s="1"/>
  <c r="B131" i="5"/>
  <c r="E131" i="5"/>
  <c r="H131" i="5"/>
  <c r="I131" i="5" s="1"/>
  <c r="I130" i="5"/>
  <c r="C130" i="5"/>
  <c r="M130" i="5"/>
  <c r="G130" i="5"/>
  <c r="F130" i="5"/>
  <c r="D130" i="5"/>
  <c r="C130" i="2"/>
  <c r="M130" i="2"/>
  <c r="D130" i="2"/>
  <c r="G130" i="2"/>
  <c r="F130" i="2"/>
  <c r="J130" i="2"/>
  <c r="K130" i="2"/>
  <c r="A132" i="2"/>
  <c r="L132" i="2" s="1"/>
  <c r="H131" i="2"/>
  <c r="I131" i="2" s="1"/>
  <c r="B131" i="2"/>
  <c r="E131" i="2"/>
  <c r="I130" i="2"/>
  <c r="J131" i="5" l="1"/>
  <c r="K131" i="5"/>
  <c r="A133" i="5"/>
  <c r="L133" i="5" s="1"/>
  <c r="H132" i="5"/>
  <c r="B132" i="5"/>
  <c r="E132" i="5"/>
  <c r="G131" i="5"/>
  <c r="M131" i="5"/>
  <c r="C131" i="5"/>
  <c r="F131" i="5"/>
  <c r="D131" i="5"/>
  <c r="K131" i="2"/>
  <c r="J131" i="2"/>
  <c r="G131" i="2"/>
  <c r="D131" i="2"/>
  <c r="M131" i="2"/>
  <c r="F131" i="2"/>
  <c r="C131" i="2"/>
  <c r="B132" i="2"/>
  <c r="A133" i="2"/>
  <c r="L133" i="2" s="1"/>
  <c r="H132" i="2"/>
  <c r="E132" i="2"/>
  <c r="K132" i="5" l="1"/>
  <c r="J132" i="5"/>
  <c r="I132" i="5"/>
  <c r="C132" i="5"/>
  <c r="D132" i="5"/>
  <c r="G132" i="5"/>
  <c r="F132" i="5"/>
  <c r="M132" i="5"/>
  <c r="A134" i="5"/>
  <c r="L134" i="5" s="1"/>
  <c r="B133" i="5"/>
  <c r="H133" i="5"/>
  <c r="E133" i="5"/>
  <c r="K132" i="2"/>
  <c r="J132" i="2"/>
  <c r="A134" i="2"/>
  <c r="L134" i="2" s="1"/>
  <c r="H133" i="2"/>
  <c r="E133" i="2"/>
  <c r="B133" i="2"/>
  <c r="I132" i="2"/>
  <c r="C132" i="2"/>
  <c r="F132" i="2"/>
  <c r="G132" i="2"/>
  <c r="M132" i="2"/>
  <c r="D132" i="2"/>
  <c r="H134" i="5" l="1"/>
  <c r="E134" i="5"/>
  <c r="B134" i="5"/>
  <c r="A135" i="5"/>
  <c r="L135" i="5" s="1"/>
  <c r="K133" i="5"/>
  <c r="J133" i="5"/>
  <c r="I133" i="5"/>
  <c r="C133" i="5"/>
  <c r="G133" i="5"/>
  <c r="F133" i="5"/>
  <c r="D133" i="5"/>
  <c r="M133" i="5"/>
  <c r="K133" i="2"/>
  <c r="J133" i="2"/>
  <c r="B134" i="2"/>
  <c r="A135" i="2"/>
  <c r="L135" i="2" s="1"/>
  <c r="H134" i="2"/>
  <c r="I134" i="2" s="1"/>
  <c r="E134" i="2"/>
  <c r="C133" i="2"/>
  <c r="M133" i="2"/>
  <c r="F133" i="2"/>
  <c r="G133" i="2"/>
  <c r="D133" i="2"/>
  <c r="I133" i="2"/>
  <c r="A136" i="5" l="1"/>
  <c r="L136" i="5" s="1"/>
  <c r="E135" i="5"/>
  <c r="B135" i="5"/>
  <c r="H135" i="5"/>
  <c r="C134" i="5"/>
  <c r="F134" i="5"/>
  <c r="M134" i="5"/>
  <c r="G134" i="5"/>
  <c r="D134" i="5"/>
  <c r="K134" i="5"/>
  <c r="J134" i="5"/>
  <c r="I134" i="5"/>
  <c r="K134" i="2"/>
  <c r="J134" i="2"/>
  <c r="A136" i="2"/>
  <c r="L136" i="2" s="1"/>
  <c r="H135" i="2"/>
  <c r="I135" i="2" s="1"/>
  <c r="E135" i="2"/>
  <c r="B135" i="2"/>
  <c r="C134" i="2"/>
  <c r="M134" i="2"/>
  <c r="G134" i="2"/>
  <c r="F134" i="2"/>
  <c r="D134" i="2"/>
  <c r="K135" i="5" l="1"/>
  <c r="J135" i="5"/>
  <c r="F135" i="5"/>
  <c r="C135" i="5"/>
  <c r="M135" i="5"/>
  <c r="G135" i="5"/>
  <c r="D135" i="5"/>
  <c r="I135" i="5"/>
  <c r="B136" i="5"/>
  <c r="A137" i="5"/>
  <c r="L137" i="5" s="1"/>
  <c r="H136" i="5"/>
  <c r="I136" i="5" s="1"/>
  <c r="E136" i="5"/>
  <c r="M135" i="2"/>
  <c r="F135" i="2"/>
  <c r="D135" i="2"/>
  <c r="C135" i="2"/>
  <c r="G135" i="2"/>
  <c r="J135" i="2"/>
  <c r="K135" i="2"/>
  <c r="B136" i="2"/>
  <c r="H136" i="2"/>
  <c r="E136" i="2"/>
  <c r="A137" i="2"/>
  <c r="L137" i="2" s="1"/>
  <c r="A138" i="5" l="1"/>
  <c r="L138" i="5" s="1"/>
  <c r="H137" i="5"/>
  <c r="B137" i="5"/>
  <c r="E137" i="5"/>
  <c r="K136" i="5"/>
  <c r="J136" i="5"/>
  <c r="C136" i="5"/>
  <c r="G136" i="5"/>
  <c r="M136" i="5"/>
  <c r="F136" i="5"/>
  <c r="D136" i="5"/>
  <c r="A138" i="2"/>
  <c r="L138" i="2" s="1"/>
  <c r="B137" i="2"/>
  <c r="E137" i="2"/>
  <c r="H137" i="2"/>
  <c r="J136" i="2"/>
  <c r="K136" i="2"/>
  <c r="I136" i="2"/>
  <c r="C136" i="2"/>
  <c r="D136" i="2"/>
  <c r="G136" i="2"/>
  <c r="M136" i="2"/>
  <c r="F136" i="2"/>
  <c r="K137" i="5" l="1"/>
  <c r="J137" i="5"/>
  <c r="I137" i="5"/>
  <c r="M137" i="5"/>
  <c r="F137" i="5"/>
  <c r="D137" i="5"/>
  <c r="G137" i="5"/>
  <c r="C137" i="5"/>
  <c r="H138" i="5"/>
  <c r="I138" i="5" s="1"/>
  <c r="E138" i="5"/>
  <c r="A139" i="5"/>
  <c r="L139" i="5" s="1"/>
  <c r="B138" i="5"/>
  <c r="M137" i="2"/>
  <c r="F137" i="2"/>
  <c r="D137" i="2"/>
  <c r="C137" i="2"/>
  <c r="G137" i="2"/>
  <c r="K137" i="2"/>
  <c r="J137" i="2"/>
  <c r="I137" i="2"/>
  <c r="B138" i="2"/>
  <c r="H138" i="2"/>
  <c r="E138" i="2"/>
  <c r="A139" i="2"/>
  <c r="L139" i="2" s="1"/>
  <c r="A140" i="5" l="1"/>
  <c r="L140" i="5" s="1"/>
  <c r="B139" i="5"/>
  <c r="H139" i="5"/>
  <c r="I139" i="5" s="1"/>
  <c r="E139" i="5"/>
  <c r="C138" i="5"/>
  <c r="M138" i="5"/>
  <c r="G138" i="5"/>
  <c r="F138" i="5"/>
  <c r="D138" i="5"/>
  <c r="K138" i="5"/>
  <c r="J138" i="5"/>
  <c r="A140" i="2"/>
  <c r="L140" i="2" s="1"/>
  <c r="H139" i="2"/>
  <c r="E139" i="2"/>
  <c r="B139" i="2"/>
  <c r="J138" i="2"/>
  <c r="K138" i="2"/>
  <c r="C138" i="2"/>
  <c r="G138" i="2"/>
  <c r="D138" i="2"/>
  <c r="F138" i="2"/>
  <c r="M138" i="2"/>
  <c r="I138" i="2"/>
  <c r="K139" i="5" l="1"/>
  <c r="J139" i="5"/>
  <c r="F139" i="5"/>
  <c r="D139" i="5"/>
  <c r="C139" i="5"/>
  <c r="M139" i="5"/>
  <c r="G139" i="5"/>
  <c r="A141" i="5"/>
  <c r="L141" i="5" s="1"/>
  <c r="H140" i="5"/>
  <c r="B140" i="5"/>
  <c r="E140" i="5"/>
  <c r="J139" i="2"/>
  <c r="K139" i="2"/>
  <c r="M139" i="2"/>
  <c r="G139" i="2"/>
  <c r="F139" i="2"/>
  <c r="D139" i="2"/>
  <c r="C139" i="2"/>
  <c r="I139" i="2"/>
  <c r="B140" i="2"/>
  <c r="H140" i="2"/>
  <c r="I140" i="2" s="1"/>
  <c r="A141" i="2"/>
  <c r="L141" i="2" s="1"/>
  <c r="E140" i="2"/>
  <c r="J140" i="5" l="1"/>
  <c r="K140" i="5"/>
  <c r="I140" i="5"/>
  <c r="C140" i="5"/>
  <c r="M140" i="5"/>
  <c r="G140" i="5"/>
  <c r="F140" i="5"/>
  <c r="D140" i="5"/>
  <c r="A142" i="5"/>
  <c r="L142" i="5" s="1"/>
  <c r="H141" i="5"/>
  <c r="I141" i="5" s="1"/>
  <c r="B141" i="5"/>
  <c r="E141" i="5"/>
  <c r="K140" i="2"/>
  <c r="J140" i="2"/>
  <c r="C140" i="2"/>
  <c r="M140" i="2"/>
  <c r="G140" i="2"/>
  <c r="F140" i="2"/>
  <c r="D140" i="2"/>
  <c r="A142" i="2"/>
  <c r="L142" i="2" s="1"/>
  <c r="E141" i="2"/>
  <c r="H141" i="2"/>
  <c r="I141" i="2" s="1"/>
  <c r="B141" i="2"/>
  <c r="B142" i="5" l="1"/>
  <c r="A143" i="5"/>
  <c r="L143" i="5" s="1"/>
  <c r="E142" i="5"/>
  <c r="H142" i="5"/>
  <c r="C141" i="5"/>
  <c r="D141" i="5"/>
  <c r="G141" i="5"/>
  <c r="F141" i="5"/>
  <c r="M141" i="5"/>
  <c r="K141" i="5"/>
  <c r="J141" i="5"/>
  <c r="G141" i="2"/>
  <c r="F141" i="2"/>
  <c r="D141" i="2"/>
  <c r="C141" i="2"/>
  <c r="M141" i="2"/>
  <c r="K141" i="2"/>
  <c r="J141" i="2"/>
  <c r="B142" i="2"/>
  <c r="A143" i="2"/>
  <c r="L143" i="2" s="1"/>
  <c r="E142" i="2"/>
  <c r="H142" i="2"/>
  <c r="J142" i="5" l="1"/>
  <c r="K142" i="5"/>
  <c r="I142" i="5"/>
  <c r="A144" i="5"/>
  <c r="L144" i="5" s="1"/>
  <c r="H143" i="5"/>
  <c r="E143" i="5"/>
  <c r="B143" i="5"/>
  <c r="C142" i="5"/>
  <c r="G142" i="5"/>
  <c r="D142" i="5"/>
  <c r="M142" i="5"/>
  <c r="F142" i="5"/>
  <c r="K142" i="2"/>
  <c r="J142" i="2"/>
  <c r="I142" i="2"/>
  <c r="A144" i="2"/>
  <c r="L144" i="2" s="1"/>
  <c r="H143" i="2"/>
  <c r="I143" i="2" s="1"/>
  <c r="E143" i="2"/>
  <c r="B143" i="2"/>
  <c r="C142" i="2"/>
  <c r="M142" i="2"/>
  <c r="D142" i="2"/>
  <c r="G142" i="2"/>
  <c r="F142" i="2"/>
  <c r="K143" i="5" l="1"/>
  <c r="J143" i="5"/>
  <c r="G143" i="5"/>
  <c r="F143" i="5"/>
  <c r="D143" i="5"/>
  <c r="M143" i="5"/>
  <c r="C143" i="5"/>
  <c r="I143" i="5"/>
  <c r="E144" i="5"/>
  <c r="B144" i="5"/>
  <c r="A145" i="5"/>
  <c r="L145" i="5" s="1"/>
  <c r="H144" i="5"/>
  <c r="I144" i="5" s="1"/>
  <c r="F143" i="2"/>
  <c r="D143" i="2"/>
  <c r="G143" i="2"/>
  <c r="M143" i="2"/>
  <c r="C143" i="2"/>
  <c r="B144" i="2"/>
  <c r="H144" i="2"/>
  <c r="I144" i="2" s="1"/>
  <c r="E144" i="2"/>
  <c r="A145" i="2"/>
  <c r="L145" i="2" s="1"/>
  <c r="K143" i="2"/>
  <c r="J143" i="2"/>
  <c r="C144" i="5" l="1"/>
  <c r="D144" i="5"/>
  <c r="F144" i="5"/>
  <c r="G144" i="5"/>
  <c r="M144" i="5"/>
  <c r="A146" i="5"/>
  <c r="L146" i="5" s="1"/>
  <c r="B145" i="5"/>
  <c r="H145" i="5"/>
  <c r="E145" i="5"/>
  <c r="K144" i="5"/>
  <c r="J144" i="5"/>
  <c r="C144" i="2"/>
  <c r="G144" i="2"/>
  <c r="F144" i="2"/>
  <c r="D144" i="2"/>
  <c r="M144" i="2"/>
  <c r="A146" i="2"/>
  <c r="L146" i="2" s="1"/>
  <c r="E145" i="2"/>
  <c r="B145" i="2"/>
  <c r="H145" i="2"/>
  <c r="K144" i="2"/>
  <c r="J144" i="2"/>
  <c r="M145" i="5" l="1"/>
  <c r="G145" i="5"/>
  <c r="D145" i="5"/>
  <c r="C145" i="5"/>
  <c r="F145" i="5"/>
  <c r="H146" i="5"/>
  <c r="I146" i="5" s="1"/>
  <c r="E146" i="5"/>
  <c r="B146" i="5"/>
  <c r="A147" i="5"/>
  <c r="L147" i="5" s="1"/>
  <c r="J145" i="5"/>
  <c r="K145" i="5"/>
  <c r="I145" i="5"/>
  <c r="D145" i="2"/>
  <c r="C145" i="2"/>
  <c r="M145" i="2"/>
  <c r="G145" i="2"/>
  <c r="F145" i="2"/>
  <c r="K145" i="2"/>
  <c r="J145" i="2"/>
  <c r="I145" i="2"/>
  <c r="B146" i="2"/>
  <c r="A147" i="2"/>
  <c r="L147" i="2" s="1"/>
  <c r="E146" i="2"/>
  <c r="H146" i="2"/>
  <c r="A148" i="5" l="1"/>
  <c r="L148" i="5" s="1"/>
  <c r="H147" i="5"/>
  <c r="E147" i="5"/>
  <c r="B147" i="5"/>
  <c r="C146" i="5"/>
  <c r="G146" i="5"/>
  <c r="F146" i="5"/>
  <c r="D146" i="5"/>
  <c r="M146" i="5"/>
  <c r="J146" i="5"/>
  <c r="K146" i="5"/>
  <c r="A148" i="2"/>
  <c r="L148" i="2" s="1"/>
  <c r="H147" i="2"/>
  <c r="I147" i="2" s="1"/>
  <c r="E147" i="2"/>
  <c r="B147" i="2"/>
  <c r="C146" i="2"/>
  <c r="G146" i="2"/>
  <c r="M146" i="2"/>
  <c r="F146" i="2"/>
  <c r="D146" i="2"/>
  <c r="K146" i="2"/>
  <c r="J146" i="2"/>
  <c r="I146" i="2"/>
  <c r="G147" i="5" l="1"/>
  <c r="D147" i="5"/>
  <c r="M147" i="5"/>
  <c r="F147" i="5"/>
  <c r="C147" i="5"/>
  <c r="J147" i="5"/>
  <c r="K147" i="5"/>
  <c r="I147" i="5"/>
  <c r="H148" i="5"/>
  <c r="A149" i="5"/>
  <c r="L149" i="5" s="1"/>
  <c r="E148" i="5"/>
  <c r="B148" i="5"/>
  <c r="G147" i="2"/>
  <c r="D147" i="2"/>
  <c r="C147" i="2"/>
  <c r="M147" i="2"/>
  <c r="F147" i="2"/>
  <c r="K147" i="2"/>
  <c r="J147" i="2"/>
  <c r="B148" i="2"/>
  <c r="H148" i="2"/>
  <c r="I148" i="2" s="1"/>
  <c r="A149" i="2"/>
  <c r="L149" i="2" s="1"/>
  <c r="E148" i="2"/>
  <c r="A150" i="5" l="1"/>
  <c r="L150" i="5" s="1"/>
  <c r="B149" i="5"/>
  <c r="H149" i="5"/>
  <c r="I149" i="5" s="1"/>
  <c r="E149" i="5"/>
  <c r="C148" i="5"/>
  <c r="G148" i="5"/>
  <c r="M148" i="5"/>
  <c r="F148" i="5"/>
  <c r="D148" i="5"/>
  <c r="K148" i="5"/>
  <c r="J148" i="5"/>
  <c r="I148" i="5"/>
  <c r="A150" i="2"/>
  <c r="L150" i="2" s="1"/>
  <c r="H149" i="2"/>
  <c r="E149" i="2"/>
  <c r="B149" i="2"/>
  <c r="J148" i="2"/>
  <c r="K148" i="2"/>
  <c r="C148" i="2"/>
  <c r="G148" i="2"/>
  <c r="F148" i="2"/>
  <c r="M148" i="2"/>
  <c r="D148" i="2"/>
  <c r="K149" i="5" l="1"/>
  <c r="J149" i="5"/>
  <c r="C149" i="5"/>
  <c r="M149" i="5"/>
  <c r="F149" i="5"/>
  <c r="G149" i="5"/>
  <c r="D149" i="5"/>
  <c r="A151" i="5"/>
  <c r="L151" i="5" s="1"/>
  <c r="B150" i="5"/>
  <c r="H150" i="5"/>
  <c r="I150" i="5" s="1"/>
  <c r="E150" i="5"/>
  <c r="M149" i="2"/>
  <c r="G149" i="2"/>
  <c r="F149" i="2"/>
  <c r="C149" i="2"/>
  <c r="D149" i="2"/>
  <c r="K149" i="2"/>
  <c r="J149" i="2"/>
  <c r="I149" i="2"/>
  <c r="B150" i="2"/>
  <c r="H150" i="2"/>
  <c r="I150" i="2" s="1"/>
  <c r="E150" i="2"/>
  <c r="A151" i="2"/>
  <c r="L151" i="2" s="1"/>
  <c r="K150" i="5" l="1"/>
  <c r="J150" i="5"/>
  <c r="A152" i="5"/>
  <c r="L152" i="5" s="1"/>
  <c r="H151" i="5"/>
  <c r="I151" i="5" s="1"/>
  <c r="E151" i="5"/>
  <c r="B151" i="5"/>
  <c r="C150" i="5"/>
  <c r="M150" i="5"/>
  <c r="D150" i="5"/>
  <c r="G150" i="5"/>
  <c r="F150" i="5"/>
  <c r="A152" i="2"/>
  <c r="L152" i="2" s="1"/>
  <c r="B151" i="2"/>
  <c r="H151" i="2"/>
  <c r="I151" i="2" s="1"/>
  <c r="E151" i="2"/>
  <c r="K150" i="2"/>
  <c r="J150" i="2"/>
  <c r="C150" i="2"/>
  <c r="G150" i="2"/>
  <c r="F150" i="2"/>
  <c r="D150" i="2"/>
  <c r="M150" i="2"/>
  <c r="F151" i="5" l="1"/>
  <c r="G151" i="5"/>
  <c r="D151" i="5"/>
  <c r="C151" i="5"/>
  <c r="M151" i="5"/>
  <c r="K151" i="5"/>
  <c r="J151" i="5"/>
  <c r="A153" i="5"/>
  <c r="L153" i="5" s="1"/>
  <c r="H152" i="5"/>
  <c r="E152" i="5"/>
  <c r="B152" i="5"/>
  <c r="M151" i="2"/>
  <c r="F151" i="2"/>
  <c r="G151" i="2"/>
  <c r="D151" i="2"/>
  <c r="C151" i="2"/>
  <c r="J151" i="2"/>
  <c r="K151" i="2"/>
  <c r="B152" i="2"/>
  <c r="E152" i="2"/>
  <c r="A153" i="2"/>
  <c r="L153" i="2" s="1"/>
  <c r="H152" i="2"/>
  <c r="K152" i="5" l="1"/>
  <c r="J152" i="5"/>
  <c r="A154" i="5"/>
  <c r="L154" i="5" s="1"/>
  <c r="B153" i="5"/>
  <c r="H153" i="5"/>
  <c r="E153" i="5"/>
  <c r="C152" i="5"/>
  <c r="M152" i="5"/>
  <c r="F152" i="5"/>
  <c r="G152" i="5"/>
  <c r="D152" i="5"/>
  <c r="I152" i="5"/>
  <c r="J152" i="2"/>
  <c r="K152" i="2"/>
  <c r="I152" i="2"/>
  <c r="A154" i="2"/>
  <c r="L154" i="2" s="1"/>
  <c r="H153" i="2"/>
  <c r="I153" i="2" s="1"/>
  <c r="E153" i="2"/>
  <c r="B153" i="2"/>
  <c r="C152" i="2"/>
  <c r="F152" i="2"/>
  <c r="G152" i="2"/>
  <c r="D152" i="2"/>
  <c r="M152" i="2"/>
  <c r="K153" i="5" l="1"/>
  <c r="J153" i="5"/>
  <c r="M153" i="5"/>
  <c r="D153" i="5"/>
  <c r="C153" i="5"/>
  <c r="G153" i="5"/>
  <c r="F153" i="5"/>
  <c r="E154" i="5"/>
  <c r="B154" i="5"/>
  <c r="A155" i="5"/>
  <c r="L155" i="5" s="1"/>
  <c r="H154" i="5"/>
  <c r="I153" i="5"/>
  <c r="M153" i="2"/>
  <c r="G153" i="2"/>
  <c r="F153" i="2"/>
  <c r="D153" i="2"/>
  <c r="C153" i="2"/>
  <c r="B154" i="2"/>
  <c r="A155" i="2"/>
  <c r="L155" i="2" s="1"/>
  <c r="E154" i="2"/>
  <c r="H154" i="2"/>
  <c r="I154" i="2" s="1"/>
  <c r="J153" i="2"/>
  <c r="K153" i="2"/>
  <c r="J154" i="5" l="1"/>
  <c r="K154" i="5"/>
  <c r="I154" i="5"/>
  <c r="A156" i="5"/>
  <c r="L156" i="5" s="1"/>
  <c r="E155" i="5"/>
  <c r="H155" i="5"/>
  <c r="B155" i="5"/>
  <c r="C154" i="5"/>
  <c r="F154" i="5"/>
  <c r="D154" i="5"/>
  <c r="M154" i="5"/>
  <c r="G154" i="5"/>
  <c r="K154" i="2"/>
  <c r="J154" i="2"/>
  <c r="C154" i="2"/>
  <c r="G154" i="2"/>
  <c r="D154" i="2"/>
  <c r="M154" i="2"/>
  <c r="F154" i="2"/>
  <c r="A156" i="2"/>
  <c r="L156" i="2" s="1"/>
  <c r="H155" i="2"/>
  <c r="I155" i="2" s="1"/>
  <c r="E155" i="2"/>
  <c r="B155" i="2"/>
  <c r="F155" i="5" l="1"/>
  <c r="C155" i="5"/>
  <c r="G155" i="5"/>
  <c r="M155" i="5"/>
  <c r="D155" i="5"/>
  <c r="J155" i="5"/>
  <c r="K155" i="5"/>
  <c r="I155" i="5"/>
  <c r="A157" i="5"/>
  <c r="L157" i="5" s="1"/>
  <c r="H156" i="5"/>
  <c r="I156" i="5" s="1"/>
  <c r="E156" i="5"/>
  <c r="B156" i="5"/>
  <c r="M155" i="2"/>
  <c r="G155" i="2"/>
  <c r="F155" i="2"/>
  <c r="D155" i="2"/>
  <c r="C155" i="2"/>
  <c r="K155" i="2"/>
  <c r="J155" i="2"/>
  <c r="B156" i="2"/>
  <c r="E156" i="2"/>
  <c r="H156" i="2"/>
  <c r="A157" i="2"/>
  <c r="L157" i="2" s="1"/>
  <c r="A158" i="5" l="1"/>
  <c r="L158" i="5" s="1"/>
  <c r="B157" i="5"/>
  <c r="H157" i="5"/>
  <c r="E157" i="5"/>
  <c r="C156" i="5"/>
  <c r="F156" i="5"/>
  <c r="M156" i="5"/>
  <c r="G156" i="5"/>
  <c r="D156" i="5"/>
  <c r="K156" i="5"/>
  <c r="J156" i="5"/>
  <c r="K156" i="2"/>
  <c r="J156" i="2"/>
  <c r="A158" i="2"/>
  <c r="L158" i="2" s="1"/>
  <c r="H157" i="2"/>
  <c r="I157" i="2" s="1"/>
  <c r="E157" i="2"/>
  <c r="B157" i="2"/>
  <c r="I156" i="2"/>
  <c r="C156" i="2"/>
  <c r="G156" i="2"/>
  <c r="D156" i="2"/>
  <c r="M156" i="2"/>
  <c r="F156" i="2"/>
  <c r="J157" i="5" l="1"/>
  <c r="K157" i="5"/>
  <c r="I157" i="5"/>
  <c r="G157" i="5"/>
  <c r="M157" i="5"/>
  <c r="F157" i="5"/>
  <c r="D157" i="5"/>
  <c r="C157" i="5"/>
  <c r="H158" i="5"/>
  <c r="A159" i="5"/>
  <c r="L159" i="5" s="1"/>
  <c r="E158" i="5"/>
  <c r="B158" i="5"/>
  <c r="M157" i="2"/>
  <c r="D157" i="2"/>
  <c r="G157" i="2"/>
  <c r="C157" i="2"/>
  <c r="F157" i="2"/>
  <c r="K157" i="2"/>
  <c r="J157" i="2"/>
  <c r="B158" i="2"/>
  <c r="A159" i="2"/>
  <c r="L159" i="2" s="1"/>
  <c r="H158" i="2"/>
  <c r="I158" i="2" s="1"/>
  <c r="E158" i="2"/>
  <c r="C158" i="5" l="1"/>
  <c r="M158" i="5"/>
  <c r="D158" i="5"/>
  <c r="G158" i="5"/>
  <c r="F158" i="5"/>
  <c r="A160" i="5"/>
  <c r="L160" i="5" s="1"/>
  <c r="H159" i="5"/>
  <c r="I159" i="5" s="1"/>
  <c r="E159" i="5"/>
  <c r="B159" i="5"/>
  <c r="K158" i="5"/>
  <c r="J158" i="5"/>
  <c r="I158" i="5"/>
  <c r="K158" i="2"/>
  <c r="J158" i="2"/>
  <c r="A160" i="2"/>
  <c r="L160" i="2" s="1"/>
  <c r="E159" i="2"/>
  <c r="H159" i="2"/>
  <c r="B159" i="2"/>
  <c r="C158" i="2"/>
  <c r="M158" i="2"/>
  <c r="G158" i="2"/>
  <c r="F158" i="2"/>
  <c r="D158" i="2"/>
  <c r="D159" i="5" l="1"/>
  <c r="C159" i="5"/>
  <c r="M159" i="5"/>
  <c r="G159" i="5"/>
  <c r="F159" i="5"/>
  <c r="H160" i="5"/>
  <c r="A161" i="5"/>
  <c r="L161" i="5" s="1"/>
  <c r="E160" i="5"/>
  <c r="B160" i="5"/>
  <c r="K159" i="5"/>
  <c r="J159" i="5"/>
  <c r="M159" i="2"/>
  <c r="D159" i="2"/>
  <c r="F159" i="2"/>
  <c r="G159" i="2"/>
  <c r="C159" i="2"/>
  <c r="K159" i="2"/>
  <c r="J159" i="2"/>
  <c r="I159" i="2"/>
  <c r="B160" i="2"/>
  <c r="H160" i="2"/>
  <c r="I160" i="2" s="1"/>
  <c r="E160" i="2"/>
  <c r="A161" i="2"/>
  <c r="L161" i="2" s="1"/>
  <c r="K160" i="5" l="1"/>
  <c r="J160" i="5"/>
  <c r="C160" i="5"/>
  <c r="M160" i="5"/>
  <c r="F160" i="5"/>
  <c r="D160" i="5"/>
  <c r="G160" i="5"/>
  <c r="I160" i="5"/>
  <c r="A162" i="5"/>
  <c r="L162" i="5" s="1"/>
  <c r="E161" i="5"/>
  <c r="B161" i="5"/>
  <c r="H161" i="5"/>
  <c r="I161" i="5" s="1"/>
  <c r="A162" i="2"/>
  <c r="L162" i="2" s="1"/>
  <c r="H161" i="2"/>
  <c r="I161" i="2" s="1"/>
  <c r="E161" i="2"/>
  <c r="B161" i="2"/>
  <c r="K160" i="2"/>
  <c r="J160" i="2"/>
  <c r="C160" i="2"/>
  <c r="G160" i="2"/>
  <c r="F160" i="2"/>
  <c r="D160" i="2"/>
  <c r="M160" i="2"/>
  <c r="K161" i="5" l="1"/>
  <c r="J161" i="5"/>
  <c r="B162" i="5"/>
  <c r="H162" i="5"/>
  <c r="E162" i="5"/>
  <c r="A163" i="5"/>
  <c r="L163" i="5" s="1"/>
  <c r="F161" i="5"/>
  <c r="D161" i="5"/>
  <c r="M161" i="5"/>
  <c r="G161" i="5"/>
  <c r="C161" i="5"/>
  <c r="M161" i="2"/>
  <c r="F161" i="2"/>
  <c r="D161" i="2"/>
  <c r="C161" i="2"/>
  <c r="G161" i="2"/>
  <c r="J161" i="2"/>
  <c r="K161" i="2"/>
  <c r="B162" i="2"/>
  <c r="E162" i="2"/>
  <c r="A163" i="2"/>
  <c r="L163" i="2" s="1"/>
  <c r="H162" i="2"/>
  <c r="K162" i="5" l="1"/>
  <c r="J162" i="5"/>
  <c r="C162" i="5"/>
  <c r="D162" i="5"/>
  <c r="G162" i="5"/>
  <c r="F162" i="5"/>
  <c r="M162" i="5"/>
  <c r="I162" i="5"/>
  <c r="A164" i="5"/>
  <c r="L164" i="5" s="1"/>
  <c r="H163" i="5"/>
  <c r="I163" i="5" s="1"/>
  <c r="E163" i="5"/>
  <c r="B163" i="5"/>
  <c r="K162" i="2"/>
  <c r="J162" i="2"/>
  <c r="A164" i="2"/>
  <c r="L164" i="2" s="1"/>
  <c r="H163" i="2"/>
  <c r="I163" i="2" s="1"/>
  <c r="E163" i="2"/>
  <c r="B163" i="2"/>
  <c r="I162" i="2"/>
  <c r="C162" i="2"/>
  <c r="M162" i="2"/>
  <c r="F162" i="2"/>
  <c r="D162" i="2"/>
  <c r="G162" i="2"/>
  <c r="G163" i="5" l="1"/>
  <c r="M163" i="5"/>
  <c r="F163" i="5"/>
  <c r="D163" i="5"/>
  <c r="C163" i="5"/>
  <c r="J163" i="5"/>
  <c r="K163" i="5"/>
  <c r="H164" i="5"/>
  <c r="I164" i="5" s="1"/>
  <c r="E164" i="5"/>
  <c r="A165" i="5"/>
  <c r="L165" i="5" s="1"/>
  <c r="B164" i="5"/>
  <c r="M163" i="2"/>
  <c r="G163" i="2"/>
  <c r="F163" i="2"/>
  <c r="D163" i="2"/>
  <c r="C163" i="2"/>
  <c r="K163" i="2"/>
  <c r="J163" i="2"/>
  <c r="B164" i="2"/>
  <c r="E164" i="2"/>
  <c r="H164" i="2"/>
  <c r="I164" i="2" s="1"/>
  <c r="A165" i="2"/>
  <c r="L165" i="2" s="1"/>
  <c r="C164" i="5" l="1"/>
  <c r="G164" i="5"/>
  <c r="M164" i="5"/>
  <c r="F164" i="5"/>
  <c r="D164" i="5"/>
  <c r="A166" i="5"/>
  <c r="L166" i="5" s="1"/>
  <c r="H165" i="5"/>
  <c r="I165" i="5" s="1"/>
  <c r="B165" i="5"/>
  <c r="E165" i="5"/>
  <c r="K164" i="5"/>
  <c r="J164" i="5"/>
  <c r="C164" i="2"/>
  <c r="D164" i="2"/>
  <c r="G164" i="2"/>
  <c r="F164" i="2"/>
  <c r="M164" i="2"/>
  <c r="A166" i="2"/>
  <c r="L166" i="2" s="1"/>
  <c r="H165" i="2"/>
  <c r="B165" i="2"/>
  <c r="E165" i="2"/>
  <c r="K164" i="2"/>
  <c r="J164" i="2"/>
  <c r="M165" i="5" l="1"/>
  <c r="G165" i="5"/>
  <c r="F165" i="5"/>
  <c r="C165" i="5"/>
  <c r="D165" i="5"/>
  <c r="J165" i="5"/>
  <c r="K165" i="5"/>
  <c r="A167" i="5"/>
  <c r="L167" i="5" s="1"/>
  <c r="E166" i="5"/>
  <c r="H166" i="5"/>
  <c r="B166" i="5"/>
  <c r="M165" i="2"/>
  <c r="D165" i="2"/>
  <c r="C165" i="2"/>
  <c r="G165" i="2"/>
  <c r="F165" i="2"/>
  <c r="K165" i="2"/>
  <c r="J165" i="2"/>
  <c r="I165" i="2"/>
  <c r="B166" i="2"/>
  <c r="H166" i="2"/>
  <c r="E166" i="2"/>
  <c r="A167" i="2"/>
  <c r="L167" i="2" s="1"/>
  <c r="C166" i="5" l="1"/>
  <c r="F166" i="5"/>
  <c r="D166" i="5"/>
  <c r="G166" i="5"/>
  <c r="M166" i="5"/>
  <c r="A168" i="5"/>
  <c r="L168" i="5" s="1"/>
  <c r="H167" i="5"/>
  <c r="I167" i="5" s="1"/>
  <c r="E167" i="5"/>
  <c r="B167" i="5"/>
  <c r="K166" i="5"/>
  <c r="J166" i="5"/>
  <c r="I166" i="5"/>
  <c r="K166" i="2"/>
  <c r="J166" i="2"/>
  <c r="A168" i="2"/>
  <c r="L168" i="2" s="1"/>
  <c r="B167" i="2"/>
  <c r="H167" i="2"/>
  <c r="E167" i="2"/>
  <c r="I166" i="2"/>
  <c r="C166" i="2"/>
  <c r="M166" i="2"/>
  <c r="G166" i="2"/>
  <c r="D166" i="2"/>
  <c r="F166" i="2"/>
  <c r="G167" i="5" l="1"/>
  <c r="F167" i="5"/>
  <c r="D167" i="5"/>
  <c r="C167" i="5"/>
  <c r="M167" i="5"/>
  <c r="K167" i="5"/>
  <c r="J167" i="5"/>
  <c r="A169" i="5"/>
  <c r="L169" i="5" s="1"/>
  <c r="H168" i="5"/>
  <c r="E168" i="5"/>
  <c r="B168" i="5"/>
  <c r="K167" i="2"/>
  <c r="J167" i="2"/>
  <c r="M167" i="2"/>
  <c r="C167" i="2"/>
  <c r="G167" i="2"/>
  <c r="F167" i="2"/>
  <c r="D167" i="2"/>
  <c r="B168" i="2"/>
  <c r="A169" i="2"/>
  <c r="L169" i="2" s="1"/>
  <c r="H168" i="2"/>
  <c r="E168" i="2"/>
  <c r="I167" i="2"/>
  <c r="C168" i="5" l="1"/>
  <c r="M168" i="5"/>
  <c r="G168" i="5"/>
  <c r="F168" i="5"/>
  <c r="D168" i="5"/>
  <c r="K168" i="5"/>
  <c r="J168" i="5"/>
  <c r="I168" i="5"/>
  <c r="A170" i="5"/>
  <c r="L170" i="5" s="1"/>
  <c r="B169" i="5"/>
  <c r="E169" i="5"/>
  <c r="H169" i="5"/>
  <c r="I169" i="5" s="1"/>
  <c r="J168" i="2"/>
  <c r="K168" i="2"/>
  <c r="C168" i="2"/>
  <c r="M168" i="2"/>
  <c r="F168" i="2"/>
  <c r="G168" i="2"/>
  <c r="D168" i="2"/>
  <c r="I168" i="2"/>
  <c r="A170" i="2"/>
  <c r="L170" i="2" s="1"/>
  <c r="E169" i="2"/>
  <c r="H169" i="2"/>
  <c r="B169" i="2"/>
  <c r="M169" i="5" l="1"/>
  <c r="C169" i="5"/>
  <c r="D169" i="5"/>
  <c r="G169" i="5"/>
  <c r="F169" i="5"/>
  <c r="A171" i="5"/>
  <c r="L171" i="5" s="1"/>
  <c r="H170" i="5"/>
  <c r="I170" i="5" s="1"/>
  <c r="E170" i="5"/>
  <c r="B170" i="5"/>
  <c r="K169" i="5"/>
  <c r="J169" i="5"/>
  <c r="K169" i="2"/>
  <c r="J169" i="2"/>
  <c r="B170" i="2"/>
  <c r="E170" i="2"/>
  <c r="A171" i="2"/>
  <c r="L171" i="2" s="1"/>
  <c r="H170" i="2"/>
  <c r="I170" i="2" s="1"/>
  <c r="M169" i="2"/>
  <c r="G169" i="2"/>
  <c r="F169" i="2"/>
  <c r="D169" i="2"/>
  <c r="C169" i="2"/>
  <c r="I169" i="2"/>
  <c r="C170" i="5" l="1"/>
  <c r="G170" i="5"/>
  <c r="F170" i="5"/>
  <c r="D170" i="5"/>
  <c r="M170" i="5"/>
  <c r="A172" i="5"/>
  <c r="L172" i="5" s="1"/>
  <c r="B171" i="5"/>
  <c r="H171" i="5"/>
  <c r="I171" i="5" s="1"/>
  <c r="E171" i="5"/>
  <c r="K170" i="5"/>
  <c r="J170" i="5"/>
  <c r="J170" i="2"/>
  <c r="K170" i="2"/>
  <c r="A172" i="2"/>
  <c r="L172" i="2" s="1"/>
  <c r="B171" i="2"/>
  <c r="H171" i="2"/>
  <c r="I171" i="2" s="1"/>
  <c r="E171" i="2"/>
  <c r="C170" i="2"/>
  <c r="M170" i="2"/>
  <c r="D170" i="2"/>
  <c r="G170" i="2"/>
  <c r="F170" i="2"/>
  <c r="D171" i="5" l="1"/>
  <c r="C171" i="5"/>
  <c r="M171" i="5"/>
  <c r="F171" i="5"/>
  <c r="G171" i="5"/>
  <c r="J171" i="5"/>
  <c r="K171" i="5"/>
  <c r="A173" i="5"/>
  <c r="L173" i="5" s="1"/>
  <c r="H172" i="5"/>
  <c r="I172" i="5" s="1"/>
  <c r="B172" i="5"/>
  <c r="E172" i="5"/>
  <c r="B172" i="2"/>
  <c r="H172" i="2"/>
  <c r="I172" i="2" s="1"/>
  <c r="A173" i="2"/>
  <c r="L173" i="2" s="1"/>
  <c r="E172" i="2"/>
  <c r="M171" i="2"/>
  <c r="C171" i="2"/>
  <c r="G171" i="2"/>
  <c r="F171" i="2"/>
  <c r="D171" i="2"/>
  <c r="K171" i="2"/>
  <c r="J171" i="2"/>
  <c r="C172" i="5" l="1"/>
  <c r="M172" i="5"/>
  <c r="D172" i="5"/>
  <c r="G172" i="5"/>
  <c r="F172" i="5"/>
  <c r="K172" i="5"/>
  <c r="J172" i="5"/>
  <c r="A174" i="5"/>
  <c r="L174" i="5" s="1"/>
  <c r="H173" i="5"/>
  <c r="I173" i="5" s="1"/>
  <c r="E173" i="5"/>
  <c r="B173" i="5"/>
  <c r="A174" i="2"/>
  <c r="L174" i="2" s="1"/>
  <c r="H173" i="2"/>
  <c r="I173" i="2" s="1"/>
  <c r="E173" i="2"/>
  <c r="B173" i="2"/>
  <c r="J172" i="2"/>
  <c r="K172" i="2"/>
  <c r="C172" i="2"/>
  <c r="G172" i="2"/>
  <c r="D172" i="2"/>
  <c r="M172" i="2"/>
  <c r="F172" i="2"/>
  <c r="G173" i="5" l="1"/>
  <c r="F173" i="5"/>
  <c r="M173" i="5"/>
  <c r="D173" i="5"/>
  <c r="C173" i="5"/>
  <c r="B174" i="5"/>
  <c r="E174" i="5"/>
  <c r="H174" i="5"/>
  <c r="A175" i="5"/>
  <c r="L175" i="5" s="1"/>
  <c r="K173" i="5"/>
  <c r="J173" i="5"/>
  <c r="M173" i="2"/>
  <c r="G173" i="2"/>
  <c r="D173" i="2"/>
  <c r="F173" i="2"/>
  <c r="C173" i="2"/>
  <c r="K173" i="2"/>
  <c r="J173" i="2"/>
  <c r="B174" i="2"/>
  <c r="H174" i="2"/>
  <c r="A175" i="2"/>
  <c r="L175" i="2" s="1"/>
  <c r="E174" i="2"/>
  <c r="K174" i="5" l="1"/>
  <c r="J174" i="5"/>
  <c r="A176" i="5"/>
  <c r="L176" i="5" s="1"/>
  <c r="H175" i="5"/>
  <c r="E175" i="5"/>
  <c r="B175" i="5"/>
  <c r="C174" i="5"/>
  <c r="D174" i="5"/>
  <c r="G174" i="5"/>
  <c r="F174" i="5"/>
  <c r="M174" i="5"/>
  <c r="I174" i="5"/>
  <c r="K174" i="2"/>
  <c r="J174" i="2"/>
  <c r="A176" i="2"/>
  <c r="L176" i="2" s="1"/>
  <c r="E175" i="2"/>
  <c r="B175" i="2"/>
  <c r="H175" i="2"/>
  <c r="I174" i="2"/>
  <c r="C174" i="2"/>
  <c r="D174" i="2"/>
  <c r="M174" i="2"/>
  <c r="G174" i="2"/>
  <c r="F174" i="2"/>
  <c r="K175" i="5" l="1"/>
  <c r="J175" i="5"/>
  <c r="E176" i="5"/>
  <c r="H176" i="5"/>
  <c r="I176" i="5" s="1"/>
  <c r="A177" i="5"/>
  <c r="L177" i="5" s="1"/>
  <c r="B176" i="5"/>
  <c r="M175" i="5"/>
  <c r="G175" i="5"/>
  <c r="F175" i="5"/>
  <c r="D175" i="5"/>
  <c r="C175" i="5"/>
  <c r="I175" i="5"/>
  <c r="K175" i="2"/>
  <c r="J175" i="2"/>
  <c r="M175" i="2"/>
  <c r="C175" i="2"/>
  <c r="F175" i="2"/>
  <c r="D175" i="2"/>
  <c r="G175" i="2"/>
  <c r="I175" i="2"/>
  <c r="B176" i="2"/>
  <c r="A177" i="2"/>
  <c r="L177" i="2" s="1"/>
  <c r="E176" i="2"/>
  <c r="H176" i="2"/>
  <c r="I176" i="2" s="1"/>
  <c r="C176" i="5" l="1"/>
  <c r="F176" i="5"/>
  <c r="M176" i="5"/>
  <c r="G176" i="5"/>
  <c r="D176" i="5"/>
  <c r="A178" i="5"/>
  <c r="L178" i="5" s="1"/>
  <c r="E177" i="5"/>
  <c r="B177" i="5"/>
  <c r="H177" i="5"/>
  <c r="I177" i="5" s="1"/>
  <c r="K176" i="5"/>
  <c r="J176" i="5"/>
  <c r="A178" i="2"/>
  <c r="L178" i="2" s="1"/>
  <c r="H177" i="2"/>
  <c r="I177" i="2" s="1"/>
  <c r="B177" i="2"/>
  <c r="E177" i="2"/>
  <c r="C176" i="2"/>
  <c r="F176" i="2"/>
  <c r="D176" i="2"/>
  <c r="M176" i="2"/>
  <c r="G176" i="2"/>
  <c r="K176" i="2"/>
  <c r="J176" i="2"/>
  <c r="J177" i="5" l="1"/>
  <c r="K177" i="5"/>
  <c r="H178" i="5"/>
  <c r="I178" i="5" s="1"/>
  <c r="E178" i="5"/>
  <c r="B178" i="5"/>
  <c r="A179" i="5"/>
  <c r="L179" i="5" s="1"/>
  <c r="M177" i="5"/>
  <c r="D177" i="5"/>
  <c r="G177" i="5"/>
  <c r="F177" i="5"/>
  <c r="C177" i="5"/>
  <c r="K177" i="2"/>
  <c r="J177" i="2"/>
  <c r="M177" i="2"/>
  <c r="G177" i="2"/>
  <c r="D177" i="2"/>
  <c r="C177" i="2"/>
  <c r="F177" i="2"/>
  <c r="B178" i="2"/>
  <c r="A179" i="2"/>
  <c r="L179" i="2" s="1"/>
  <c r="H178" i="2"/>
  <c r="I178" i="2" s="1"/>
  <c r="E178" i="2"/>
  <c r="A180" i="5" l="1"/>
  <c r="L180" i="5" s="1"/>
  <c r="E179" i="5"/>
  <c r="H179" i="5"/>
  <c r="B179" i="5"/>
  <c r="C178" i="5"/>
  <c r="G178" i="5"/>
  <c r="M178" i="5"/>
  <c r="F178" i="5"/>
  <c r="D178" i="5"/>
  <c r="K178" i="5"/>
  <c r="J178" i="5"/>
  <c r="C178" i="2"/>
  <c r="G178" i="2"/>
  <c r="F178" i="2"/>
  <c r="D178" i="2"/>
  <c r="M178" i="2"/>
  <c r="J178" i="2"/>
  <c r="K178" i="2"/>
  <c r="A180" i="2"/>
  <c r="L180" i="2" s="1"/>
  <c r="H179" i="2"/>
  <c r="E179" i="2"/>
  <c r="B179" i="2"/>
  <c r="K179" i="5" l="1"/>
  <c r="J179" i="5"/>
  <c r="M179" i="5"/>
  <c r="G179" i="5"/>
  <c r="F179" i="5"/>
  <c r="D179" i="5"/>
  <c r="C179" i="5"/>
  <c r="I179" i="5"/>
  <c r="E180" i="5"/>
  <c r="B180" i="5"/>
  <c r="A181" i="5"/>
  <c r="L181" i="5" s="1"/>
  <c r="H180" i="5"/>
  <c r="I180" i="5" s="1"/>
  <c r="M179" i="2"/>
  <c r="D179" i="2"/>
  <c r="C179" i="2"/>
  <c r="G179" i="2"/>
  <c r="F179" i="2"/>
  <c r="K179" i="2"/>
  <c r="J179" i="2"/>
  <c r="I179" i="2"/>
  <c r="B180" i="2"/>
  <c r="H180" i="2"/>
  <c r="E180" i="2"/>
  <c r="A181" i="2"/>
  <c r="L181" i="2" s="1"/>
  <c r="C180" i="5" l="1"/>
  <c r="F180" i="5"/>
  <c r="D180" i="5"/>
  <c r="M180" i="5"/>
  <c r="G180" i="5"/>
  <c r="J180" i="5"/>
  <c r="K180" i="5"/>
  <c r="A182" i="5"/>
  <c r="L182" i="5" s="1"/>
  <c r="H181" i="5"/>
  <c r="I181" i="5" s="1"/>
  <c r="E181" i="5"/>
  <c r="B181" i="5"/>
  <c r="A182" i="2"/>
  <c r="L182" i="2" s="1"/>
  <c r="H181" i="2"/>
  <c r="E181" i="2"/>
  <c r="B181" i="2"/>
  <c r="K180" i="2"/>
  <c r="J180" i="2"/>
  <c r="C180" i="2"/>
  <c r="D180" i="2"/>
  <c r="G180" i="2"/>
  <c r="F180" i="2"/>
  <c r="M180" i="2"/>
  <c r="I180" i="2"/>
  <c r="M181" i="5" l="1"/>
  <c r="G181" i="5"/>
  <c r="F181" i="5"/>
  <c r="D181" i="5"/>
  <c r="C181" i="5"/>
  <c r="K181" i="5"/>
  <c r="J181" i="5"/>
  <c r="H182" i="5"/>
  <c r="I182" i="5" s="1"/>
  <c r="A183" i="5"/>
  <c r="L183" i="5" s="1"/>
  <c r="E182" i="5"/>
  <c r="B182" i="5"/>
  <c r="K181" i="2"/>
  <c r="J181" i="2"/>
  <c r="M181" i="2"/>
  <c r="G181" i="2"/>
  <c r="F181" i="2"/>
  <c r="D181" i="2"/>
  <c r="C181" i="2"/>
  <c r="I181" i="2"/>
  <c r="B182" i="2"/>
  <c r="A183" i="2"/>
  <c r="L183" i="2" s="1"/>
  <c r="H182" i="2"/>
  <c r="E182" i="2"/>
  <c r="A184" i="5" l="1"/>
  <c r="L184" i="5" s="1"/>
  <c r="H183" i="5"/>
  <c r="B183" i="5"/>
  <c r="E183" i="5"/>
  <c r="C182" i="5"/>
  <c r="G182" i="5"/>
  <c r="M182" i="5"/>
  <c r="F182" i="5"/>
  <c r="D182" i="5"/>
  <c r="K182" i="5"/>
  <c r="J182" i="5"/>
  <c r="K182" i="2"/>
  <c r="J182" i="2"/>
  <c r="A184" i="2"/>
  <c r="L184" i="2" s="1"/>
  <c r="B183" i="2"/>
  <c r="H183" i="2"/>
  <c r="I183" i="2" s="1"/>
  <c r="E183" i="2"/>
  <c r="C182" i="2"/>
  <c r="M182" i="2"/>
  <c r="G182" i="2"/>
  <c r="F182" i="2"/>
  <c r="D182" i="2"/>
  <c r="I182" i="2"/>
  <c r="K183" i="5" l="1"/>
  <c r="J183" i="5"/>
  <c r="M183" i="5"/>
  <c r="G183" i="5"/>
  <c r="F183" i="5"/>
  <c r="D183" i="5"/>
  <c r="C183" i="5"/>
  <c r="I183" i="5"/>
  <c r="E184" i="5"/>
  <c r="B184" i="5"/>
  <c r="H184" i="5"/>
  <c r="I184" i="5" s="1"/>
  <c r="A185" i="5"/>
  <c r="L185" i="5" s="1"/>
  <c r="K183" i="2"/>
  <c r="J183" i="2"/>
  <c r="M183" i="2"/>
  <c r="C183" i="2"/>
  <c r="G183" i="2"/>
  <c r="F183" i="2"/>
  <c r="D183" i="2"/>
  <c r="B184" i="2"/>
  <c r="A185" i="2"/>
  <c r="L185" i="2" s="1"/>
  <c r="E184" i="2"/>
  <c r="H184" i="2"/>
  <c r="I184" i="2" s="1"/>
  <c r="A186" i="5" l="1"/>
  <c r="L186" i="5" s="1"/>
  <c r="H185" i="5"/>
  <c r="I185" i="5" s="1"/>
  <c r="E185" i="5"/>
  <c r="B185" i="5"/>
  <c r="C184" i="5"/>
  <c r="M184" i="5"/>
  <c r="G184" i="5"/>
  <c r="D184" i="5"/>
  <c r="F184" i="5"/>
  <c r="K184" i="5"/>
  <c r="J184" i="5"/>
  <c r="K184" i="2"/>
  <c r="J184" i="2"/>
  <c r="A186" i="2"/>
  <c r="L186" i="2" s="1"/>
  <c r="E185" i="2"/>
  <c r="B185" i="2"/>
  <c r="H185" i="2"/>
  <c r="I185" i="2" s="1"/>
  <c r="C184" i="2"/>
  <c r="M184" i="2"/>
  <c r="G184" i="2"/>
  <c r="F184" i="2"/>
  <c r="D184" i="2"/>
  <c r="G185" i="5" l="1"/>
  <c r="F185" i="5"/>
  <c r="M185" i="5"/>
  <c r="D185" i="5"/>
  <c r="C185" i="5"/>
  <c r="K185" i="5"/>
  <c r="J185" i="5"/>
  <c r="A187" i="5"/>
  <c r="L187" i="5" s="1"/>
  <c r="H186" i="5"/>
  <c r="E186" i="5"/>
  <c r="B186" i="5"/>
  <c r="M185" i="2"/>
  <c r="F185" i="2"/>
  <c r="G185" i="2"/>
  <c r="D185" i="2"/>
  <c r="C185" i="2"/>
  <c r="J185" i="2"/>
  <c r="K185" i="2"/>
  <c r="B186" i="2"/>
  <c r="H186" i="2"/>
  <c r="E186" i="2"/>
  <c r="A187" i="2"/>
  <c r="L187" i="2" s="1"/>
  <c r="J186" i="5" l="1"/>
  <c r="K186" i="5"/>
  <c r="C186" i="5"/>
  <c r="M186" i="5"/>
  <c r="G186" i="5"/>
  <c r="F186" i="5"/>
  <c r="D186" i="5"/>
  <c r="I186" i="5"/>
  <c r="A188" i="5"/>
  <c r="L188" i="5" s="1"/>
  <c r="B187" i="5"/>
  <c r="E187" i="5"/>
  <c r="H187" i="5"/>
  <c r="A188" i="2"/>
  <c r="L188" i="2" s="1"/>
  <c r="H187" i="2"/>
  <c r="I187" i="2" s="1"/>
  <c r="E187" i="2"/>
  <c r="B187" i="2"/>
  <c r="K186" i="2"/>
  <c r="J186" i="2"/>
  <c r="I186" i="2"/>
  <c r="C186" i="2"/>
  <c r="G186" i="2"/>
  <c r="F186" i="2"/>
  <c r="D186" i="2"/>
  <c r="M186" i="2"/>
  <c r="J187" i="5" l="1"/>
  <c r="K187" i="5"/>
  <c r="D187" i="5"/>
  <c r="C187" i="5"/>
  <c r="F187" i="5"/>
  <c r="G187" i="5"/>
  <c r="M187" i="5"/>
  <c r="A189" i="5"/>
  <c r="L189" i="5" s="1"/>
  <c r="E188" i="5"/>
  <c r="B188" i="5"/>
  <c r="H188" i="5"/>
  <c r="I188" i="5" s="1"/>
  <c r="I187" i="5"/>
  <c r="M187" i="2"/>
  <c r="G187" i="2"/>
  <c r="F187" i="2"/>
  <c r="D187" i="2"/>
  <c r="C187" i="2"/>
  <c r="K187" i="2"/>
  <c r="J187" i="2"/>
  <c r="B188" i="2"/>
  <c r="E188" i="2"/>
  <c r="A189" i="2"/>
  <c r="L189" i="2" s="1"/>
  <c r="H188" i="2"/>
  <c r="C188" i="5" l="1"/>
  <c r="G188" i="5"/>
  <c r="F188" i="5"/>
  <c r="D188" i="5"/>
  <c r="M188" i="5"/>
  <c r="K188" i="5"/>
  <c r="J188" i="5"/>
  <c r="A190" i="5"/>
  <c r="L190" i="5" s="1"/>
  <c r="B189" i="5"/>
  <c r="H189" i="5"/>
  <c r="I189" i="5" s="1"/>
  <c r="E189" i="5"/>
  <c r="A190" i="2"/>
  <c r="L190" i="2" s="1"/>
  <c r="H189" i="2"/>
  <c r="E189" i="2"/>
  <c r="B189" i="2"/>
  <c r="K188" i="2"/>
  <c r="J188" i="2"/>
  <c r="I188" i="2"/>
  <c r="C188" i="2"/>
  <c r="D188" i="2"/>
  <c r="M188" i="2"/>
  <c r="F188" i="2"/>
  <c r="G188" i="2"/>
  <c r="G189" i="5" l="1"/>
  <c r="F189" i="5"/>
  <c r="M189" i="5"/>
  <c r="D189" i="5"/>
  <c r="C189" i="5"/>
  <c r="K189" i="5"/>
  <c r="J189" i="5"/>
  <c r="A191" i="5"/>
  <c r="L191" i="5" s="1"/>
  <c r="H190" i="5"/>
  <c r="I190" i="5" s="1"/>
  <c r="E190" i="5"/>
  <c r="B190" i="5"/>
  <c r="K189" i="2"/>
  <c r="J189" i="2"/>
  <c r="M189" i="2"/>
  <c r="G189" i="2"/>
  <c r="F189" i="2"/>
  <c r="D189" i="2"/>
  <c r="C189" i="2"/>
  <c r="I189" i="2"/>
  <c r="B190" i="2"/>
  <c r="E190" i="2"/>
  <c r="H190" i="2"/>
  <c r="A191" i="2"/>
  <c r="L191" i="2" s="1"/>
  <c r="C190" i="5" l="1"/>
  <c r="M190" i="5"/>
  <c r="G190" i="5"/>
  <c r="F190" i="5"/>
  <c r="D190" i="5"/>
  <c r="K190" i="5"/>
  <c r="J190" i="5"/>
  <c r="A192" i="5"/>
  <c r="L192" i="5" s="1"/>
  <c r="H191" i="5"/>
  <c r="I191" i="5" s="1"/>
  <c r="E191" i="5"/>
  <c r="B191" i="5"/>
  <c r="C190" i="2"/>
  <c r="D190" i="2"/>
  <c r="M190" i="2"/>
  <c r="G190" i="2"/>
  <c r="F190" i="2"/>
  <c r="J190" i="2"/>
  <c r="K190" i="2"/>
  <c r="A192" i="2"/>
  <c r="L192" i="2" s="1"/>
  <c r="H191" i="2"/>
  <c r="I191" i="2" s="1"/>
  <c r="E191" i="2"/>
  <c r="B191" i="2"/>
  <c r="I190" i="2"/>
  <c r="D191" i="5" l="1"/>
  <c r="C191" i="5"/>
  <c r="M191" i="5"/>
  <c r="G191" i="5"/>
  <c r="F191" i="5"/>
  <c r="H192" i="5"/>
  <c r="E192" i="5"/>
  <c r="B192" i="5"/>
  <c r="A193" i="5"/>
  <c r="L193" i="5" s="1"/>
  <c r="K191" i="5"/>
  <c r="J191" i="5"/>
  <c r="M191" i="2"/>
  <c r="G191" i="2"/>
  <c r="F191" i="2"/>
  <c r="D191" i="2"/>
  <c r="C191" i="2"/>
  <c r="J191" i="2"/>
  <c r="K191" i="2"/>
  <c r="B192" i="2"/>
  <c r="A193" i="2"/>
  <c r="L193" i="2" s="1"/>
  <c r="H192" i="2"/>
  <c r="I192" i="2" s="1"/>
  <c r="E192" i="2"/>
  <c r="C192" i="5" l="1"/>
  <c r="G192" i="5"/>
  <c r="F192" i="5"/>
  <c r="D192" i="5"/>
  <c r="M192" i="5"/>
  <c r="K192" i="5"/>
  <c r="J192" i="5"/>
  <c r="A194" i="5"/>
  <c r="L194" i="5" s="1"/>
  <c r="E193" i="5"/>
  <c r="H193" i="5"/>
  <c r="B193" i="5"/>
  <c r="I192" i="5"/>
  <c r="C192" i="2"/>
  <c r="F192" i="2"/>
  <c r="M192" i="2"/>
  <c r="G192" i="2"/>
  <c r="D192" i="2"/>
  <c r="J192" i="2"/>
  <c r="K192" i="2"/>
  <c r="A194" i="2"/>
  <c r="L194" i="2" s="1"/>
  <c r="E193" i="2"/>
  <c r="H193" i="2"/>
  <c r="B193" i="2"/>
  <c r="F193" i="5" l="1"/>
  <c r="M193" i="5"/>
  <c r="G193" i="5"/>
  <c r="D193" i="5"/>
  <c r="C193" i="5"/>
  <c r="K193" i="5"/>
  <c r="J193" i="5"/>
  <c r="I193" i="5"/>
  <c r="A195" i="5"/>
  <c r="L195" i="5" s="1"/>
  <c r="B194" i="5"/>
  <c r="E194" i="5"/>
  <c r="H194" i="5"/>
  <c r="I194" i="5" s="1"/>
  <c r="J193" i="2"/>
  <c r="K193" i="2"/>
  <c r="I193" i="2"/>
  <c r="M193" i="2"/>
  <c r="D193" i="2"/>
  <c r="G193" i="2"/>
  <c r="F193" i="2"/>
  <c r="C193" i="2"/>
  <c r="B194" i="2"/>
  <c r="H194" i="2"/>
  <c r="I194" i="2" s="1"/>
  <c r="E194" i="2"/>
  <c r="A195" i="2"/>
  <c r="L195" i="2" s="1"/>
  <c r="J194" i="5" l="1"/>
  <c r="K194" i="5"/>
  <c r="C194" i="5"/>
  <c r="M194" i="5"/>
  <c r="F194" i="5"/>
  <c r="D194" i="5"/>
  <c r="G194" i="5"/>
  <c r="A196" i="5"/>
  <c r="L196" i="5" s="1"/>
  <c r="H195" i="5"/>
  <c r="I195" i="5" s="1"/>
  <c r="E195" i="5"/>
  <c r="B195" i="5"/>
  <c r="C194" i="2"/>
  <c r="G194" i="2"/>
  <c r="F194" i="2"/>
  <c r="D194" i="2"/>
  <c r="M194" i="2"/>
  <c r="A196" i="2"/>
  <c r="L196" i="2" s="1"/>
  <c r="H195" i="2"/>
  <c r="I195" i="2" s="1"/>
  <c r="E195" i="2"/>
  <c r="B195" i="2"/>
  <c r="K194" i="2"/>
  <c r="J194" i="2"/>
  <c r="G195" i="5" l="1"/>
  <c r="F195" i="5"/>
  <c r="D195" i="5"/>
  <c r="C195" i="5"/>
  <c r="M195" i="5"/>
  <c r="K195" i="5"/>
  <c r="J195" i="5"/>
  <c r="E196" i="5"/>
  <c r="B196" i="5"/>
  <c r="H196" i="5"/>
  <c r="A197" i="5"/>
  <c r="L197" i="5" s="1"/>
  <c r="M195" i="2"/>
  <c r="G195" i="2"/>
  <c r="F195" i="2"/>
  <c r="D195" i="2"/>
  <c r="C195" i="2"/>
  <c r="K195" i="2"/>
  <c r="J195" i="2"/>
  <c r="B196" i="2"/>
  <c r="H196" i="2"/>
  <c r="I196" i="2" s="1"/>
  <c r="A197" i="2"/>
  <c r="L197" i="2" s="1"/>
  <c r="E196" i="2"/>
  <c r="K196" i="5" l="1"/>
  <c r="J196" i="5"/>
  <c r="A198" i="5"/>
  <c r="L198" i="5" s="1"/>
  <c r="B197" i="5"/>
  <c r="H197" i="5"/>
  <c r="E197" i="5"/>
  <c r="I196" i="5"/>
  <c r="C196" i="5"/>
  <c r="F196" i="5"/>
  <c r="D196" i="5"/>
  <c r="M196" i="5"/>
  <c r="G196" i="5"/>
  <c r="K196" i="2"/>
  <c r="J196" i="2"/>
  <c r="A198" i="2"/>
  <c r="L198" i="2" s="1"/>
  <c r="E197" i="2"/>
  <c r="B197" i="2"/>
  <c r="H197" i="2"/>
  <c r="C196" i="2"/>
  <c r="M196" i="2"/>
  <c r="F196" i="2"/>
  <c r="D196" i="2"/>
  <c r="G196" i="2"/>
  <c r="J197" i="5" l="1"/>
  <c r="K197" i="5"/>
  <c r="G197" i="5"/>
  <c r="M197" i="5"/>
  <c r="F197" i="5"/>
  <c r="C197" i="5"/>
  <c r="D197" i="5"/>
  <c r="I197" i="5"/>
  <c r="H198" i="5"/>
  <c r="B198" i="5"/>
  <c r="A199" i="5"/>
  <c r="L199" i="5" s="1"/>
  <c r="E198" i="5"/>
  <c r="K197" i="2"/>
  <c r="J197" i="2"/>
  <c r="I197" i="2"/>
  <c r="B198" i="2"/>
  <c r="E198" i="2"/>
  <c r="A199" i="2"/>
  <c r="L199" i="2" s="1"/>
  <c r="H198" i="2"/>
  <c r="M197" i="2"/>
  <c r="D197" i="2"/>
  <c r="C197" i="2"/>
  <c r="G197" i="2"/>
  <c r="F197" i="2"/>
  <c r="A200" i="5" l="1"/>
  <c r="L200" i="5" s="1"/>
  <c r="E199" i="5"/>
  <c r="B199" i="5"/>
  <c r="H199" i="5"/>
  <c r="C198" i="5"/>
  <c r="G198" i="5"/>
  <c r="D198" i="5"/>
  <c r="M198" i="5"/>
  <c r="F198" i="5"/>
  <c r="J198" i="5"/>
  <c r="K198" i="5"/>
  <c r="I198" i="5"/>
  <c r="J198" i="2"/>
  <c r="K198" i="2"/>
  <c r="A200" i="2"/>
  <c r="L200" i="2" s="1"/>
  <c r="H199" i="2"/>
  <c r="E199" i="2"/>
  <c r="B199" i="2"/>
  <c r="I198" i="2"/>
  <c r="C198" i="2"/>
  <c r="F198" i="2"/>
  <c r="D198" i="2"/>
  <c r="M198" i="2"/>
  <c r="G198" i="2"/>
  <c r="K199" i="5" l="1"/>
  <c r="J199" i="5"/>
  <c r="I199" i="5"/>
  <c r="G199" i="5"/>
  <c r="F199" i="5"/>
  <c r="D199" i="5"/>
  <c r="C199" i="5"/>
  <c r="M199" i="5"/>
  <c r="B200" i="5"/>
  <c r="A201" i="5"/>
  <c r="L201" i="5" s="1"/>
  <c r="H200" i="5"/>
  <c r="E200" i="5"/>
  <c r="M199" i="2"/>
  <c r="F199" i="2"/>
  <c r="C199" i="2"/>
  <c r="D199" i="2"/>
  <c r="G199" i="2"/>
  <c r="J199" i="2"/>
  <c r="K199" i="2"/>
  <c r="I199" i="2"/>
  <c r="B200" i="2"/>
  <c r="A201" i="2"/>
  <c r="L201" i="2" s="1"/>
  <c r="H200" i="2"/>
  <c r="I200" i="2" s="1"/>
  <c r="E200" i="2"/>
  <c r="K200" i="5" l="1"/>
  <c r="J200" i="5"/>
  <c r="C200" i="5"/>
  <c r="M200" i="5"/>
  <c r="G200" i="5"/>
  <c r="F200" i="5"/>
  <c r="D200" i="5"/>
  <c r="I200" i="5"/>
  <c r="A202" i="5"/>
  <c r="L202" i="5" s="1"/>
  <c r="B201" i="5"/>
  <c r="H201" i="5"/>
  <c r="E201" i="5"/>
  <c r="A202" i="2"/>
  <c r="L202" i="2" s="1"/>
  <c r="B201" i="2"/>
  <c r="H201" i="2"/>
  <c r="E201" i="2"/>
  <c r="C200" i="2"/>
  <c r="M200" i="2"/>
  <c r="G200" i="2"/>
  <c r="F200" i="2"/>
  <c r="D200" i="2"/>
  <c r="K200" i="2"/>
  <c r="J200" i="2"/>
  <c r="K201" i="5" l="1"/>
  <c r="J201" i="5"/>
  <c r="M201" i="5"/>
  <c r="C201" i="5"/>
  <c r="G201" i="5"/>
  <c r="F201" i="5"/>
  <c r="D201" i="5"/>
  <c r="I201" i="5"/>
  <c r="A203" i="5"/>
  <c r="L203" i="5" s="1"/>
  <c r="E202" i="5"/>
  <c r="B202" i="5"/>
  <c r="H202" i="5"/>
  <c r="J201" i="2"/>
  <c r="K201" i="2"/>
  <c r="I201" i="2"/>
  <c r="M201" i="2"/>
  <c r="G201" i="2"/>
  <c r="F201" i="2"/>
  <c r="D201" i="2"/>
  <c r="C201" i="2"/>
  <c r="B202" i="2"/>
  <c r="A203" i="2"/>
  <c r="L203" i="2" s="1"/>
  <c r="E202" i="2"/>
  <c r="H202" i="2"/>
  <c r="K202" i="5" l="1"/>
  <c r="J202" i="5"/>
  <c r="I202" i="5"/>
  <c r="C202" i="5"/>
  <c r="F202" i="5"/>
  <c r="D202" i="5"/>
  <c r="M202" i="5"/>
  <c r="G202" i="5"/>
  <c r="A204" i="5"/>
  <c r="L204" i="5" s="1"/>
  <c r="B203" i="5"/>
  <c r="H203" i="5"/>
  <c r="E203" i="5"/>
  <c r="J202" i="2"/>
  <c r="K202" i="2"/>
  <c r="A204" i="2"/>
  <c r="L204" i="2" s="1"/>
  <c r="E203" i="2"/>
  <c r="B203" i="2"/>
  <c r="H203" i="2"/>
  <c r="I202" i="2"/>
  <c r="C202" i="2"/>
  <c r="F202" i="2"/>
  <c r="D202" i="2"/>
  <c r="M202" i="2"/>
  <c r="G202" i="2"/>
  <c r="K203" i="5" l="1"/>
  <c r="J203" i="5"/>
  <c r="G203" i="5"/>
  <c r="F203" i="5"/>
  <c r="D203" i="5"/>
  <c r="C203" i="5"/>
  <c r="M203" i="5"/>
  <c r="I203" i="5"/>
  <c r="H204" i="5"/>
  <c r="E204" i="5"/>
  <c r="B204" i="5"/>
  <c r="J203" i="2"/>
  <c r="K203" i="2"/>
  <c r="I203" i="2"/>
  <c r="M203" i="2"/>
  <c r="F203" i="2"/>
  <c r="D203" i="2"/>
  <c r="C203" i="2"/>
  <c r="G203" i="2"/>
  <c r="B204" i="2"/>
  <c r="H204" i="2"/>
  <c r="E204" i="2"/>
  <c r="C204" i="5" l="1"/>
  <c r="M204" i="5"/>
  <c r="G204" i="5"/>
  <c r="F204" i="5"/>
  <c r="D204" i="5"/>
  <c r="K204" i="5"/>
  <c r="J204" i="5"/>
  <c r="I204" i="5"/>
  <c r="C204" i="2"/>
  <c r="G204" i="2"/>
  <c r="D204" i="2"/>
  <c r="F204" i="2"/>
  <c r="M204" i="2"/>
  <c r="J204" i="2"/>
  <c r="K204" i="2"/>
  <c r="I204" i="2"/>
  <c r="W1" i="4" l="1" a="1"/>
  <c r="W1" i="4" s="1"/>
  <c r="A15" i="4" s="1"/>
  <c r="W1" i="3" a="1"/>
  <c r="W1" i="3" s="1"/>
  <c r="A15" i="3" s="1"/>
  <c r="E15" i="3" l="1"/>
  <c r="H15" i="3"/>
  <c r="A16" i="3"/>
  <c r="I15" i="3"/>
  <c r="B15" i="3"/>
  <c r="H15" i="4"/>
  <c r="I15" i="4"/>
  <c r="B15" i="4"/>
  <c r="A16" i="4"/>
  <c r="E15" i="4"/>
  <c r="H16" i="4" l="1"/>
  <c r="B16" i="4"/>
  <c r="E16" i="4"/>
  <c r="I16" i="4"/>
  <c r="A17" i="4"/>
  <c r="F15" i="4"/>
  <c r="G15" i="4"/>
  <c r="C15" i="4"/>
  <c r="J15" i="4"/>
  <c r="K15" i="4" s="1"/>
  <c r="C15" i="3"/>
  <c r="F15" i="3"/>
  <c r="G15" i="3"/>
  <c r="E16" i="3"/>
  <c r="I16" i="3"/>
  <c r="B16" i="3"/>
  <c r="A17" i="3"/>
  <c r="H16" i="3"/>
  <c r="J15" i="3"/>
  <c r="K15" i="3" s="1"/>
  <c r="M15" i="4" l="1"/>
  <c r="M15" i="3"/>
  <c r="H17" i="3"/>
  <c r="E17" i="3"/>
  <c r="I17" i="3"/>
  <c r="B17" i="3"/>
  <c r="A18" i="3"/>
  <c r="J16" i="3"/>
  <c r="K16" i="3" s="1"/>
  <c r="G16" i="3"/>
  <c r="F16" i="3"/>
  <c r="C16" i="3"/>
  <c r="H17" i="4"/>
  <c r="I17" i="4"/>
  <c r="E17" i="4"/>
  <c r="B17" i="4"/>
  <c r="A18" i="4"/>
  <c r="F16" i="4"/>
  <c r="C16" i="4"/>
  <c r="G16" i="4"/>
  <c r="J16" i="4"/>
  <c r="K16" i="4" s="1"/>
  <c r="M16" i="4" l="1"/>
  <c r="M16" i="3"/>
  <c r="F17" i="4"/>
  <c r="G17" i="4"/>
  <c r="C17" i="4"/>
  <c r="H18" i="4"/>
  <c r="I18" i="4"/>
  <c r="E18" i="4"/>
  <c r="A19" i="4"/>
  <c r="B18" i="4"/>
  <c r="J17" i="4"/>
  <c r="K17" i="4" s="1"/>
  <c r="H18" i="3"/>
  <c r="I18" i="3"/>
  <c r="E18" i="3"/>
  <c r="B18" i="3"/>
  <c r="A19" i="3"/>
  <c r="C17" i="3"/>
  <c r="G17" i="3"/>
  <c r="F17" i="3"/>
  <c r="J17" i="3"/>
  <c r="K17" i="3" s="1"/>
  <c r="M17" i="3" l="1"/>
  <c r="M17" i="4"/>
  <c r="J18" i="3"/>
  <c r="K18" i="3" s="1"/>
  <c r="G18" i="3"/>
  <c r="F18" i="3"/>
  <c r="C18" i="3"/>
  <c r="F18" i="4"/>
  <c r="G18" i="4"/>
  <c r="C18" i="4"/>
  <c r="B19" i="4"/>
  <c r="I19" i="4"/>
  <c r="H19" i="4"/>
  <c r="E19" i="4"/>
  <c r="A20" i="4"/>
  <c r="I19" i="3"/>
  <c r="E19" i="3"/>
  <c r="H19" i="3"/>
  <c r="B19" i="3"/>
  <c r="A20" i="3"/>
  <c r="J18" i="4"/>
  <c r="K18" i="4" s="1"/>
  <c r="M18" i="4" l="1"/>
  <c r="M18" i="3"/>
  <c r="F19" i="3"/>
  <c r="C19" i="3"/>
  <c r="G19" i="3"/>
  <c r="J19" i="3"/>
  <c r="K19" i="3" s="1"/>
  <c r="B20" i="4"/>
  <c r="H20" i="4"/>
  <c r="I20" i="4"/>
  <c r="E20" i="4"/>
  <c r="A21" i="4"/>
  <c r="I20" i="3"/>
  <c r="E20" i="3"/>
  <c r="B20" i="3"/>
  <c r="H20" i="3"/>
  <c r="A21" i="3"/>
  <c r="G19" i="4"/>
  <c r="F19" i="4"/>
  <c r="C19" i="4"/>
  <c r="J19" i="4"/>
  <c r="K19" i="4" s="1"/>
  <c r="M19" i="3" l="1"/>
  <c r="M19" i="4"/>
  <c r="J20" i="3"/>
  <c r="K20" i="3" s="1"/>
  <c r="H21" i="4"/>
  <c r="E21" i="4"/>
  <c r="I21" i="4"/>
  <c r="B21" i="4"/>
  <c r="A22" i="4"/>
  <c r="B21" i="3"/>
  <c r="H21" i="3"/>
  <c r="A22" i="3"/>
  <c r="I21" i="3"/>
  <c r="E21" i="3"/>
  <c r="J20" i="4"/>
  <c r="K20" i="4" s="1"/>
  <c r="G20" i="3"/>
  <c r="F20" i="3"/>
  <c r="C20" i="3"/>
  <c r="G20" i="4"/>
  <c r="F20" i="4"/>
  <c r="C20" i="4"/>
  <c r="M20" i="3" l="1"/>
  <c r="M20" i="4"/>
  <c r="J21" i="3"/>
  <c r="K21" i="3" s="1"/>
  <c r="E22" i="3"/>
  <c r="I22" i="3"/>
  <c r="H22" i="3"/>
  <c r="B22" i="3"/>
  <c r="A23" i="3"/>
  <c r="I22" i="4"/>
  <c r="H22" i="4"/>
  <c r="E22" i="4"/>
  <c r="B22" i="4"/>
  <c r="A23" i="4"/>
  <c r="F21" i="4"/>
  <c r="C21" i="4"/>
  <c r="G21" i="4"/>
  <c r="G21" i="3"/>
  <c r="C21" i="3"/>
  <c r="F21" i="3"/>
  <c r="J21" i="4"/>
  <c r="K21" i="4" s="1"/>
  <c r="M21" i="3" l="1"/>
  <c r="M21" i="4"/>
  <c r="C22" i="4"/>
  <c r="G22" i="4"/>
  <c r="F22" i="4"/>
  <c r="B23" i="3"/>
  <c r="E23" i="3"/>
  <c r="I23" i="3"/>
  <c r="A24" i="3"/>
  <c r="H23" i="3"/>
  <c r="F22" i="3"/>
  <c r="C22" i="3"/>
  <c r="G22" i="3"/>
  <c r="J22" i="3"/>
  <c r="K22" i="3" s="1"/>
  <c r="B23" i="4"/>
  <c r="H23" i="4"/>
  <c r="A24" i="4"/>
  <c r="E23" i="4"/>
  <c r="I23" i="4"/>
  <c r="J22" i="4"/>
  <c r="K22" i="4" s="1"/>
  <c r="M22" i="3" l="1"/>
  <c r="M22" i="4"/>
  <c r="J23" i="3"/>
  <c r="K23" i="3" s="1"/>
  <c r="C23" i="4"/>
  <c r="F23" i="4"/>
  <c r="G23" i="4"/>
  <c r="B24" i="3"/>
  <c r="H24" i="3"/>
  <c r="E24" i="3"/>
  <c r="I24" i="3"/>
  <c r="A25" i="3"/>
  <c r="H24" i="4"/>
  <c r="B24" i="4"/>
  <c r="A25" i="4"/>
  <c r="I24" i="4"/>
  <c r="E24" i="4"/>
  <c r="J23" i="4"/>
  <c r="K23" i="4" s="1"/>
  <c r="G23" i="3"/>
  <c r="C23" i="3"/>
  <c r="F23" i="3"/>
  <c r="M23" i="3" l="1"/>
  <c r="M23" i="4"/>
  <c r="H25" i="4"/>
  <c r="B25" i="4"/>
  <c r="E25" i="4"/>
  <c r="I25" i="4"/>
  <c r="A26" i="4"/>
  <c r="J24" i="4"/>
  <c r="K24" i="4" s="1"/>
  <c r="F24" i="3"/>
  <c r="G24" i="3"/>
  <c r="C24" i="3"/>
  <c r="F24" i="4"/>
  <c r="G24" i="4"/>
  <c r="C24" i="4"/>
  <c r="B25" i="3"/>
  <c r="H25" i="3"/>
  <c r="A26" i="3"/>
  <c r="E25" i="3"/>
  <c r="I25" i="3"/>
  <c r="J24" i="3"/>
  <c r="K24" i="3" s="1"/>
  <c r="M24" i="4" l="1"/>
  <c r="M24" i="3"/>
  <c r="J25" i="3"/>
  <c r="K25" i="3" s="1"/>
  <c r="B26" i="3"/>
  <c r="H26" i="3"/>
  <c r="A27" i="3"/>
  <c r="I26" i="3"/>
  <c r="E26" i="3"/>
  <c r="B26" i="4"/>
  <c r="H26" i="4"/>
  <c r="I26" i="4"/>
  <c r="E26" i="4"/>
  <c r="A27" i="4"/>
  <c r="C25" i="3"/>
  <c r="F25" i="3"/>
  <c r="G25" i="3"/>
  <c r="J25" i="4"/>
  <c r="K25" i="4" s="1"/>
  <c r="F25" i="4"/>
  <c r="G25" i="4"/>
  <c r="C25" i="4"/>
  <c r="M25" i="4" l="1"/>
  <c r="M25" i="3"/>
  <c r="B27" i="4"/>
  <c r="I27" i="4"/>
  <c r="E27" i="4"/>
  <c r="A28" i="4"/>
  <c r="H27" i="4"/>
  <c r="F26" i="4"/>
  <c r="G26" i="4"/>
  <c r="C26" i="4"/>
  <c r="H27" i="3"/>
  <c r="E27" i="3"/>
  <c r="I27" i="3"/>
  <c r="B27" i="3"/>
  <c r="A28" i="3"/>
  <c r="J26" i="3"/>
  <c r="K26" i="3" s="1"/>
  <c r="J26" i="4"/>
  <c r="K26" i="4" s="1"/>
  <c r="G26" i="3"/>
  <c r="F26" i="3"/>
  <c r="C26" i="3"/>
  <c r="M26" i="3" l="1"/>
  <c r="M26" i="4"/>
  <c r="H28" i="3"/>
  <c r="I28" i="3"/>
  <c r="E28" i="3"/>
  <c r="A29" i="3"/>
  <c r="B28" i="3"/>
  <c r="J27" i="4"/>
  <c r="K27" i="4" s="1"/>
  <c r="B28" i="4"/>
  <c r="A29" i="4"/>
  <c r="H28" i="4"/>
  <c r="I28" i="4"/>
  <c r="E28" i="4"/>
  <c r="C27" i="3"/>
  <c r="G27" i="3"/>
  <c r="F27" i="3"/>
  <c r="J27" i="3"/>
  <c r="K27" i="3" s="1"/>
  <c r="F27" i="4"/>
  <c r="C27" i="4"/>
  <c r="G27" i="4"/>
  <c r="M27" i="4" l="1"/>
  <c r="M27" i="3"/>
  <c r="J28" i="4"/>
  <c r="K28" i="4" s="1"/>
  <c r="H29" i="4"/>
  <c r="E29" i="4"/>
  <c r="A30" i="4"/>
  <c r="I29" i="4"/>
  <c r="B29" i="4"/>
  <c r="C28" i="3"/>
  <c r="G28" i="3"/>
  <c r="F28" i="3"/>
  <c r="B29" i="3"/>
  <c r="H29" i="3"/>
  <c r="E29" i="3"/>
  <c r="I29" i="3"/>
  <c r="A30" i="3"/>
  <c r="C28" i="4"/>
  <c r="G28" i="4"/>
  <c r="F28" i="4"/>
  <c r="J28" i="3"/>
  <c r="K28" i="3" s="1"/>
  <c r="M28" i="4" l="1"/>
  <c r="M28" i="3"/>
  <c r="B30" i="3"/>
  <c r="I30" i="3"/>
  <c r="H30" i="3"/>
  <c r="A31" i="3"/>
  <c r="E30" i="3"/>
  <c r="F29" i="3"/>
  <c r="G29" i="3"/>
  <c r="C29" i="3"/>
  <c r="G29" i="4"/>
  <c r="F29" i="4"/>
  <c r="C29" i="4"/>
  <c r="H30" i="4"/>
  <c r="I30" i="4"/>
  <c r="E30" i="4"/>
  <c r="A31" i="4"/>
  <c r="B30" i="4"/>
  <c r="J29" i="3"/>
  <c r="K29" i="3" s="1"/>
  <c r="J29" i="4"/>
  <c r="K29" i="4" s="1"/>
  <c r="M29" i="3" l="1"/>
  <c r="M29" i="4"/>
  <c r="I31" i="4"/>
  <c r="B31" i="4"/>
  <c r="E31" i="4"/>
  <c r="H31" i="4"/>
  <c r="A32" i="4"/>
  <c r="F30" i="4"/>
  <c r="G30" i="4"/>
  <c r="C30" i="4"/>
  <c r="E31" i="3"/>
  <c r="I31" i="3"/>
  <c r="A32" i="3"/>
  <c r="H31" i="3"/>
  <c r="B31" i="3"/>
  <c r="J30" i="3"/>
  <c r="K30" i="3" s="1"/>
  <c r="F30" i="3"/>
  <c r="C30" i="3"/>
  <c r="G30" i="3"/>
  <c r="J30" i="4"/>
  <c r="K30" i="4" s="1"/>
  <c r="M30" i="4" s="1"/>
  <c r="M30" i="3" l="1"/>
  <c r="B32" i="3"/>
  <c r="H32" i="3"/>
  <c r="I32" i="3"/>
  <c r="E32" i="3"/>
  <c r="A33" i="3"/>
  <c r="J31" i="4"/>
  <c r="K31" i="4" s="1"/>
  <c r="G31" i="3"/>
  <c r="C31" i="3"/>
  <c r="F31" i="3"/>
  <c r="J31" i="3"/>
  <c r="K31" i="3" s="1"/>
  <c r="G31" i="4"/>
  <c r="F31" i="4"/>
  <c r="C31" i="4"/>
  <c r="B32" i="4"/>
  <c r="E32" i="4"/>
  <c r="I32" i="4"/>
  <c r="H32" i="4"/>
  <c r="A33" i="4"/>
  <c r="M31" i="4" l="1"/>
  <c r="M31" i="3"/>
  <c r="H33" i="3"/>
  <c r="I33" i="3"/>
  <c r="B33" i="3"/>
  <c r="A34" i="3"/>
  <c r="E33" i="3"/>
  <c r="H33" i="4"/>
  <c r="B33" i="4"/>
  <c r="A34" i="4"/>
  <c r="I33" i="4"/>
  <c r="E33" i="4"/>
  <c r="J32" i="4"/>
  <c r="K32" i="4" s="1"/>
  <c r="G32" i="4"/>
  <c r="C32" i="4"/>
  <c r="F32" i="4"/>
  <c r="J32" i="3"/>
  <c r="K32" i="3" s="1"/>
  <c r="F32" i="3"/>
  <c r="G32" i="3"/>
  <c r="C32" i="3"/>
  <c r="M32" i="3" l="1"/>
  <c r="M32" i="4"/>
  <c r="J33" i="4"/>
  <c r="K33" i="4" s="1"/>
  <c r="H34" i="3"/>
  <c r="E34" i="3"/>
  <c r="I34" i="3"/>
  <c r="B34" i="3"/>
  <c r="A35" i="3"/>
  <c r="F33" i="3"/>
  <c r="C33" i="3"/>
  <c r="G33" i="3"/>
  <c r="H34" i="4"/>
  <c r="E34" i="4"/>
  <c r="I34" i="4"/>
  <c r="A35" i="4"/>
  <c r="B34" i="4"/>
  <c r="G33" i="4"/>
  <c r="C33" i="4"/>
  <c r="F33" i="4"/>
  <c r="J33" i="3"/>
  <c r="K33" i="3" s="1"/>
  <c r="M33" i="4" l="1"/>
  <c r="M33" i="3"/>
  <c r="B35" i="4"/>
  <c r="E35" i="4"/>
  <c r="I35" i="4"/>
  <c r="H35" i="4"/>
  <c r="A36" i="4"/>
  <c r="F34" i="3"/>
  <c r="G34" i="3"/>
  <c r="C34" i="3"/>
  <c r="C34" i="4"/>
  <c r="G34" i="4"/>
  <c r="F34" i="4"/>
  <c r="J34" i="4"/>
  <c r="K34" i="4" s="1"/>
  <c r="H35" i="3"/>
  <c r="I35" i="3"/>
  <c r="A36" i="3"/>
  <c r="B35" i="3"/>
  <c r="E35" i="3"/>
  <c r="J34" i="3"/>
  <c r="K34" i="3" s="1"/>
  <c r="M34" i="4" l="1"/>
  <c r="M34" i="3"/>
  <c r="G35" i="3"/>
  <c r="F35" i="3"/>
  <c r="C35" i="3"/>
  <c r="H36" i="4"/>
  <c r="A37" i="4"/>
  <c r="B36" i="4"/>
  <c r="I36" i="4"/>
  <c r="E36" i="4"/>
  <c r="J35" i="4"/>
  <c r="K35" i="4" s="1"/>
  <c r="J35" i="3"/>
  <c r="K35" i="3" s="1"/>
  <c r="I36" i="3"/>
  <c r="H36" i="3"/>
  <c r="B36" i="3"/>
  <c r="A37" i="3"/>
  <c r="E36" i="3"/>
  <c r="G35" i="4"/>
  <c r="C35" i="4"/>
  <c r="F35" i="4"/>
  <c r="M35" i="4" l="1"/>
  <c r="M35" i="3"/>
  <c r="B37" i="3"/>
  <c r="H37" i="3"/>
  <c r="E37" i="3"/>
  <c r="I37" i="3"/>
  <c r="A38" i="3"/>
  <c r="G36" i="3"/>
  <c r="F36" i="3"/>
  <c r="C36" i="3"/>
  <c r="J36" i="4"/>
  <c r="K36" i="4" s="1"/>
  <c r="H37" i="4"/>
  <c r="A38" i="4"/>
  <c r="I37" i="4"/>
  <c r="E37" i="4"/>
  <c r="B37" i="4"/>
  <c r="J36" i="3"/>
  <c r="K36" i="3" s="1"/>
  <c r="F36" i="4"/>
  <c r="G36" i="4"/>
  <c r="C36" i="4"/>
  <c r="M36" i="4" l="1"/>
  <c r="M36" i="3"/>
  <c r="E38" i="4"/>
  <c r="B38" i="4"/>
  <c r="H38" i="4"/>
  <c r="A39" i="4"/>
  <c r="I38" i="4"/>
  <c r="J37" i="4"/>
  <c r="K37" i="4" s="1"/>
  <c r="E38" i="3"/>
  <c r="H38" i="3"/>
  <c r="I38" i="3"/>
  <c r="B38" i="3"/>
  <c r="A39" i="3"/>
  <c r="J37" i="3"/>
  <c r="K37" i="3" s="1"/>
  <c r="G37" i="4"/>
  <c r="F37" i="4"/>
  <c r="C37" i="4"/>
  <c r="C37" i="3"/>
  <c r="G37" i="3"/>
  <c r="F37" i="3"/>
  <c r="M37" i="4" l="1"/>
  <c r="M37" i="3"/>
  <c r="B39" i="3"/>
  <c r="I39" i="3"/>
  <c r="E39" i="3"/>
  <c r="H39" i="3"/>
  <c r="A40" i="3"/>
  <c r="C38" i="3"/>
  <c r="G38" i="3"/>
  <c r="F38" i="3"/>
  <c r="J38" i="3"/>
  <c r="K38" i="3" s="1"/>
  <c r="B39" i="4"/>
  <c r="E39" i="4"/>
  <c r="I39" i="4"/>
  <c r="H39" i="4"/>
  <c r="A40" i="4"/>
  <c r="G38" i="4"/>
  <c r="C38" i="4"/>
  <c r="F38" i="4"/>
  <c r="J38" i="4"/>
  <c r="K38" i="4" s="1"/>
  <c r="M38" i="3" l="1"/>
  <c r="M38" i="4"/>
  <c r="I40" i="4"/>
  <c r="B40" i="4"/>
  <c r="H40" i="4"/>
  <c r="E40" i="4"/>
  <c r="A41" i="4"/>
  <c r="J39" i="4"/>
  <c r="K39" i="4" s="1"/>
  <c r="G39" i="4"/>
  <c r="F39" i="4"/>
  <c r="C39" i="4"/>
  <c r="E40" i="3"/>
  <c r="I40" i="3"/>
  <c r="H40" i="3"/>
  <c r="B40" i="3"/>
  <c r="A41" i="3"/>
  <c r="J39" i="3"/>
  <c r="K39" i="3" s="1"/>
  <c r="G39" i="3"/>
  <c r="F39" i="3"/>
  <c r="C39" i="3"/>
  <c r="M39" i="4" l="1"/>
  <c r="M39" i="3"/>
  <c r="J40" i="3"/>
  <c r="K40" i="3" s="1"/>
  <c r="G40" i="3"/>
  <c r="F40" i="3"/>
  <c r="C40" i="3"/>
  <c r="I41" i="3"/>
  <c r="H41" i="3"/>
  <c r="B41" i="3"/>
  <c r="E41" i="3"/>
  <c r="A42" i="3"/>
  <c r="J40" i="4"/>
  <c r="K40" i="4" s="1"/>
  <c r="C40" i="4"/>
  <c r="F40" i="4"/>
  <c r="G40" i="4"/>
  <c r="B41" i="4"/>
  <c r="H41" i="4"/>
  <c r="A42" i="4"/>
  <c r="I41" i="4"/>
  <c r="E41" i="4"/>
  <c r="M40" i="3" l="1"/>
  <c r="M40" i="4"/>
  <c r="J41" i="4"/>
  <c r="K41" i="4" s="1"/>
  <c r="I42" i="4"/>
  <c r="B42" i="4"/>
  <c r="E42" i="4"/>
  <c r="H42" i="4"/>
  <c r="A43" i="4"/>
  <c r="F41" i="4"/>
  <c r="G41" i="4"/>
  <c r="C41" i="4"/>
  <c r="A43" i="3"/>
  <c r="H42" i="3"/>
  <c r="E42" i="3"/>
  <c r="I42" i="3"/>
  <c r="B42" i="3"/>
  <c r="C41" i="3"/>
  <c r="F41" i="3"/>
  <c r="G41" i="3"/>
  <c r="J41" i="3"/>
  <c r="K41" i="3" s="1"/>
  <c r="M41" i="3" l="1"/>
  <c r="M41" i="4"/>
  <c r="C42" i="3"/>
  <c r="F42" i="3"/>
  <c r="G42" i="3"/>
  <c r="J42" i="3"/>
  <c r="K42" i="3" s="1"/>
  <c r="E43" i="4"/>
  <c r="H43" i="4"/>
  <c r="B43" i="4"/>
  <c r="I43" i="4"/>
  <c r="A44" i="4"/>
  <c r="H43" i="3"/>
  <c r="E43" i="3"/>
  <c r="I43" i="3"/>
  <c r="B43" i="3"/>
  <c r="A44" i="3"/>
  <c r="J42" i="4"/>
  <c r="K42" i="4" s="1"/>
  <c r="F42" i="4"/>
  <c r="G42" i="4"/>
  <c r="C42" i="4"/>
  <c r="M42" i="4" l="1"/>
  <c r="M42" i="3"/>
  <c r="F43" i="3"/>
  <c r="C43" i="3"/>
  <c r="G43" i="3"/>
  <c r="J43" i="3"/>
  <c r="K43" i="3" s="1"/>
  <c r="I44" i="3"/>
  <c r="B44" i="3"/>
  <c r="A45" i="3"/>
  <c r="H44" i="3"/>
  <c r="E44" i="3"/>
  <c r="I44" i="4"/>
  <c r="H44" i="4"/>
  <c r="E44" i="4"/>
  <c r="B44" i="4"/>
  <c r="A45" i="4"/>
  <c r="G43" i="4"/>
  <c r="C43" i="4"/>
  <c r="F43" i="4"/>
  <c r="J43" i="4"/>
  <c r="K43" i="4" s="1"/>
  <c r="M43" i="4" l="1"/>
  <c r="M43" i="3"/>
  <c r="F44" i="4"/>
  <c r="G44" i="4"/>
  <c r="C44" i="4"/>
  <c r="J44" i="3"/>
  <c r="K44" i="3" s="1"/>
  <c r="H45" i="4"/>
  <c r="I45" i="4"/>
  <c r="E45" i="4"/>
  <c r="B45" i="4"/>
  <c r="A46" i="4"/>
  <c r="H45" i="3"/>
  <c r="B45" i="3"/>
  <c r="A46" i="3"/>
  <c r="E45" i="3"/>
  <c r="I45" i="3"/>
  <c r="C44" i="3"/>
  <c r="F44" i="3"/>
  <c r="G44" i="3"/>
  <c r="J44" i="4"/>
  <c r="K44" i="4" s="1"/>
  <c r="M44" i="3" l="1"/>
  <c r="M44" i="4"/>
  <c r="H46" i="3"/>
  <c r="B46" i="3"/>
  <c r="A47" i="3"/>
  <c r="I46" i="3"/>
  <c r="E46" i="3"/>
  <c r="J45" i="3"/>
  <c r="K45" i="3" s="1"/>
  <c r="H46" i="4"/>
  <c r="B46" i="4"/>
  <c r="E46" i="4"/>
  <c r="I46" i="4"/>
  <c r="A47" i="4"/>
  <c r="F45" i="4"/>
  <c r="C45" i="4"/>
  <c r="G45" i="4"/>
  <c r="F45" i="3"/>
  <c r="C45" i="3"/>
  <c r="G45" i="3"/>
  <c r="J45" i="4"/>
  <c r="K45" i="4" s="1"/>
  <c r="M45" i="4" l="1"/>
  <c r="M45" i="3"/>
  <c r="B47" i="4"/>
  <c r="E47" i="4"/>
  <c r="I47" i="4"/>
  <c r="H47" i="4"/>
  <c r="A48" i="4"/>
  <c r="C46" i="4"/>
  <c r="F46" i="4"/>
  <c r="G46" i="4"/>
  <c r="E47" i="3"/>
  <c r="B47" i="3"/>
  <c r="A48" i="3"/>
  <c r="I47" i="3"/>
  <c r="H47" i="3"/>
  <c r="G46" i="3"/>
  <c r="C46" i="3"/>
  <c r="F46" i="3"/>
  <c r="J46" i="4"/>
  <c r="K46" i="4" s="1"/>
  <c r="J46" i="3"/>
  <c r="K46" i="3" s="1"/>
  <c r="M46" i="3" l="1"/>
  <c r="M46" i="4"/>
  <c r="I48" i="3"/>
  <c r="B48" i="3"/>
  <c r="H48" i="3"/>
  <c r="E48" i="3"/>
  <c r="A49" i="3"/>
  <c r="G47" i="3"/>
  <c r="C47" i="3"/>
  <c r="F47" i="3"/>
  <c r="J47" i="3"/>
  <c r="K47" i="3" s="1"/>
  <c r="J47" i="4"/>
  <c r="K47" i="4" s="1"/>
  <c r="H48" i="4"/>
  <c r="I48" i="4"/>
  <c r="E48" i="4"/>
  <c r="A49" i="4"/>
  <c r="B48" i="4"/>
  <c r="F47" i="4"/>
  <c r="C47" i="4"/>
  <c r="G47" i="4"/>
  <c r="M47" i="4" l="1"/>
  <c r="M47" i="3"/>
  <c r="G48" i="4"/>
  <c r="F48" i="4"/>
  <c r="C48" i="4"/>
  <c r="H49" i="4"/>
  <c r="B49" i="4"/>
  <c r="I49" i="4"/>
  <c r="E49" i="4"/>
  <c r="A50" i="4"/>
  <c r="J48" i="3"/>
  <c r="K48" i="3" s="1"/>
  <c r="B49" i="3"/>
  <c r="H49" i="3"/>
  <c r="E49" i="3"/>
  <c r="I49" i="3"/>
  <c r="A50" i="3"/>
  <c r="C48" i="3"/>
  <c r="F48" i="3"/>
  <c r="G48" i="3"/>
  <c r="J48" i="4"/>
  <c r="K48" i="4" s="1"/>
  <c r="M48" i="4" l="1"/>
  <c r="M48" i="3"/>
  <c r="J49" i="3"/>
  <c r="K49" i="3" s="1"/>
  <c r="H50" i="3"/>
  <c r="E50" i="3"/>
  <c r="I50" i="3"/>
  <c r="B50" i="3"/>
  <c r="A51" i="3"/>
  <c r="I50" i="4"/>
  <c r="E50" i="4"/>
  <c r="B50" i="4"/>
  <c r="H50" i="4"/>
  <c r="A51" i="4"/>
  <c r="F49" i="4"/>
  <c r="G49" i="4"/>
  <c r="C49" i="4"/>
  <c r="C49" i="3"/>
  <c r="G49" i="3"/>
  <c r="F49" i="3"/>
  <c r="J49" i="4"/>
  <c r="K49" i="4" s="1"/>
  <c r="M49" i="4" l="1"/>
  <c r="M49" i="3"/>
  <c r="J50" i="4"/>
  <c r="K50" i="4" s="1"/>
  <c r="C50" i="4"/>
  <c r="F50" i="4"/>
  <c r="G50" i="4"/>
  <c r="F50" i="3"/>
  <c r="G50" i="3"/>
  <c r="C50" i="3"/>
  <c r="H51" i="4"/>
  <c r="I51" i="4" s="1"/>
  <c r="E51" i="4"/>
  <c r="B51" i="4"/>
  <c r="A52" i="4"/>
  <c r="B51" i="3"/>
  <c r="I51" i="3"/>
  <c r="E51" i="3"/>
  <c r="A52" i="3"/>
  <c r="H51" i="3"/>
  <c r="J50" i="3"/>
  <c r="K50" i="3" s="1"/>
  <c r="M50" i="3" l="1"/>
  <c r="M50" i="4"/>
  <c r="F51" i="3"/>
  <c r="G51" i="3"/>
  <c r="C51" i="3"/>
  <c r="H52" i="3"/>
  <c r="B52" i="3"/>
  <c r="E52" i="3"/>
  <c r="I52" i="3"/>
  <c r="A53" i="3"/>
  <c r="B52" i="4"/>
  <c r="H52" i="4"/>
  <c r="I52" i="4" s="1"/>
  <c r="E52" i="4"/>
  <c r="A53" i="4"/>
  <c r="G51" i="4"/>
  <c r="C51" i="4"/>
  <c r="F51" i="4"/>
  <c r="J51" i="4"/>
  <c r="K51" i="4" s="1"/>
  <c r="J51" i="3"/>
  <c r="K51" i="3" s="1"/>
  <c r="M51" i="4" l="1"/>
  <c r="M51" i="3"/>
  <c r="E53" i="4"/>
  <c r="H53" i="4"/>
  <c r="I53" i="4" s="1"/>
  <c r="B53" i="4"/>
  <c r="A54" i="4"/>
  <c r="B53" i="3"/>
  <c r="I53" i="3"/>
  <c r="H53" i="3"/>
  <c r="E53" i="3"/>
  <c r="A54" i="3"/>
  <c r="G52" i="3"/>
  <c r="C52" i="3"/>
  <c r="F52" i="3"/>
  <c r="G52" i="4"/>
  <c r="F52" i="4"/>
  <c r="C52" i="4"/>
  <c r="J52" i="4"/>
  <c r="K52" i="4" s="1"/>
  <c r="J52" i="3"/>
  <c r="K52" i="3" s="1"/>
  <c r="M52" i="4" l="1"/>
  <c r="M52" i="3"/>
  <c r="J53" i="3"/>
  <c r="K53" i="3" s="1"/>
  <c r="G53" i="3"/>
  <c r="C53" i="3"/>
  <c r="F53" i="3"/>
  <c r="H54" i="3"/>
  <c r="B54" i="3"/>
  <c r="A55" i="3"/>
  <c r="I54" i="3"/>
  <c r="E54" i="3"/>
  <c r="B54" i="4"/>
  <c r="H54" i="4"/>
  <c r="I54" i="4" s="1"/>
  <c r="E54" i="4"/>
  <c r="A55" i="4"/>
  <c r="J53" i="4"/>
  <c r="K53" i="4" s="1"/>
  <c r="G53" i="4"/>
  <c r="F53" i="4"/>
  <c r="C53" i="4"/>
  <c r="M53" i="3" l="1"/>
  <c r="M53" i="4"/>
  <c r="J54" i="4"/>
  <c r="K54" i="4" s="1"/>
  <c r="G54" i="4"/>
  <c r="C54" i="4"/>
  <c r="F54" i="4"/>
  <c r="C54" i="3"/>
  <c r="G54" i="3"/>
  <c r="F54" i="3"/>
  <c r="H55" i="3"/>
  <c r="B55" i="3"/>
  <c r="I55" i="3"/>
  <c r="E55" i="3"/>
  <c r="A56" i="3"/>
  <c r="H55" i="4"/>
  <c r="I55" i="4" s="1"/>
  <c r="E55" i="4"/>
  <c r="B55" i="4"/>
  <c r="A56" i="4"/>
  <c r="J54" i="3"/>
  <c r="K54" i="3" s="1"/>
  <c r="M54" i="3" s="1"/>
  <c r="M54" i="4" l="1"/>
  <c r="G55" i="4"/>
  <c r="C55" i="4"/>
  <c r="F55" i="4"/>
  <c r="E56" i="4"/>
  <c r="H56" i="4"/>
  <c r="I56" i="4" s="1"/>
  <c r="B56" i="4"/>
  <c r="A57" i="4"/>
  <c r="I56" i="3"/>
  <c r="E56" i="3"/>
  <c r="H56" i="3"/>
  <c r="B56" i="3"/>
  <c r="A57" i="3"/>
  <c r="C55" i="3"/>
  <c r="F55" i="3"/>
  <c r="G55" i="3"/>
  <c r="J55" i="4"/>
  <c r="K55" i="4" s="1"/>
  <c r="J55" i="3"/>
  <c r="K55" i="3" s="1"/>
  <c r="M55" i="4" l="1"/>
  <c r="M55" i="3"/>
  <c r="H57" i="3"/>
  <c r="B57" i="3"/>
  <c r="A58" i="3"/>
  <c r="E57" i="3"/>
  <c r="I57" i="3"/>
  <c r="J56" i="3"/>
  <c r="K56" i="3" s="1"/>
  <c r="C56" i="3"/>
  <c r="F56" i="3"/>
  <c r="G56" i="3"/>
  <c r="G56" i="4"/>
  <c r="C56" i="4"/>
  <c r="F56" i="4"/>
  <c r="J56" i="4"/>
  <c r="K56" i="4" s="1"/>
  <c r="H57" i="4"/>
  <c r="I57" i="4" s="1"/>
  <c r="E57" i="4"/>
  <c r="A58" i="4"/>
  <c r="B57" i="4"/>
  <c r="M56" i="4" l="1"/>
  <c r="M56" i="3"/>
  <c r="C57" i="4"/>
  <c r="F57" i="4"/>
  <c r="G57" i="4"/>
  <c r="J57" i="4"/>
  <c r="K57" i="4" s="1"/>
  <c r="E58" i="4"/>
  <c r="B58" i="4"/>
  <c r="H58" i="4"/>
  <c r="I58" i="4" s="1"/>
  <c r="A59" i="4"/>
  <c r="C57" i="3"/>
  <c r="F57" i="3"/>
  <c r="G57" i="3"/>
  <c r="I58" i="3"/>
  <c r="H58" i="3"/>
  <c r="B58" i="3"/>
  <c r="E58" i="3"/>
  <c r="A59" i="3"/>
  <c r="J57" i="3"/>
  <c r="K57" i="3" s="1"/>
  <c r="M57" i="4" l="1"/>
  <c r="M57" i="3"/>
  <c r="E59" i="3"/>
  <c r="I59" i="3"/>
  <c r="B59" i="3"/>
  <c r="A60" i="3"/>
  <c r="H59" i="3"/>
  <c r="J58" i="3"/>
  <c r="K58" i="3" s="1"/>
  <c r="G58" i="4"/>
  <c r="C58" i="4"/>
  <c r="F58" i="4"/>
  <c r="A60" i="4"/>
  <c r="H59" i="4"/>
  <c r="I59" i="4" s="1"/>
  <c r="B59" i="4"/>
  <c r="E59" i="4"/>
  <c r="C58" i="3"/>
  <c r="F58" i="3"/>
  <c r="G58" i="3"/>
  <c r="J58" i="4"/>
  <c r="K58" i="4" s="1"/>
  <c r="M58" i="4" l="1"/>
  <c r="M58" i="3"/>
  <c r="J59" i="4"/>
  <c r="K59" i="4" s="1"/>
  <c r="J59" i="3"/>
  <c r="K59" i="3" s="1"/>
  <c r="B60" i="4"/>
  <c r="E60" i="4"/>
  <c r="A61" i="4"/>
  <c r="H60" i="4"/>
  <c r="I60" i="4" s="1"/>
  <c r="B60" i="3"/>
  <c r="I60" i="3"/>
  <c r="E60" i="3"/>
  <c r="A61" i="3"/>
  <c r="H60" i="3"/>
  <c r="F59" i="4"/>
  <c r="C59" i="4"/>
  <c r="G59" i="4"/>
  <c r="G59" i="3"/>
  <c r="F59" i="3"/>
  <c r="C59" i="3"/>
  <c r="M59" i="4" l="1"/>
  <c r="M59" i="3"/>
  <c r="J60" i="3"/>
  <c r="K60" i="3" s="1"/>
  <c r="J60" i="4"/>
  <c r="K60" i="4" s="1"/>
  <c r="B61" i="3"/>
  <c r="H61" i="3"/>
  <c r="A62" i="3"/>
  <c r="I61" i="3"/>
  <c r="E61" i="3"/>
  <c r="G60" i="3"/>
  <c r="C60" i="3"/>
  <c r="F60" i="3"/>
  <c r="F60" i="4"/>
  <c r="G60" i="4"/>
  <c r="C60" i="4"/>
  <c r="H61" i="4"/>
  <c r="I61" i="4" s="1"/>
  <c r="E61" i="4"/>
  <c r="A62" i="4"/>
  <c r="B61" i="4"/>
  <c r="M60" i="4" l="1"/>
  <c r="M60" i="3"/>
  <c r="C61" i="4"/>
  <c r="F61" i="4"/>
  <c r="G61" i="4"/>
  <c r="E62" i="4"/>
  <c r="H62" i="4"/>
  <c r="I62" i="4" s="1"/>
  <c r="A63" i="4"/>
  <c r="B62" i="4"/>
  <c r="H62" i="3"/>
  <c r="E62" i="3"/>
  <c r="I62" i="3"/>
  <c r="B62" i="3"/>
  <c r="A63" i="3"/>
  <c r="J61" i="3"/>
  <c r="K61" i="3" s="1"/>
  <c r="J61" i="4"/>
  <c r="K61" i="4" s="1"/>
  <c r="C61" i="3"/>
  <c r="G61" i="3"/>
  <c r="F61" i="3"/>
  <c r="M61" i="3" l="1"/>
  <c r="M61" i="4"/>
  <c r="F62" i="3"/>
  <c r="G62" i="3"/>
  <c r="C62" i="3"/>
  <c r="F62" i="4"/>
  <c r="G62" i="4"/>
  <c r="C62" i="4"/>
  <c r="J62" i="4"/>
  <c r="K62" i="4" s="1"/>
  <c r="E63" i="3"/>
  <c r="I63" i="3"/>
  <c r="B63" i="3"/>
  <c r="H63" i="3"/>
  <c r="A64" i="3"/>
  <c r="J62" i="3"/>
  <c r="K62" i="3" s="1"/>
  <c r="H63" i="4"/>
  <c r="I63" i="4" s="1"/>
  <c r="B63" i="4"/>
  <c r="E63" i="4"/>
  <c r="A64" i="4"/>
  <c r="M62" i="4" l="1"/>
  <c r="M62" i="3"/>
  <c r="G63" i="4"/>
  <c r="F63" i="4"/>
  <c r="C63" i="4"/>
  <c r="E64" i="4"/>
  <c r="A65" i="4"/>
  <c r="B64" i="4"/>
  <c r="H64" i="4"/>
  <c r="I64" i="4" s="1"/>
  <c r="J63" i="4"/>
  <c r="K63" i="4" s="1"/>
  <c r="J63" i="3"/>
  <c r="K63" i="3" s="1"/>
  <c r="B64" i="3"/>
  <c r="H64" i="3"/>
  <c r="E64" i="3"/>
  <c r="I64" i="3"/>
  <c r="A65" i="3"/>
  <c r="G63" i="3"/>
  <c r="C63" i="3"/>
  <c r="F63" i="3"/>
  <c r="M63" i="3" l="1"/>
  <c r="M63" i="4"/>
  <c r="B65" i="3"/>
  <c r="E65" i="3"/>
  <c r="A66" i="3"/>
  <c r="H65" i="3"/>
  <c r="I65" i="3" s="1"/>
  <c r="F64" i="3"/>
  <c r="G64" i="3"/>
  <c r="C64" i="3"/>
  <c r="J64" i="4"/>
  <c r="K64" i="4" s="1"/>
  <c r="E65" i="4"/>
  <c r="A66" i="4"/>
  <c r="B65" i="4"/>
  <c r="H65" i="4"/>
  <c r="J64" i="3"/>
  <c r="K64" i="3" s="1"/>
  <c r="F64" i="4"/>
  <c r="G64" i="4"/>
  <c r="C64" i="4"/>
  <c r="M64" i="4" l="1"/>
  <c r="M64" i="3"/>
  <c r="K65" i="4"/>
  <c r="J65" i="4"/>
  <c r="A67" i="4"/>
  <c r="H66" i="4"/>
  <c r="I66" i="4" s="1"/>
  <c r="E66" i="4"/>
  <c r="B66" i="4"/>
  <c r="I65" i="4"/>
  <c r="F65" i="4"/>
  <c r="M65" i="4"/>
  <c r="C65" i="4"/>
  <c r="G65" i="4"/>
  <c r="J65" i="3"/>
  <c r="K65" i="3"/>
  <c r="B66" i="3"/>
  <c r="H66" i="3"/>
  <c r="I66" i="3" s="1"/>
  <c r="E66" i="3"/>
  <c r="A67" i="3"/>
  <c r="F65" i="3"/>
  <c r="C65" i="3"/>
  <c r="M65" i="3"/>
  <c r="G65" i="3"/>
  <c r="J66" i="3" l="1"/>
  <c r="K66" i="3"/>
  <c r="E67" i="3"/>
  <c r="H67" i="3"/>
  <c r="B67" i="3"/>
  <c r="A68" i="3"/>
  <c r="G66" i="3"/>
  <c r="F66" i="3"/>
  <c r="M66" i="3"/>
  <c r="C66" i="3"/>
  <c r="J66" i="4"/>
  <c r="K66" i="4"/>
  <c r="M66" i="4"/>
  <c r="F66" i="4"/>
  <c r="G66" i="4"/>
  <c r="C66" i="4"/>
  <c r="E67" i="4"/>
  <c r="B67" i="4"/>
  <c r="H67" i="4"/>
  <c r="I67" i="4" s="1"/>
  <c r="A68" i="4"/>
  <c r="H68" i="4" l="1"/>
  <c r="I68" i="4" s="1"/>
  <c r="A69" i="4"/>
  <c r="B68" i="4"/>
  <c r="E68" i="4"/>
  <c r="F67" i="4"/>
  <c r="C67" i="4"/>
  <c r="M67" i="4"/>
  <c r="G67" i="4"/>
  <c r="H68" i="3"/>
  <c r="E68" i="3"/>
  <c r="A69" i="3"/>
  <c r="B68" i="3"/>
  <c r="F67" i="3"/>
  <c r="G67" i="3"/>
  <c r="M67" i="3"/>
  <c r="C67" i="3"/>
  <c r="K67" i="3"/>
  <c r="J67" i="3"/>
  <c r="I67" i="3"/>
  <c r="K67" i="4"/>
  <c r="J67" i="4"/>
  <c r="M68" i="3" l="1"/>
  <c r="F68" i="3"/>
  <c r="G68" i="3"/>
  <c r="C68" i="3"/>
  <c r="H69" i="3"/>
  <c r="I69" i="3" s="1"/>
  <c r="E69" i="3"/>
  <c r="B69" i="3"/>
  <c r="A70" i="3"/>
  <c r="K68" i="3"/>
  <c r="J68" i="3"/>
  <c r="B69" i="4"/>
  <c r="H69" i="4"/>
  <c r="I69" i="4" s="1"/>
  <c r="E69" i="4"/>
  <c r="A70" i="4"/>
  <c r="M68" i="4"/>
  <c r="F68" i="4"/>
  <c r="G68" i="4"/>
  <c r="C68" i="4"/>
  <c r="I68" i="3"/>
  <c r="J68" i="4"/>
  <c r="K68" i="4"/>
  <c r="H70" i="4" l="1"/>
  <c r="I70" i="4" s="1"/>
  <c r="B70" i="4"/>
  <c r="A71" i="4"/>
  <c r="E70" i="4"/>
  <c r="C69" i="4"/>
  <c r="M69" i="4"/>
  <c r="G69" i="4"/>
  <c r="F69" i="4"/>
  <c r="G69" i="3"/>
  <c r="M69" i="3"/>
  <c r="C69" i="3"/>
  <c r="F69" i="3"/>
  <c r="K69" i="4"/>
  <c r="J69" i="4"/>
  <c r="B70" i="3"/>
  <c r="H70" i="3"/>
  <c r="I70" i="3" s="1"/>
  <c r="A71" i="3"/>
  <c r="E70" i="3"/>
  <c r="J69" i="3"/>
  <c r="K69" i="3"/>
  <c r="F70" i="3" l="1"/>
  <c r="C70" i="3"/>
  <c r="G70" i="3"/>
  <c r="M70" i="3"/>
  <c r="J70" i="3"/>
  <c r="K70" i="3"/>
  <c r="H71" i="4"/>
  <c r="I71" i="4" s="1"/>
  <c r="B71" i="4"/>
  <c r="A72" i="4"/>
  <c r="E71" i="4"/>
  <c r="H71" i="3"/>
  <c r="I71" i="3" s="1"/>
  <c r="E71" i="3"/>
  <c r="B71" i="3"/>
  <c r="A72" i="3"/>
  <c r="M70" i="4"/>
  <c r="G70" i="4"/>
  <c r="C70" i="4"/>
  <c r="F70" i="4"/>
  <c r="J70" i="4"/>
  <c r="K70" i="4"/>
  <c r="E72" i="3" l="1"/>
  <c r="B72" i="3"/>
  <c r="H72" i="3"/>
  <c r="A73" i="3"/>
  <c r="C71" i="3"/>
  <c r="M71" i="3"/>
  <c r="F71" i="3"/>
  <c r="G71" i="3"/>
  <c r="H72" i="4"/>
  <c r="I72" i="4" s="1"/>
  <c r="E72" i="4"/>
  <c r="A73" i="4"/>
  <c r="B72" i="4"/>
  <c r="K71" i="3"/>
  <c r="J71" i="3"/>
  <c r="G71" i="4"/>
  <c r="F71" i="4"/>
  <c r="M71" i="4"/>
  <c r="C71" i="4"/>
  <c r="J71" i="4"/>
  <c r="K71" i="4"/>
  <c r="E73" i="4" l="1"/>
  <c r="H73" i="4"/>
  <c r="B73" i="4"/>
  <c r="A74" i="4"/>
  <c r="M72" i="4"/>
  <c r="C72" i="4"/>
  <c r="G72" i="4"/>
  <c r="F72" i="4"/>
  <c r="B73" i="3"/>
  <c r="H73" i="3"/>
  <c r="I73" i="3" s="1"/>
  <c r="E73" i="3"/>
  <c r="A74" i="3"/>
  <c r="K72" i="3"/>
  <c r="J72" i="3"/>
  <c r="C72" i="3"/>
  <c r="G72" i="3"/>
  <c r="F72" i="3"/>
  <c r="M72" i="3"/>
  <c r="I72" i="3"/>
  <c r="K72" i="4"/>
  <c r="J72" i="4"/>
  <c r="B74" i="3" l="1"/>
  <c r="E74" i="3"/>
  <c r="A75" i="3"/>
  <c r="H74" i="3"/>
  <c r="M73" i="4"/>
  <c r="G73" i="4"/>
  <c r="F73" i="4"/>
  <c r="C73" i="4"/>
  <c r="K73" i="3"/>
  <c r="J73" i="3"/>
  <c r="J73" i="4"/>
  <c r="K73" i="4"/>
  <c r="M73" i="3"/>
  <c r="C73" i="3"/>
  <c r="F73" i="3"/>
  <c r="G73" i="3"/>
  <c r="I73" i="4"/>
  <c r="H74" i="4"/>
  <c r="B74" i="4"/>
  <c r="A75" i="4"/>
  <c r="E74" i="4"/>
  <c r="G74" i="4" l="1"/>
  <c r="M74" i="4"/>
  <c r="C74" i="4"/>
  <c r="F74" i="4"/>
  <c r="H75" i="4"/>
  <c r="I75" i="4" s="1"/>
  <c r="E75" i="4"/>
  <c r="A76" i="4"/>
  <c r="B75" i="4"/>
  <c r="J74" i="4"/>
  <c r="K74" i="4"/>
  <c r="K74" i="3"/>
  <c r="J74" i="3"/>
  <c r="I74" i="4"/>
  <c r="I74" i="3"/>
  <c r="H75" i="3"/>
  <c r="I75" i="3" s="1"/>
  <c r="B75" i="3"/>
  <c r="E75" i="3"/>
  <c r="A76" i="3"/>
  <c r="C74" i="3"/>
  <c r="G74" i="3"/>
  <c r="F74" i="3"/>
  <c r="M74" i="3"/>
  <c r="H76" i="3" l="1"/>
  <c r="I76" i="3" s="1"/>
  <c r="B76" i="3"/>
  <c r="A77" i="3"/>
  <c r="E76" i="3"/>
  <c r="M75" i="3"/>
  <c r="G75" i="3"/>
  <c r="F75" i="3"/>
  <c r="C75" i="3"/>
  <c r="B76" i="4"/>
  <c r="E76" i="4"/>
  <c r="H76" i="4"/>
  <c r="A77" i="4"/>
  <c r="K75" i="3"/>
  <c r="J75" i="3"/>
  <c r="F75" i="4"/>
  <c r="M75" i="4"/>
  <c r="C75" i="4"/>
  <c r="G75" i="4"/>
  <c r="K75" i="4"/>
  <c r="J75" i="4"/>
  <c r="H77" i="4" l="1"/>
  <c r="I77" i="4" s="1"/>
  <c r="B77" i="4"/>
  <c r="A78" i="4"/>
  <c r="E77" i="4"/>
  <c r="K76" i="4"/>
  <c r="J76" i="4"/>
  <c r="I76" i="4"/>
  <c r="G76" i="4"/>
  <c r="F76" i="4"/>
  <c r="M76" i="4"/>
  <c r="C76" i="4"/>
  <c r="H77" i="3"/>
  <c r="I77" i="3" s="1"/>
  <c r="B77" i="3"/>
  <c r="A78" i="3"/>
  <c r="E77" i="3"/>
  <c r="M76" i="3"/>
  <c r="F76" i="3"/>
  <c r="G76" i="3"/>
  <c r="C76" i="3"/>
  <c r="K76" i="3"/>
  <c r="J76" i="3"/>
  <c r="H78" i="3" l="1"/>
  <c r="I78" i="3" s="1"/>
  <c r="B78" i="3"/>
  <c r="E78" i="3"/>
  <c r="A79" i="3"/>
  <c r="F77" i="3"/>
  <c r="C77" i="3"/>
  <c r="M77" i="3"/>
  <c r="G77" i="3"/>
  <c r="B78" i="4"/>
  <c r="H78" i="4"/>
  <c r="I78" i="4" s="1"/>
  <c r="E78" i="4"/>
  <c r="A79" i="4"/>
  <c r="M77" i="4"/>
  <c r="C77" i="4"/>
  <c r="F77" i="4"/>
  <c r="G77" i="4"/>
  <c r="K77" i="3"/>
  <c r="J77" i="3"/>
  <c r="K77" i="4"/>
  <c r="J77" i="4"/>
  <c r="J78" i="4" l="1"/>
  <c r="K78" i="4"/>
  <c r="H79" i="3"/>
  <c r="I79" i="3" s="1"/>
  <c r="A80" i="3"/>
  <c r="B79" i="3"/>
  <c r="E79" i="3"/>
  <c r="H79" i="4"/>
  <c r="I79" i="4" s="1"/>
  <c r="B79" i="4"/>
  <c r="E79" i="4"/>
  <c r="A80" i="4"/>
  <c r="M78" i="3"/>
  <c r="G78" i="3"/>
  <c r="C78" i="3"/>
  <c r="F78" i="3"/>
  <c r="C78" i="4"/>
  <c r="G78" i="4"/>
  <c r="F78" i="4"/>
  <c r="M78" i="4"/>
  <c r="K78" i="3"/>
  <c r="J78" i="3"/>
  <c r="H80" i="4" l="1"/>
  <c r="I80" i="4" s="1"/>
  <c r="B80" i="4"/>
  <c r="E80" i="4"/>
  <c r="A81" i="4"/>
  <c r="M79" i="4"/>
  <c r="F79" i="4"/>
  <c r="C79" i="4"/>
  <c r="G79" i="4"/>
  <c r="K79" i="4"/>
  <c r="J79" i="4"/>
  <c r="C79" i="3"/>
  <c r="F79" i="3"/>
  <c r="M79" i="3"/>
  <c r="G79" i="3"/>
  <c r="E80" i="3"/>
  <c r="B80" i="3"/>
  <c r="H80" i="3"/>
  <c r="A81" i="3"/>
  <c r="K79" i="3"/>
  <c r="J79" i="3"/>
  <c r="E81" i="3" l="1"/>
  <c r="H81" i="3"/>
  <c r="B81" i="3"/>
  <c r="A82" i="3"/>
  <c r="K80" i="3"/>
  <c r="J80" i="3"/>
  <c r="C80" i="3"/>
  <c r="M80" i="3"/>
  <c r="G80" i="3"/>
  <c r="F80" i="3"/>
  <c r="I80" i="3"/>
  <c r="B81" i="4"/>
  <c r="E81" i="4"/>
  <c r="H81" i="4"/>
  <c r="I81" i="4" s="1"/>
  <c r="A82" i="4"/>
  <c r="G80" i="4"/>
  <c r="F80" i="4"/>
  <c r="M80" i="4"/>
  <c r="C80" i="4"/>
  <c r="K80" i="4"/>
  <c r="J80" i="4"/>
  <c r="G81" i="4" l="1"/>
  <c r="F81" i="4"/>
  <c r="C81" i="4"/>
  <c r="M81" i="4"/>
  <c r="J81" i="4"/>
  <c r="K81" i="4"/>
  <c r="H82" i="3"/>
  <c r="A83" i="3"/>
  <c r="E82" i="3"/>
  <c r="B82" i="3"/>
  <c r="K81" i="3"/>
  <c r="J81" i="3"/>
  <c r="B82" i="4"/>
  <c r="H82" i="4"/>
  <c r="I82" i="4" s="1"/>
  <c r="E82" i="4"/>
  <c r="A83" i="4"/>
  <c r="I81" i="3"/>
  <c r="M81" i="3"/>
  <c r="C81" i="3"/>
  <c r="G81" i="3"/>
  <c r="F81" i="3"/>
  <c r="H83" i="4" l="1"/>
  <c r="I83" i="4" s="1"/>
  <c r="E83" i="4"/>
  <c r="B83" i="4"/>
  <c r="A84" i="4"/>
  <c r="K82" i="4"/>
  <c r="J82" i="4"/>
  <c r="C82" i="3"/>
  <c r="F82" i="3"/>
  <c r="M82" i="3"/>
  <c r="G82" i="3"/>
  <c r="J82" i="3"/>
  <c r="K82" i="3"/>
  <c r="C82" i="4"/>
  <c r="G82" i="4"/>
  <c r="F82" i="4"/>
  <c r="M82" i="4"/>
  <c r="B83" i="3"/>
  <c r="A84" i="3"/>
  <c r="H83" i="3"/>
  <c r="I83" i="3" s="1"/>
  <c r="E83" i="3"/>
  <c r="I82" i="3"/>
  <c r="B84" i="3" l="1"/>
  <c r="H84" i="3"/>
  <c r="I84" i="3" s="1"/>
  <c r="E84" i="3"/>
  <c r="A85" i="3"/>
  <c r="J83" i="3"/>
  <c r="K83" i="3"/>
  <c r="M83" i="4"/>
  <c r="G83" i="4"/>
  <c r="C83" i="4"/>
  <c r="F83" i="4"/>
  <c r="G83" i="3"/>
  <c r="C83" i="3"/>
  <c r="F83" i="3"/>
  <c r="M83" i="3"/>
  <c r="H84" i="4"/>
  <c r="I84" i="4" s="1"/>
  <c r="B84" i="4"/>
  <c r="E84" i="4"/>
  <c r="A85" i="4"/>
  <c r="K83" i="4"/>
  <c r="J83" i="4"/>
  <c r="C84" i="4" l="1"/>
  <c r="F84" i="4"/>
  <c r="M84" i="4"/>
  <c r="G84" i="4"/>
  <c r="E85" i="4"/>
  <c r="H85" i="4"/>
  <c r="B85" i="4"/>
  <c r="A86" i="4"/>
  <c r="E85" i="3"/>
  <c r="H85" i="3"/>
  <c r="A86" i="3"/>
  <c r="B85" i="3"/>
  <c r="K84" i="4"/>
  <c r="J84" i="4"/>
  <c r="K84" i="3"/>
  <c r="J84" i="3"/>
  <c r="M84" i="3"/>
  <c r="C84" i="3"/>
  <c r="G84" i="3"/>
  <c r="F84" i="3"/>
  <c r="J85" i="3" l="1"/>
  <c r="K85" i="3"/>
  <c r="E86" i="3"/>
  <c r="A87" i="3"/>
  <c r="B86" i="3"/>
  <c r="H86" i="3"/>
  <c r="E86" i="4"/>
  <c r="H86" i="4"/>
  <c r="B86" i="4"/>
  <c r="A87" i="4"/>
  <c r="G85" i="4"/>
  <c r="C85" i="4"/>
  <c r="M85" i="4"/>
  <c r="F85" i="4"/>
  <c r="I85" i="3"/>
  <c r="G85" i="3"/>
  <c r="F85" i="3"/>
  <c r="C85" i="3"/>
  <c r="M85" i="3"/>
  <c r="K85" i="4"/>
  <c r="J85" i="4"/>
  <c r="I85" i="4"/>
  <c r="B87" i="4" l="1"/>
  <c r="H87" i="4"/>
  <c r="A88" i="4"/>
  <c r="E87" i="4"/>
  <c r="G86" i="4"/>
  <c r="F86" i="4"/>
  <c r="C86" i="4"/>
  <c r="M86" i="4"/>
  <c r="J86" i="4"/>
  <c r="K86" i="4"/>
  <c r="J86" i="3"/>
  <c r="K86" i="3"/>
  <c r="G86" i="3"/>
  <c r="C86" i="3"/>
  <c r="F86" i="3"/>
  <c r="M86" i="3"/>
  <c r="E87" i="3"/>
  <c r="H87" i="3"/>
  <c r="B87" i="3"/>
  <c r="A88" i="3"/>
  <c r="I86" i="4"/>
  <c r="I86" i="3"/>
  <c r="B88" i="3" l="1"/>
  <c r="H88" i="3"/>
  <c r="A89" i="3"/>
  <c r="E88" i="3"/>
  <c r="K87" i="3"/>
  <c r="J87" i="3"/>
  <c r="I87" i="3"/>
  <c r="C87" i="3"/>
  <c r="F87" i="3"/>
  <c r="G87" i="3"/>
  <c r="M87" i="3"/>
  <c r="B88" i="4"/>
  <c r="H88" i="4"/>
  <c r="I88" i="4" s="1"/>
  <c r="A89" i="4"/>
  <c r="E88" i="4"/>
  <c r="J87" i="4"/>
  <c r="K87" i="4"/>
  <c r="I87" i="4"/>
  <c r="G87" i="4"/>
  <c r="F87" i="4"/>
  <c r="C87" i="4"/>
  <c r="M87" i="4"/>
  <c r="E89" i="4" l="1"/>
  <c r="H89" i="4"/>
  <c r="B89" i="4"/>
  <c r="A90" i="4"/>
  <c r="C88" i="4"/>
  <c r="F88" i="4"/>
  <c r="G88" i="4"/>
  <c r="M88" i="4"/>
  <c r="B89" i="3"/>
  <c r="H89" i="3"/>
  <c r="I89" i="3" s="1"/>
  <c r="E89" i="3"/>
  <c r="A90" i="3"/>
  <c r="K88" i="3"/>
  <c r="J88" i="3"/>
  <c r="J88" i="4"/>
  <c r="K88" i="4"/>
  <c r="I88" i="3"/>
  <c r="G88" i="3"/>
  <c r="F88" i="3"/>
  <c r="M88" i="3"/>
  <c r="C88" i="3"/>
  <c r="H90" i="3" l="1"/>
  <c r="I90" i="3" s="1"/>
  <c r="E90" i="3"/>
  <c r="B90" i="3"/>
  <c r="A91" i="3"/>
  <c r="J89" i="3"/>
  <c r="K89" i="3"/>
  <c r="C89" i="4"/>
  <c r="G89" i="4"/>
  <c r="F89" i="4"/>
  <c r="M89" i="4"/>
  <c r="J89" i="4"/>
  <c r="K89" i="4"/>
  <c r="G89" i="3"/>
  <c r="M89" i="3"/>
  <c r="C89" i="3"/>
  <c r="F89" i="3"/>
  <c r="A91" i="4"/>
  <c r="B90" i="4"/>
  <c r="E90" i="4"/>
  <c r="H90" i="4"/>
  <c r="I90" i="4" s="1"/>
  <c r="I89" i="4"/>
  <c r="C90" i="4" l="1"/>
  <c r="G90" i="4"/>
  <c r="F90" i="4"/>
  <c r="M90" i="4"/>
  <c r="H91" i="3"/>
  <c r="I91" i="3" s="1"/>
  <c r="E91" i="3"/>
  <c r="A92" i="3"/>
  <c r="B91" i="3"/>
  <c r="J90" i="4"/>
  <c r="K90" i="4"/>
  <c r="B91" i="4"/>
  <c r="H91" i="4"/>
  <c r="I91" i="4" s="1"/>
  <c r="E91" i="4"/>
  <c r="A92" i="4"/>
  <c r="G90" i="3"/>
  <c r="F90" i="3"/>
  <c r="M90" i="3"/>
  <c r="C90" i="3"/>
  <c r="K90" i="3"/>
  <c r="J90" i="3"/>
  <c r="M91" i="3" l="1"/>
  <c r="G91" i="3"/>
  <c r="F91" i="3"/>
  <c r="C91" i="3"/>
  <c r="E92" i="4"/>
  <c r="H92" i="4"/>
  <c r="A93" i="4"/>
  <c r="B92" i="4"/>
  <c r="E92" i="3"/>
  <c r="B92" i="3"/>
  <c r="H92" i="3"/>
  <c r="A93" i="3"/>
  <c r="M91" i="4"/>
  <c r="C91" i="4"/>
  <c r="F91" i="4"/>
  <c r="G91" i="4"/>
  <c r="K91" i="4"/>
  <c r="J91" i="4"/>
  <c r="K91" i="3"/>
  <c r="J91" i="3"/>
  <c r="H93" i="3" l="1"/>
  <c r="I93" i="3" s="1"/>
  <c r="E93" i="3"/>
  <c r="A94" i="3"/>
  <c r="B93" i="3"/>
  <c r="J92" i="3"/>
  <c r="K92" i="3"/>
  <c r="I92" i="3"/>
  <c r="K92" i="4"/>
  <c r="J92" i="4"/>
  <c r="F92" i="4"/>
  <c r="C92" i="4"/>
  <c r="M92" i="4"/>
  <c r="G92" i="4"/>
  <c r="H93" i="4"/>
  <c r="A94" i="4"/>
  <c r="B93" i="4"/>
  <c r="E93" i="4"/>
  <c r="I92" i="4"/>
  <c r="G92" i="3"/>
  <c r="F92" i="3"/>
  <c r="M92" i="3"/>
  <c r="C92" i="3"/>
  <c r="K93" i="4" l="1"/>
  <c r="J93" i="4"/>
  <c r="B94" i="4"/>
  <c r="A95" i="4"/>
  <c r="H94" i="4"/>
  <c r="I94" i="4" s="1"/>
  <c r="E94" i="4"/>
  <c r="B94" i="3"/>
  <c r="H94" i="3"/>
  <c r="I94" i="3" s="1"/>
  <c r="E94" i="3"/>
  <c r="A95" i="3"/>
  <c r="I93" i="4"/>
  <c r="M93" i="4"/>
  <c r="F93" i="4"/>
  <c r="G93" i="4"/>
  <c r="C93" i="4"/>
  <c r="G93" i="3"/>
  <c r="M93" i="3"/>
  <c r="F93" i="3"/>
  <c r="C93" i="3"/>
  <c r="K93" i="3"/>
  <c r="J93" i="3"/>
  <c r="B95" i="3" l="1"/>
  <c r="E95" i="3"/>
  <c r="H95" i="3"/>
  <c r="A96" i="3"/>
  <c r="C94" i="3"/>
  <c r="F94" i="3"/>
  <c r="G94" i="3"/>
  <c r="M94" i="3"/>
  <c r="K94" i="4"/>
  <c r="J94" i="4"/>
  <c r="J94" i="3"/>
  <c r="K94" i="3"/>
  <c r="H95" i="4"/>
  <c r="B95" i="4"/>
  <c r="E95" i="4"/>
  <c r="A96" i="4"/>
  <c r="F94" i="4"/>
  <c r="C94" i="4"/>
  <c r="M94" i="4"/>
  <c r="G94" i="4"/>
  <c r="K95" i="4" l="1"/>
  <c r="J95" i="4"/>
  <c r="H96" i="4"/>
  <c r="I96" i="4" s="1"/>
  <c r="B96" i="4"/>
  <c r="E96" i="4"/>
  <c r="A97" i="4"/>
  <c r="H96" i="3"/>
  <c r="I96" i="3" s="1"/>
  <c r="E96" i="3"/>
  <c r="A97" i="3"/>
  <c r="B96" i="3"/>
  <c r="C95" i="4"/>
  <c r="G95" i="4"/>
  <c r="M95" i="4"/>
  <c r="F95" i="4"/>
  <c r="I95" i="4"/>
  <c r="K95" i="3"/>
  <c r="J95" i="3"/>
  <c r="I95" i="3"/>
  <c r="G95" i="3"/>
  <c r="C95" i="3"/>
  <c r="F95" i="3"/>
  <c r="M95" i="3"/>
  <c r="H97" i="3" l="1"/>
  <c r="I97" i="3" s="1"/>
  <c r="B97" i="3"/>
  <c r="E97" i="3"/>
  <c r="A98" i="3"/>
  <c r="H97" i="4"/>
  <c r="A98" i="4"/>
  <c r="B97" i="4"/>
  <c r="E97" i="4"/>
  <c r="C96" i="3"/>
  <c r="M96" i="3"/>
  <c r="F96" i="3"/>
  <c r="G96" i="3"/>
  <c r="M96" i="4"/>
  <c r="F96" i="4"/>
  <c r="C96" i="4"/>
  <c r="G96" i="4"/>
  <c r="K96" i="3"/>
  <c r="J96" i="3"/>
  <c r="J96" i="4"/>
  <c r="K96" i="4"/>
  <c r="C97" i="4" l="1"/>
  <c r="M97" i="4"/>
  <c r="F97" i="4"/>
  <c r="G97" i="4"/>
  <c r="B98" i="4"/>
  <c r="A99" i="4"/>
  <c r="E98" i="4"/>
  <c r="H98" i="4"/>
  <c r="J97" i="4"/>
  <c r="K97" i="4"/>
  <c r="I97" i="4"/>
  <c r="H98" i="3"/>
  <c r="I98" i="3" s="1"/>
  <c r="B98" i="3"/>
  <c r="E98" i="3"/>
  <c r="A99" i="3"/>
  <c r="M97" i="3"/>
  <c r="C97" i="3"/>
  <c r="F97" i="3"/>
  <c r="G97" i="3"/>
  <c r="K97" i="3"/>
  <c r="J97" i="3"/>
  <c r="B99" i="3" l="1"/>
  <c r="E99" i="3"/>
  <c r="H99" i="3"/>
  <c r="A100" i="3"/>
  <c r="G98" i="3"/>
  <c r="M98" i="3"/>
  <c r="C98" i="3"/>
  <c r="F98" i="3"/>
  <c r="J98" i="4"/>
  <c r="K98" i="4"/>
  <c r="K98" i="3"/>
  <c r="J98" i="3"/>
  <c r="I98" i="4"/>
  <c r="E99" i="4"/>
  <c r="H99" i="4"/>
  <c r="I99" i="4" s="1"/>
  <c r="A100" i="4"/>
  <c r="B99" i="4"/>
  <c r="G98" i="4"/>
  <c r="M98" i="4"/>
  <c r="F98" i="4"/>
  <c r="C98" i="4"/>
  <c r="K99" i="4" l="1"/>
  <c r="J99" i="4"/>
  <c r="K99" i="3"/>
  <c r="J99" i="3"/>
  <c r="I99" i="3"/>
  <c r="M99" i="4"/>
  <c r="F99" i="4"/>
  <c r="G99" i="4"/>
  <c r="C99" i="4"/>
  <c r="B100" i="4"/>
  <c r="H100" i="4"/>
  <c r="I100" i="4" s="1"/>
  <c r="E100" i="4"/>
  <c r="A101" i="4"/>
  <c r="E100" i="3"/>
  <c r="B100" i="3"/>
  <c r="A101" i="3"/>
  <c r="H100" i="3"/>
  <c r="C99" i="3"/>
  <c r="G99" i="3"/>
  <c r="M99" i="3"/>
  <c r="F99" i="3"/>
  <c r="F100" i="3" l="1"/>
  <c r="G100" i="3"/>
  <c r="M100" i="3"/>
  <c r="C100" i="3"/>
  <c r="H101" i="3"/>
  <c r="I101" i="3" s="1"/>
  <c r="E101" i="3"/>
  <c r="B101" i="3"/>
  <c r="A102" i="3"/>
  <c r="K100" i="3"/>
  <c r="J100" i="3"/>
  <c r="I100" i="3"/>
  <c r="B101" i="4"/>
  <c r="H101" i="4"/>
  <c r="I101" i="4" s="1"/>
  <c r="E101" i="4"/>
  <c r="A102" i="4"/>
  <c r="G100" i="4"/>
  <c r="F100" i="4"/>
  <c r="C100" i="4"/>
  <c r="M100" i="4"/>
  <c r="K100" i="4"/>
  <c r="J100" i="4"/>
  <c r="M101" i="4" l="1"/>
  <c r="C101" i="4"/>
  <c r="F101" i="4"/>
  <c r="G101" i="4"/>
  <c r="J101" i="4"/>
  <c r="K101" i="4"/>
  <c r="C101" i="3"/>
  <c r="G101" i="3"/>
  <c r="F101" i="3"/>
  <c r="M101" i="3"/>
  <c r="H102" i="4"/>
  <c r="I102" i="4" s="1"/>
  <c r="B102" i="4"/>
  <c r="E102" i="4"/>
  <c r="A103" i="4"/>
  <c r="H102" i="3"/>
  <c r="I102" i="3" s="1"/>
  <c r="A103" i="3"/>
  <c r="E102" i="3"/>
  <c r="B102" i="3"/>
  <c r="J101" i="3"/>
  <c r="K101" i="3"/>
  <c r="B103" i="4" l="1"/>
  <c r="H103" i="4"/>
  <c r="I103" i="4" s="1"/>
  <c r="E103" i="4"/>
  <c r="A104" i="4"/>
  <c r="G102" i="4"/>
  <c r="F102" i="4"/>
  <c r="C102" i="4"/>
  <c r="M102" i="4"/>
  <c r="M102" i="3"/>
  <c r="G102" i="3"/>
  <c r="F102" i="3"/>
  <c r="C102" i="3"/>
  <c r="K102" i="3"/>
  <c r="J102" i="3"/>
  <c r="K102" i="4"/>
  <c r="J102" i="4"/>
  <c r="E103" i="3"/>
  <c r="H103" i="3"/>
  <c r="I103" i="3" s="1"/>
  <c r="B103" i="3"/>
  <c r="A104" i="3"/>
  <c r="C103" i="3" l="1"/>
  <c r="F103" i="3"/>
  <c r="M103" i="3"/>
  <c r="G103" i="3"/>
  <c r="E104" i="3"/>
  <c r="B104" i="3"/>
  <c r="H104" i="3"/>
  <c r="A105" i="3"/>
  <c r="K103" i="3"/>
  <c r="J103" i="3"/>
  <c r="B104" i="4"/>
  <c r="A105" i="4"/>
  <c r="H104" i="4"/>
  <c r="I104" i="4" s="1"/>
  <c r="E104" i="4"/>
  <c r="K103" i="4"/>
  <c r="J103" i="4"/>
  <c r="C103" i="4"/>
  <c r="G103" i="4"/>
  <c r="F103" i="4"/>
  <c r="M103" i="4"/>
  <c r="G104" i="4" l="1"/>
  <c r="M104" i="4"/>
  <c r="F104" i="4"/>
  <c r="C104" i="4"/>
  <c r="E105" i="4"/>
  <c r="H105" i="4"/>
  <c r="I105" i="4" s="1"/>
  <c r="B105" i="4"/>
  <c r="A106" i="4"/>
  <c r="H105" i="3"/>
  <c r="I105" i="3" s="1"/>
  <c r="E105" i="3"/>
  <c r="B105" i="3"/>
  <c r="A106" i="3"/>
  <c r="K104" i="3"/>
  <c r="J104" i="3"/>
  <c r="F104" i="3"/>
  <c r="G104" i="3"/>
  <c r="C104" i="3"/>
  <c r="M104" i="3"/>
  <c r="I104" i="3"/>
  <c r="J104" i="4"/>
  <c r="K104" i="4"/>
  <c r="E106" i="3" l="1"/>
  <c r="H106" i="3"/>
  <c r="I106" i="3" s="1"/>
  <c r="B106" i="3"/>
  <c r="A107" i="3"/>
  <c r="H106" i="4"/>
  <c r="I106" i="4" s="1"/>
  <c r="A107" i="4"/>
  <c r="E106" i="4"/>
  <c r="B106" i="4"/>
  <c r="F105" i="4"/>
  <c r="M105" i="4"/>
  <c r="C105" i="4"/>
  <c r="G105" i="4"/>
  <c r="J105" i="3"/>
  <c r="K105" i="3"/>
  <c r="G105" i="3"/>
  <c r="F105" i="3"/>
  <c r="M105" i="3"/>
  <c r="C105" i="3"/>
  <c r="K105" i="4"/>
  <c r="J105" i="4"/>
  <c r="C106" i="4" l="1"/>
  <c r="F106" i="4"/>
  <c r="M106" i="4"/>
  <c r="G106" i="4"/>
  <c r="C106" i="3"/>
  <c r="G106" i="3"/>
  <c r="F106" i="3"/>
  <c r="M106" i="3"/>
  <c r="J106" i="4"/>
  <c r="K106" i="4"/>
  <c r="J106" i="3"/>
  <c r="K106" i="3"/>
  <c r="E107" i="4"/>
  <c r="B107" i="4"/>
  <c r="H107" i="4"/>
  <c r="I107" i="4" s="1"/>
  <c r="A108" i="4"/>
  <c r="B107" i="3"/>
  <c r="E107" i="3"/>
  <c r="H107" i="3"/>
  <c r="I107" i="3" s="1"/>
  <c r="A108" i="3"/>
  <c r="H108" i="3" l="1"/>
  <c r="I108" i="3" s="1"/>
  <c r="E108" i="3"/>
  <c r="A109" i="3"/>
  <c r="B108" i="3"/>
  <c r="H108" i="4"/>
  <c r="I108" i="4" s="1"/>
  <c r="B108" i="4"/>
  <c r="A109" i="4"/>
  <c r="E108" i="4"/>
  <c r="F107" i="3"/>
  <c r="G107" i="3"/>
  <c r="C107" i="3"/>
  <c r="M107" i="3"/>
  <c r="J107" i="4"/>
  <c r="K107" i="4"/>
  <c r="J107" i="3"/>
  <c r="K107" i="3"/>
  <c r="C107" i="4"/>
  <c r="F107" i="4"/>
  <c r="M107" i="4"/>
  <c r="G107" i="4"/>
  <c r="H109" i="4" l="1"/>
  <c r="I109" i="4" s="1"/>
  <c r="E109" i="4"/>
  <c r="B109" i="4"/>
  <c r="A110" i="4"/>
  <c r="G108" i="4"/>
  <c r="C108" i="4"/>
  <c r="F108" i="4"/>
  <c r="M108" i="4"/>
  <c r="H109" i="3"/>
  <c r="I109" i="3" s="1"/>
  <c r="E109" i="3"/>
  <c r="A110" i="3"/>
  <c r="B109" i="3"/>
  <c r="F108" i="3"/>
  <c r="M108" i="3"/>
  <c r="G108" i="3"/>
  <c r="C108" i="3"/>
  <c r="J108" i="4"/>
  <c r="K108" i="4"/>
  <c r="K108" i="3"/>
  <c r="J108" i="3"/>
  <c r="B110" i="3" l="1"/>
  <c r="H110" i="3"/>
  <c r="A111" i="3"/>
  <c r="E110" i="3"/>
  <c r="M109" i="3"/>
  <c r="C109" i="3"/>
  <c r="F109" i="3"/>
  <c r="G109" i="3"/>
  <c r="C109" i="4"/>
  <c r="M109" i="4"/>
  <c r="F109" i="4"/>
  <c r="G109" i="4"/>
  <c r="K109" i="3"/>
  <c r="J109" i="3"/>
  <c r="H110" i="4"/>
  <c r="B110" i="4"/>
  <c r="E110" i="4"/>
  <c r="A111" i="4"/>
  <c r="K109" i="4"/>
  <c r="J109" i="4"/>
  <c r="H111" i="4" l="1"/>
  <c r="I111" i="4" s="1"/>
  <c r="E111" i="4"/>
  <c r="A112" i="4"/>
  <c r="B111" i="4"/>
  <c r="C110" i="4"/>
  <c r="M110" i="4"/>
  <c r="G110" i="4"/>
  <c r="F110" i="4"/>
  <c r="J110" i="4"/>
  <c r="K110" i="4"/>
  <c r="J110" i="3"/>
  <c r="K110" i="3"/>
  <c r="I110" i="4"/>
  <c r="M110" i="3"/>
  <c r="G110" i="3"/>
  <c r="F110" i="3"/>
  <c r="C110" i="3"/>
  <c r="E111" i="3"/>
  <c r="B111" i="3"/>
  <c r="H111" i="3"/>
  <c r="A112" i="3"/>
  <c r="I110" i="3"/>
  <c r="B112" i="3" l="1"/>
  <c r="H112" i="3"/>
  <c r="I112" i="3" s="1"/>
  <c r="A113" i="3"/>
  <c r="E112" i="3"/>
  <c r="J111" i="3"/>
  <c r="K111" i="3"/>
  <c r="E112" i="4"/>
  <c r="B112" i="4"/>
  <c r="A113" i="4"/>
  <c r="H112" i="4"/>
  <c r="I111" i="3"/>
  <c r="M111" i="3"/>
  <c r="F111" i="3"/>
  <c r="C111" i="3"/>
  <c r="G111" i="3"/>
  <c r="M111" i="4"/>
  <c r="G111" i="4"/>
  <c r="F111" i="4"/>
  <c r="C111" i="4"/>
  <c r="J111" i="4"/>
  <c r="K111" i="4"/>
  <c r="F112" i="4" l="1"/>
  <c r="C112" i="4"/>
  <c r="G112" i="4"/>
  <c r="M112" i="4"/>
  <c r="H113" i="4"/>
  <c r="E113" i="4"/>
  <c r="A114" i="4"/>
  <c r="B113" i="4"/>
  <c r="J112" i="4"/>
  <c r="K112" i="4"/>
  <c r="I112" i="4"/>
  <c r="E113" i="3"/>
  <c r="B113" i="3"/>
  <c r="H113" i="3"/>
  <c r="I113" i="3" s="1"/>
  <c r="A114" i="3"/>
  <c r="J112" i="3"/>
  <c r="K112" i="3"/>
  <c r="F112" i="3"/>
  <c r="C112" i="3"/>
  <c r="M112" i="3"/>
  <c r="G112" i="3"/>
  <c r="H114" i="3" l="1"/>
  <c r="I114" i="3" s="1"/>
  <c r="B114" i="3"/>
  <c r="E114" i="3"/>
  <c r="A115" i="3"/>
  <c r="G113" i="4"/>
  <c r="F113" i="4"/>
  <c r="C113" i="4"/>
  <c r="M113" i="4"/>
  <c r="K113" i="3"/>
  <c r="J113" i="3"/>
  <c r="B114" i="4"/>
  <c r="H114" i="4"/>
  <c r="A115" i="4"/>
  <c r="E114" i="4"/>
  <c r="F113" i="3"/>
  <c r="M113" i="3"/>
  <c r="C113" i="3"/>
  <c r="G113" i="3"/>
  <c r="K113" i="4"/>
  <c r="J113" i="4"/>
  <c r="I113" i="4"/>
  <c r="G114" i="4" l="1"/>
  <c r="C114" i="4"/>
  <c r="M114" i="4"/>
  <c r="F114" i="4"/>
  <c r="J114" i="4"/>
  <c r="K114" i="4"/>
  <c r="I114" i="4"/>
  <c r="C114" i="3"/>
  <c r="F114" i="3"/>
  <c r="G114" i="3"/>
  <c r="M114" i="3"/>
  <c r="H115" i="4"/>
  <c r="I115" i="4" s="1"/>
  <c r="B115" i="4"/>
  <c r="E115" i="4"/>
  <c r="A116" i="4"/>
  <c r="B115" i="3"/>
  <c r="E115" i="3"/>
  <c r="A116" i="3"/>
  <c r="H115" i="3"/>
  <c r="I115" i="3" s="1"/>
  <c r="J114" i="3"/>
  <c r="K114" i="3"/>
  <c r="E116" i="4" l="1"/>
  <c r="B116" i="4"/>
  <c r="H116" i="4"/>
  <c r="A117" i="4"/>
  <c r="G115" i="3"/>
  <c r="C115" i="3"/>
  <c r="M115" i="3"/>
  <c r="F115" i="3"/>
  <c r="J115" i="3"/>
  <c r="K115" i="3"/>
  <c r="K115" i="4"/>
  <c r="J115" i="4"/>
  <c r="E116" i="3"/>
  <c r="H116" i="3"/>
  <c r="B116" i="3"/>
  <c r="A117" i="3"/>
  <c r="M115" i="4"/>
  <c r="G115" i="4"/>
  <c r="C115" i="4"/>
  <c r="F115" i="4"/>
  <c r="H117" i="3" l="1"/>
  <c r="I117" i="3" s="1"/>
  <c r="E117" i="3"/>
  <c r="A118" i="3"/>
  <c r="B117" i="3"/>
  <c r="J116" i="3"/>
  <c r="K116" i="3"/>
  <c r="J116" i="4"/>
  <c r="K116" i="4"/>
  <c r="M116" i="3"/>
  <c r="C116" i="3"/>
  <c r="G116" i="3"/>
  <c r="F116" i="3"/>
  <c r="M116" i="4"/>
  <c r="G116" i="4"/>
  <c r="C116" i="4"/>
  <c r="F116" i="4"/>
  <c r="H117" i="4"/>
  <c r="I117" i="4" s="1"/>
  <c r="E117" i="4"/>
  <c r="B117" i="4"/>
  <c r="A118" i="4"/>
  <c r="I116" i="4"/>
  <c r="I116" i="3"/>
  <c r="C117" i="4" l="1"/>
  <c r="M117" i="4"/>
  <c r="G117" i="4"/>
  <c r="F117" i="4"/>
  <c r="B118" i="4"/>
  <c r="H118" i="4"/>
  <c r="I118" i="4" s="1"/>
  <c r="E118" i="4"/>
  <c r="A119" i="4"/>
  <c r="G117" i="3"/>
  <c r="F117" i="3"/>
  <c r="M117" i="3"/>
  <c r="C117" i="3"/>
  <c r="H118" i="3"/>
  <c r="I118" i="3" s="1"/>
  <c r="E118" i="3"/>
  <c r="A119" i="3"/>
  <c r="B118" i="3"/>
  <c r="J117" i="4"/>
  <c r="K117" i="4"/>
  <c r="J117" i="3"/>
  <c r="K117" i="3"/>
  <c r="B119" i="4" l="1"/>
  <c r="E119" i="4"/>
  <c r="H119" i="4"/>
  <c r="A120" i="4"/>
  <c r="C118" i="3"/>
  <c r="M118" i="3"/>
  <c r="G118" i="3"/>
  <c r="F118" i="3"/>
  <c r="B119" i="3"/>
  <c r="H119" i="3"/>
  <c r="I119" i="3" s="1"/>
  <c r="E119" i="3"/>
  <c r="A120" i="3"/>
  <c r="K118" i="4"/>
  <c r="J118" i="4"/>
  <c r="K118" i="3"/>
  <c r="J118" i="3"/>
  <c r="F118" i="4"/>
  <c r="C118" i="4"/>
  <c r="G118" i="4"/>
  <c r="M118" i="4"/>
  <c r="B120" i="3" l="1"/>
  <c r="H120" i="3"/>
  <c r="A121" i="3"/>
  <c r="E120" i="3"/>
  <c r="J119" i="3"/>
  <c r="K119" i="3"/>
  <c r="H120" i="4"/>
  <c r="A121" i="4"/>
  <c r="E120" i="4"/>
  <c r="B120" i="4"/>
  <c r="K119" i="4"/>
  <c r="J119" i="4"/>
  <c r="I119" i="4"/>
  <c r="G119" i="3"/>
  <c r="F119" i="3"/>
  <c r="C119" i="3"/>
  <c r="M119" i="3"/>
  <c r="G119" i="4"/>
  <c r="M119" i="4"/>
  <c r="F119" i="4"/>
  <c r="C119" i="4"/>
  <c r="J120" i="4" l="1"/>
  <c r="K120" i="4"/>
  <c r="I120" i="4"/>
  <c r="F120" i="4"/>
  <c r="C120" i="4"/>
  <c r="G120" i="4"/>
  <c r="M120" i="4"/>
  <c r="B121" i="3"/>
  <c r="A122" i="3"/>
  <c r="H121" i="3"/>
  <c r="E121" i="3"/>
  <c r="E121" i="4"/>
  <c r="B121" i="4"/>
  <c r="A122" i="4"/>
  <c r="H121" i="4"/>
  <c r="I121" i="4" s="1"/>
  <c r="K120" i="3"/>
  <c r="J120" i="3"/>
  <c r="I120" i="3"/>
  <c r="F120" i="3"/>
  <c r="M120" i="3"/>
  <c r="C120" i="3"/>
  <c r="G120" i="3"/>
  <c r="C121" i="4" l="1"/>
  <c r="M121" i="4"/>
  <c r="G121" i="4"/>
  <c r="F121" i="4"/>
  <c r="E122" i="3"/>
  <c r="B122" i="3"/>
  <c r="H122" i="3"/>
  <c r="A123" i="3"/>
  <c r="J121" i="4"/>
  <c r="K121" i="4"/>
  <c r="K121" i="3"/>
  <c r="J121" i="3"/>
  <c r="I121" i="3"/>
  <c r="H122" i="4"/>
  <c r="I122" i="4" s="1"/>
  <c r="E122" i="4"/>
  <c r="A123" i="4"/>
  <c r="B122" i="4"/>
  <c r="G121" i="3"/>
  <c r="M121" i="3"/>
  <c r="C121" i="3"/>
  <c r="F121" i="3"/>
  <c r="F122" i="4" l="1"/>
  <c r="G122" i="4"/>
  <c r="M122" i="4"/>
  <c r="C122" i="4"/>
  <c r="E123" i="3"/>
  <c r="H123" i="3"/>
  <c r="I123" i="3" s="1"/>
  <c r="B123" i="3"/>
  <c r="A124" i="3"/>
  <c r="F122" i="3"/>
  <c r="M122" i="3"/>
  <c r="G122" i="3"/>
  <c r="C122" i="3"/>
  <c r="K122" i="4"/>
  <c r="J122" i="4"/>
  <c r="J122" i="3"/>
  <c r="K122" i="3"/>
  <c r="I122" i="3"/>
  <c r="B123" i="4"/>
  <c r="A124" i="4"/>
  <c r="E123" i="4"/>
  <c r="H123" i="4"/>
  <c r="I123" i="4" s="1"/>
  <c r="B124" i="3" l="1"/>
  <c r="H124" i="3"/>
  <c r="I124" i="3" s="1"/>
  <c r="A125" i="3"/>
  <c r="E124" i="3"/>
  <c r="K123" i="4"/>
  <c r="J123" i="4"/>
  <c r="H124" i="4"/>
  <c r="I124" i="4" s="1"/>
  <c r="A125" i="4"/>
  <c r="E124" i="4"/>
  <c r="B124" i="4"/>
  <c r="K123" i="3"/>
  <c r="J123" i="3"/>
  <c r="C123" i="4"/>
  <c r="F123" i="4"/>
  <c r="M123" i="4"/>
  <c r="G123" i="4"/>
  <c r="F123" i="3"/>
  <c r="G123" i="3"/>
  <c r="C123" i="3"/>
  <c r="M123" i="3"/>
  <c r="B125" i="4" l="1"/>
  <c r="H125" i="4"/>
  <c r="I125" i="4" s="1"/>
  <c r="E125" i="4"/>
  <c r="A126" i="4"/>
  <c r="M124" i="4"/>
  <c r="F124" i="4"/>
  <c r="G124" i="4"/>
  <c r="C124" i="4"/>
  <c r="E125" i="3"/>
  <c r="B125" i="3"/>
  <c r="A126" i="3"/>
  <c r="H125" i="3"/>
  <c r="J124" i="3"/>
  <c r="K124" i="3"/>
  <c r="J124" i="4"/>
  <c r="K124" i="4"/>
  <c r="C124" i="3"/>
  <c r="F124" i="3"/>
  <c r="G124" i="3"/>
  <c r="M124" i="3"/>
  <c r="J125" i="3" l="1"/>
  <c r="K125" i="3"/>
  <c r="I125" i="3"/>
  <c r="M125" i="3"/>
  <c r="F125" i="3"/>
  <c r="C125" i="3"/>
  <c r="G125" i="3"/>
  <c r="B126" i="4"/>
  <c r="E126" i="4"/>
  <c r="H126" i="4"/>
  <c r="A127" i="4"/>
  <c r="J125" i="4"/>
  <c r="K125" i="4"/>
  <c r="H126" i="3"/>
  <c r="B126" i="3"/>
  <c r="E126" i="3"/>
  <c r="A127" i="3"/>
  <c r="F125" i="4"/>
  <c r="G125" i="4"/>
  <c r="M125" i="4"/>
  <c r="C125" i="4"/>
  <c r="K126" i="3" l="1"/>
  <c r="J126" i="3"/>
  <c r="K126" i="4"/>
  <c r="J126" i="4"/>
  <c r="I126" i="3"/>
  <c r="B127" i="4"/>
  <c r="E127" i="4"/>
  <c r="H127" i="4"/>
  <c r="A128" i="4"/>
  <c r="I126" i="4"/>
  <c r="F126" i="3"/>
  <c r="M126" i="3"/>
  <c r="C126" i="3"/>
  <c r="G126" i="3"/>
  <c r="B127" i="3"/>
  <c r="E127" i="3"/>
  <c r="H127" i="3"/>
  <c r="A128" i="3"/>
  <c r="M126" i="4"/>
  <c r="G126" i="4"/>
  <c r="C126" i="4"/>
  <c r="F126" i="4"/>
  <c r="F127" i="3" l="1"/>
  <c r="M127" i="3"/>
  <c r="C127" i="3"/>
  <c r="G127" i="3"/>
  <c r="K127" i="3"/>
  <c r="J127" i="3"/>
  <c r="M127" i="4"/>
  <c r="G127" i="4"/>
  <c r="C127" i="4"/>
  <c r="F127" i="4"/>
  <c r="H128" i="4"/>
  <c r="E128" i="4"/>
  <c r="B128" i="4"/>
  <c r="A129" i="4"/>
  <c r="H128" i="3"/>
  <c r="I128" i="3" s="1"/>
  <c r="E128" i="3"/>
  <c r="B128" i="3"/>
  <c r="A129" i="3"/>
  <c r="J127" i="4"/>
  <c r="K127" i="4"/>
  <c r="I127" i="3"/>
  <c r="I127" i="4"/>
  <c r="C128" i="3" l="1"/>
  <c r="G128" i="3"/>
  <c r="F128" i="3"/>
  <c r="M128" i="3"/>
  <c r="K128" i="4"/>
  <c r="J128" i="4"/>
  <c r="J128" i="3"/>
  <c r="K128" i="3"/>
  <c r="H129" i="4"/>
  <c r="I129" i="4" s="1"/>
  <c r="B129" i="4"/>
  <c r="E129" i="4"/>
  <c r="A130" i="4"/>
  <c r="F128" i="4"/>
  <c r="C128" i="4"/>
  <c r="M128" i="4"/>
  <c r="G128" i="4"/>
  <c r="H129" i="3"/>
  <c r="I129" i="3" s="1"/>
  <c r="E129" i="3"/>
  <c r="B129" i="3"/>
  <c r="A130" i="3"/>
  <c r="I128" i="4"/>
  <c r="H130" i="3" l="1"/>
  <c r="I130" i="3" s="1"/>
  <c r="B130" i="3"/>
  <c r="A131" i="3"/>
  <c r="E130" i="3"/>
  <c r="G129" i="3"/>
  <c r="M129" i="3"/>
  <c r="F129" i="3"/>
  <c r="C129" i="3"/>
  <c r="K129" i="4"/>
  <c r="J129" i="4"/>
  <c r="K129" i="3"/>
  <c r="J129" i="3"/>
  <c r="B130" i="4"/>
  <c r="E130" i="4"/>
  <c r="A131" i="4"/>
  <c r="H130" i="4"/>
  <c r="I130" i="4" s="1"/>
  <c r="G129" i="4"/>
  <c r="F129" i="4"/>
  <c r="C129" i="4"/>
  <c r="M129" i="4"/>
  <c r="M130" i="4" l="1"/>
  <c r="C130" i="4"/>
  <c r="G130" i="4"/>
  <c r="F130" i="4"/>
  <c r="K130" i="4"/>
  <c r="J130" i="4"/>
  <c r="E131" i="3"/>
  <c r="H131" i="3"/>
  <c r="I131" i="3" s="1"/>
  <c r="B131" i="3"/>
  <c r="A132" i="3"/>
  <c r="F130" i="3"/>
  <c r="M130" i="3"/>
  <c r="G130" i="3"/>
  <c r="C130" i="3"/>
  <c r="H131" i="4"/>
  <c r="I131" i="4" s="1"/>
  <c r="A132" i="4"/>
  <c r="E131" i="4"/>
  <c r="B131" i="4"/>
  <c r="J130" i="3"/>
  <c r="K130" i="3"/>
  <c r="H132" i="4" l="1"/>
  <c r="I132" i="4" s="1"/>
  <c r="B132" i="4"/>
  <c r="E132" i="4"/>
  <c r="A133" i="4"/>
  <c r="J131" i="4"/>
  <c r="K131" i="4"/>
  <c r="E132" i="3"/>
  <c r="A133" i="3"/>
  <c r="H132" i="3"/>
  <c r="B132" i="3"/>
  <c r="C131" i="4"/>
  <c r="M131" i="4"/>
  <c r="G131" i="4"/>
  <c r="F131" i="4"/>
  <c r="M131" i="3"/>
  <c r="G131" i="3"/>
  <c r="C131" i="3"/>
  <c r="F131" i="3"/>
  <c r="K131" i="3"/>
  <c r="J131" i="3"/>
  <c r="K132" i="3" l="1"/>
  <c r="J132" i="3"/>
  <c r="I132" i="3"/>
  <c r="F132" i="3"/>
  <c r="M132" i="3"/>
  <c r="C132" i="3"/>
  <c r="G132" i="3"/>
  <c r="A134" i="4"/>
  <c r="B133" i="4"/>
  <c r="H133" i="4"/>
  <c r="I133" i="4" s="1"/>
  <c r="E133" i="4"/>
  <c r="M132" i="4"/>
  <c r="C132" i="4"/>
  <c r="F132" i="4"/>
  <c r="G132" i="4"/>
  <c r="B133" i="3"/>
  <c r="E133" i="3"/>
  <c r="H133" i="3"/>
  <c r="A134" i="3"/>
  <c r="J132" i="4"/>
  <c r="K132" i="4"/>
  <c r="H134" i="3" l="1"/>
  <c r="I134" i="3" s="1"/>
  <c r="B134" i="3"/>
  <c r="E134" i="3"/>
  <c r="A135" i="3"/>
  <c r="K133" i="3"/>
  <c r="J133" i="3"/>
  <c r="F133" i="4"/>
  <c r="G133" i="4"/>
  <c r="C133" i="4"/>
  <c r="M133" i="4"/>
  <c r="J133" i="4"/>
  <c r="K133" i="4"/>
  <c r="I133" i="3"/>
  <c r="F133" i="3"/>
  <c r="M133" i="3"/>
  <c r="C133" i="3"/>
  <c r="G133" i="3"/>
  <c r="H134" i="4"/>
  <c r="E134" i="4"/>
  <c r="B134" i="4"/>
  <c r="A135" i="4"/>
  <c r="J134" i="4" l="1"/>
  <c r="K134" i="4"/>
  <c r="G134" i="4"/>
  <c r="M134" i="4"/>
  <c r="C134" i="4"/>
  <c r="F134" i="4"/>
  <c r="I134" i="4"/>
  <c r="M134" i="3"/>
  <c r="G134" i="3"/>
  <c r="C134" i="3"/>
  <c r="F134" i="3"/>
  <c r="H135" i="4"/>
  <c r="I135" i="4" s="1"/>
  <c r="E135" i="4"/>
  <c r="B135" i="4"/>
  <c r="A136" i="4"/>
  <c r="H135" i="3"/>
  <c r="B135" i="3"/>
  <c r="E135" i="3"/>
  <c r="A136" i="3"/>
  <c r="K134" i="3"/>
  <c r="J134" i="3"/>
  <c r="E136" i="3" l="1"/>
  <c r="B136" i="3"/>
  <c r="H136" i="3"/>
  <c r="A137" i="3"/>
  <c r="B136" i="4"/>
  <c r="H136" i="4"/>
  <c r="I136" i="4" s="1"/>
  <c r="E136" i="4"/>
  <c r="A137" i="4"/>
  <c r="F135" i="4"/>
  <c r="G135" i="4"/>
  <c r="M135" i="4"/>
  <c r="C135" i="4"/>
  <c r="J135" i="3"/>
  <c r="K135" i="3"/>
  <c r="F135" i="3"/>
  <c r="G135" i="3"/>
  <c r="C135" i="3"/>
  <c r="M135" i="3"/>
  <c r="I135" i="3"/>
  <c r="K135" i="4"/>
  <c r="J135" i="4"/>
  <c r="J136" i="4" l="1"/>
  <c r="K136" i="4"/>
  <c r="M136" i="4"/>
  <c r="C136" i="4"/>
  <c r="G136" i="4"/>
  <c r="F136" i="4"/>
  <c r="H137" i="4"/>
  <c r="I137" i="4" s="1"/>
  <c r="B137" i="4"/>
  <c r="E137" i="4"/>
  <c r="A138" i="4"/>
  <c r="H137" i="3"/>
  <c r="I137" i="3" s="1"/>
  <c r="B137" i="3"/>
  <c r="E137" i="3"/>
  <c r="A138" i="3"/>
  <c r="J136" i="3"/>
  <c r="K136" i="3"/>
  <c r="M136" i="3"/>
  <c r="F136" i="3"/>
  <c r="C136" i="3"/>
  <c r="G136" i="3"/>
  <c r="I136" i="3"/>
  <c r="M137" i="4" l="1"/>
  <c r="F137" i="4"/>
  <c r="C137" i="4"/>
  <c r="G137" i="4"/>
  <c r="J137" i="3"/>
  <c r="K137" i="3"/>
  <c r="B138" i="3"/>
  <c r="E138" i="3"/>
  <c r="H138" i="3"/>
  <c r="A139" i="3"/>
  <c r="E138" i="4"/>
  <c r="H138" i="4"/>
  <c r="I138" i="4" s="1"/>
  <c r="B138" i="4"/>
  <c r="A139" i="4"/>
  <c r="F137" i="3"/>
  <c r="C137" i="3"/>
  <c r="G137" i="3"/>
  <c r="M137" i="3"/>
  <c r="K137" i="4"/>
  <c r="J137" i="4"/>
  <c r="E139" i="3" l="1"/>
  <c r="B139" i="3"/>
  <c r="H139" i="3"/>
  <c r="A140" i="3"/>
  <c r="E139" i="4"/>
  <c r="H139" i="4"/>
  <c r="A140" i="4"/>
  <c r="B139" i="4"/>
  <c r="J138" i="4"/>
  <c r="K138" i="4"/>
  <c r="J138" i="3"/>
  <c r="K138" i="3"/>
  <c r="G138" i="3"/>
  <c r="M138" i="3"/>
  <c r="F138" i="3"/>
  <c r="C138" i="3"/>
  <c r="M138" i="4"/>
  <c r="F138" i="4"/>
  <c r="G138" i="4"/>
  <c r="C138" i="4"/>
  <c r="I138" i="3"/>
  <c r="M139" i="4" l="1"/>
  <c r="G139" i="4"/>
  <c r="F139" i="4"/>
  <c r="C139" i="4"/>
  <c r="K139" i="4"/>
  <c r="J139" i="4"/>
  <c r="I139" i="4"/>
  <c r="B140" i="4"/>
  <c r="H140" i="4"/>
  <c r="I140" i="4" s="1"/>
  <c r="A141" i="4"/>
  <c r="E140" i="4"/>
  <c r="H140" i="3"/>
  <c r="I140" i="3" s="1"/>
  <c r="B140" i="3"/>
  <c r="A141" i="3"/>
  <c r="E140" i="3"/>
  <c r="J139" i="3"/>
  <c r="K139" i="3"/>
  <c r="F139" i="3"/>
  <c r="C139" i="3"/>
  <c r="G139" i="3"/>
  <c r="M139" i="3"/>
  <c r="I139" i="3"/>
  <c r="A142" i="3" l="1"/>
  <c r="E141" i="3"/>
  <c r="H141" i="3"/>
  <c r="B141" i="3"/>
  <c r="K140" i="3"/>
  <c r="J140" i="3"/>
  <c r="M140" i="3"/>
  <c r="C140" i="3"/>
  <c r="F140" i="3"/>
  <c r="G140" i="3"/>
  <c r="B141" i="4"/>
  <c r="H141" i="4"/>
  <c r="E141" i="4"/>
  <c r="A142" i="4"/>
  <c r="G140" i="4"/>
  <c r="M140" i="4"/>
  <c r="C140" i="4"/>
  <c r="F140" i="4"/>
  <c r="J140" i="4"/>
  <c r="K140" i="4"/>
  <c r="K141" i="4" l="1"/>
  <c r="J141" i="4"/>
  <c r="C141" i="4"/>
  <c r="G141" i="4"/>
  <c r="M141" i="4"/>
  <c r="F141" i="4"/>
  <c r="H142" i="4"/>
  <c r="E142" i="4"/>
  <c r="B142" i="4"/>
  <c r="A143" i="4"/>
  <c r="F141" i="3"/>
  <c r="G141" i="3"/>
  <c r="C141" i="3"/>
  <c r="M141" i="3"/>
  <c r="K141" i="3"/>
  <c r="J141" i="3"/>
  <c r="I141" i="4"/>
  <c r="I141" i="3"/>
  <c r="A143" i="3"/>
  <c r="H142" i="3"/>
  <c r="E142" i="3"/>
  <c r="B142" i="3"/>
  <c r="G142" i="3" l="1"/>
  <c r="C142" i="3"/>
  <c r="M142" i="3"/>
  <c r="F142" i="3"/>
  <c r="E143" i="4"/>
  <c r="A144" i="4"/>
  <c r="H143" i="4"/>
  <c r="I143" i="4" s="1"/>
  <c r="B143" i="4"/>
  <c r="K142" i="3"/>
  <c r="J142" i="3"/>
  <c r="C142" i="4"/>
  <c r="M142" i="4"/>
  <c r="G142" i="4"/>
  <c r="F142" i="4"/>
  <c r="J142" i="4"/>
  <c r="K142" i="4"/>
  <c r="I142" i="3"/>
  <c r="B143" i="3"/>
  <c r="E143" i="3"/>
  <c r="H143" i="3"/>
  <c r="I143" i="3" s="1"/>
  <c r="A144" i="3"/>
  <c r="I142" i="4"/>
  <c r="J143" i="3" l="1"/>
  <c r="K143" i="3"/>
  <c r="J143" i="4"/>
  <c r="K143" i="4"/>
  <c r="H144" i="3"/>
  <c r="I144" i="3" s="1"/>
  <c r="E144" i="3"/>
  <c r="A145" i="3"/>
  <c r="B144" i="3"/>
  <c r="F143" i="4"/>
  <c r="M143" i="4"/>
  <c r="G143" i="4"/>
  <c r="C143" i="4"/>
  <c r="H144" i="4"/>
  <c r="I144" i="4" s="1"/>
  <c r="E144" i="4"/>
  <c r="B144" i="4"/>
  <c r="A145" i="4"/>
  <c r="G143" i="3"/>
  <c r="F143" i="3"/>
  <c r="C143" i="3"/>
  <c r="M143" i="3"/>
  <c r="M144" i="4" l="1"/>
  <c r="F144" i="4"/>
  <c r="C144" i="4"/>
  <c r="G144" i="4"/>
  <c r="B145" i="4"/>
  <c r="H145" i="4"/>
  <c r="E145" i="4"/>
  <c r="A146" i="4"/>
  <c r="K144" i="3"/>
  <c r="J144" i="3"/>
  <c r="M144" i="3"/>
  <c r="C144" i="3"/>
  <c r="G144" i="3"/>
  <c r="F144" i="3"/>
  <c r="K144" i="4"/>
  <c r="J144" i="4"/>
  <c r="B145" i="3"/>
  <c r="A146" i="3"/>
  <c r="H145" i="3"/>
  <c r="E145" i="3"/>
  <c r="K145" i="3" l="1"/>
  <c r="J145" i="3"/>
  <c r="I145" i="3"/>
  <c r="F145" i="3"/>
  <c r="M145" i="3"/>
  <c r="C145" i="3"/>
  <c r="G145" i="3"/>
  <c r="H146" i="4"/>
  <c r="I146" i="4" s="1"/>
  <c r="B146" i="4"/>
  <c r="E146" i="4"/>
  <c r="A147" i="4"/>
  <c r="J145" i="4"/>
  <c r="K145" i="4"/>
  <c r="I145" i="4"/>
  <c r="H146" i="3"/>
  <c r="B146" i="3"/>
  <c r="E146" i="3"/>
  <c r="A147" i="3"/>
  <c r="G145" i="4"/>
  <c r="M145" i="4"/>
  <c r="F145" i="4"/>
  <c r="C145" i="4"/>
  <c r="G146" i="3" l="1"/>
  <c r="F146" i="3"/>
  <c r="C146" i="3"/>
  <c r="M146" i="3"/>
  <c r="J146" i="3"/>
  <c r="K146" i="3"/>
  <c r="G146" i="4"/>
  <c r="F146" i="4"/>
  <c r="C146" i="4"/>
  <c r="M146" i="4"/>
  <c r="I146" i="3"/>
  <c r="H147" i="3"/>
  <c r="I147" i="3" s="1"/>
  <c r="B147" i="3"/>
  <c r="A148" i="3"/>
  <c r="E147" i="3"/>
  <c r="B147" i="4"/>
  <c r="H147" i="4"/>
  <c r="E147" i="4"/>
  <c r="A148" i="4"/>
  <c r="J146" i="4"/>
  <c r="K146" i="4"/>
  <c r="E148" i="4" l="1"/>
  <c r="H148" i="4"/>
  <c r="I148" i="4" s="1"/>
  <c r="B148" i="4"/>
  <c r="A149" i="4"/>
  <c r="K147" i="4"/>
  <c r="J147" i="4"/>
  <c r="H148" i="3"/>
  <c r="B148" i="3"/>
  <c r="E148" i="3"/>
  <c r="A149" i="3"/>
  <c r="J147" i="3"/>
  <c r="K147" i="3"/>
  <c r="F147" i="4"/>
  <c r="G147" i="4"/>
  <c r="C147" i="4"/>
  <c r="M147" i="4"/>
  <c r="I147" i="4"/>
  <c r="C147" i="3"/>
  <c r="F147" i="3"/>
  <c r="G147" i="3"/>
  <c r="M147" i="3"/>
  <c r="B149" i="3" l="1"/>
  <c r="H149" i="3"/>
  <c r="I149" i="3" s="1"/>
  <c r="A150" i="3"/>
  <c r="E149" i="3"/>
  <c r="J148" i="3"/>
  <c r="K148" i="3"/>
  <c r="F148" i="3"/>
  <c r="M148" i="3"/>
  <c r="G148" i="3"/>
  <c r="C148" i="3"/>
  <c r="I148" i="3"/>
  <c r="E149" i="4"/>
  <c r="B149" i="4"/>
  <c r="H149" i="4"/>
  <c r="I149" i="4" s="1"/>
  <c r="A150" i="4"/>
  <c r="F148" i="4"/>
  <c r="M148" i="4"/>
  <c r="C148" i="4"/>
  <c r="G148" i="4"/>
  <c r="K148" i="4"/>
  <c r="J148" i="4"/>
  <c r="K149" i="4" l="1"/>
  <c r="J149" i="4"/>
  <c r="M149" i="4"/>
  <c r="G149" i="4"/>
  <c r="C149" i="4"/>
  <c r="F149" i="4"/>
  <c r="H150" i="4"/>
  <c r="B150" i="4"/>
  <c r="E150" i="4"/>
  <c r="A151" i="4"/>
  <c r="A151" i="3"/>
  <c r="E150" i="3"/>
  <c r="H150" i="3"/>
  <c r="B150" i="3"/>
  <c r="J149" i="3"/>
  <c r="K149" i="3"/>
  <c r="C149" i="3"/>
  <c r="M149" i="3"/>
  <c r="G149" i="3"/>
  <c r="F149" i="3"/>
  <c r="K150" i="3" l="1"/>
  <c r="J150" i="3"/>
  <c r="B151" i="4"/>
  <c r="H151" i="4"/>
  <c r="I151" i="4" s="1"/>
  <c r="E151" i="4"/>
  <c r="A152" i="4"/>
  <c r="F150" i="3"/>
  <c r="G150" i="3"/>
  <c r="M150" i="3"/>
  <c r="C150" i="3"/>
  <c r="I150" i="3"/>
  <c r="K150" i="4"/>
  <c r="J150" i="4"/>
  <c r="I150" i="4"/>
  <c r="E151" i="3"/>
  <c r="B151" i="3"/>
  <c r="H151" i="3"/>
  <c r="A152" i="3"/>
  <c r="F150" i="4"/>
  <c r="G150" i="4"/>
  <c r="C150" i="4"/>
  <c r="M150" i="4"/>
  <c r="H152" i="3" l="1"/>
  <c r="I152" i="3" s="1"/>
  <c r="E152" i="3"/>
  <c r="B152" i="3"/>
  <c r="A153" i="3"/>
  <c r="J151" i="3"/>
  <c r="K151" i="3"/>
  <c r="I151" i="3"/>
  <c r="M151" i="3"/>
  <c r="G151" i="3"/>
  <c r="F151" i="3"/>
  <c r="C151" i="3"/>
  <c r="E152" i="4"/>
  <c r="A153" i="4"/>
  <c r="B152" i="4"/>
  <c r="H152" i="4"/>
  <c r="I152" i="4" s="1"/>
  <c r="J151" i="4"/>
  <c r="K151" i="4"/>
  <c r="M151" i="4"/>
  <c r="F151" i="4"/>
  <c r="C151" i="4"/>
  <c r="G151" i="4"/>
  <c r="E153" i="4" l="1"/>
  <c r="B153" i="4"/>
  <c r="A154" i="4"/>
  <c r="H153" i="4"/>
  <c r="I153" i="4" s="1"/>
  <c r="J152" i="4"/>
  <c r="K152" i="4"/>
  <c r="E153" i="3"/>
  <c r="H153" i="3"/>
  <c r="A154" i="3"/>
  <c r="B153" i="3"/>
  <c r="F152" i="3"/>
  <c r="C152" i="3"/>
  <c r="G152" i="3"/>
  <c r="M152" i="3"/>
  <c r="C152" i="4"/>
  <c r="F152" i="4"/>
  <c r="M152" i="4"/>
  <c r="G152" i="4"/>
  <c r="K152" i="3"/>
  <c r="J152" i="3"/>
  <c r="K153" i="3" l="1"/>
  <c r="J153" i="3"/>
  <c r="M153" i="3"/>
  <c r="F153" i="3"/>
  <c r="G153" i="3"/>
  <c r="C153" i="3"/>
  <c r="I153" i="3"/>
  <c r="B154" i="3"/>
  <c r="E154" i="3"/>
  <c r="H154" i="3"/>
  <c r="I154" i="3" s="1"/>
  <c r="A155" i="3"/>
  <c r="J153" i="4"/>
  <c r="K153" i="4"/>
  <c r="E154" i="4"/>
  <c r="B154" i="4"/>
  <c r="A155" i="4"/>
  <c r="H154" i="4"/>
  <c r="M153" i="4"/>
  <c r="G153" i="4"/>
  <c r="C153" i="4"/>
  <c r="F153" i="4"/>
  <c r="J154" i="4" l="1"/>
  <c r="K154" i="4"/>
  <c r="F154" i="4"/>
  <c r="G154" i="4"/>
  <c r="C154" i="4"/>
  <c r="M154" i="4"/>
  <c r="E155" i="4"/>
  <c r="B155" i="4"/>
  <c r="A156" i="4"/>
  <c r="H155" i="4"/>
  <c r="B155" i="3"/>
  <c r="H155" i="3"/>
  <c r="I155" i="3" s="1"/>
  <c r="A156" i="3"/>
  <c r="E155" i="3"/>
  <c r="M154" i="3"/>
  <c r="G154" i="3"/>
  <c r="C154" i="3"/>
  <c r="F154" i="3"/>
  <c r="I154" i="4"/>
  <c r="J154" i="3"/>
  <c r="K154" i="3"/>
  <c r="E156" i="3" l="1"/>
  <c r="B156" i="3"/>
  <c r="H156" i="3"/>
  <c r="A157" i="3"/>
  <c r="K155" i="3"/>
  <c r="J155" i="3"/>
  <c r="F155" i="4"/>
  <c r="C155" i="4"/>
  <c r="M155" i="4"/>
  <c r="G155" i="4"/>
  <c r="K155" i="4"/>
  <c r="J155" i="4"/>
  <c r="G155" i="3"/>
  <c r="C155" i="3"/>
  <c r="M155" i="3"/>
  <c r="F155" i="3"/>
  <c r="B156" i="4"/>
  <c r="H156" i="4"/>
  <c r="I156" i="4" s="1"/>
  <c r="E156" i="4"/>
  <c r="A157" i="4"/>
  <c r="I155" i="4"/>
  <c r="B157" i="4" l="1"/>
  <c r="E157" i="4"/>
  <c r="H157" i="4"/>
  <c r="A158" i="4"/>
  <c r="K156" i="4"/>
  <c r="J156" i="4"/>
  <c r="H157" i="3"/>
  <c r="E157" i="3"/>
  <c r="A158" i="3"/>
  <c r="B157" i="3"/>
  <c r="K156" i="3"/>
  <c r="J156" i="3"/>
  <c r="C156" i="3"/>
  <c r="F156" i="3"/>
  <c r="M156" i="3"/>
  <c r="G156" i="3"/>
  <c r="F156" i="4"/>
  <c r="M156" i="4"/>
  <c r="C156" i="4"/>
  <c r="G156" i="4"/>
  <c r="I156" i="3"/>
  <c r="M157" i="3" l="1"/>
  <c r="F157" i="3"/>
  <c r="C157" i="3"/>
  <c r="G157" i="3"/>
  <c r="B158" i="3"/>
  <c r="H158" i="3"/>
  <c r="E158" i="3"/>
  <c r="A159" i="3"/>
  <c r="K157" i="3"/>
  <c r="J157" i="3"/>
  <c r="I157" i="3"/>
  <c r="H158" i="4"/>
  <c r="I158" i="4" s="1"/>
  <c r="B158" i="4"/>
  <c r="A159" i="4"/>
  <c r="E158" i="4"/>
  <c r="K157" i="4"/>
  <c r="J157" i="4"/>
  <c r="I157" i="4"/>
  <c r="G157" i="4"/>
  <c r="F157" i="4"/>
  <c r="C157" i="4"/>
  <c r="M157" i="4"/>
  <c r="B159" i="4" l="1"/>
  <c r="H159" i="4"/>
  <c r="I159" i="4" s="1"/>
  <c r="A160" i="4"/>
  <c r="E159" i="4"/>
  <c r="G158" i="4"/>
  <c r="F158" i="4"/>
  <c r="M158" i="4"/>
  <c r="C158" i="4"/>
  <c r="H159" i="3"/>
  <c r="I159" i="3" s="1"/>
  <c r="E159" i="3"/>
  <c r="B159" i="3"/>
  <c r="A160" i="3"/>
  <c r="J158" i="3"/>
  <c r="K158" i="3"/>
  <c r="I158" i="3"/>
  <c r="K158" i="4"/>
  <c r="J158" i="4"/>
  <c r="M158" i="3"/>
  <c r="F158" i="3"/>
  <c r="C158" i="3"/>
  <c r="G158" i="3"/>
  <c r="F159" i="3" l="1"/>
  <c r="C159" i="3"/>
  <c r="G159" i="3"/>
  <c r="M159" i="3"/>
  <c r="H160" i="3"/>
  <c r="I160" i="3" s="1"/>
  <c r="B160" i="3"/>
  <c r="E160" i="3"/>
  <c r="A161" i="3"/>
  <c r="H160" i="4"/>
  <c r="A161" i="4"/>
  <c r="B160" i="4"/>
  <c r="E160" i="4"/>
  <c r="J159" i="3"/>
  <c r="K159" i="3"/>
  <c r="J159" i="4"/>
  <c r="K159" i="4"/>
  <c r="C159" i="4"/>
  <c r="F159" i="4"/>
  <c r="M159" i="4"/>
  <c r="G159" i="4"/>
  <c r="C160" i="4" l="1"/>
  <c r="M160" i="4"/>
  <c r="F160" i="4"/>
  <c r="G160" i="4"/>
  <c r="K160" i="4"/>
  <c r="J160" i="4"/>
  <c r="I160" i="4"/>
  <c r="H161" i="3"/>
  <c r="I161" i="3" s="1"/>
  <c r="E161" i="3"/>
  <c r="A162" i="3"/>
  <c r="B161" i="3"/>
  <c r="C160" i="3"/>
  <c r="F160" i="3"/>
  <c r="G160" i="3"/>
  <c r="M160" i="3"/>
  <c r="E161" i="4"/>
  <c r="H161" i="4"/>
  <c r="B161" i="4"/>
  <c r="A162" i="4"/>
  <c r="K160" i="3"/>
  <c r="J160" i="3"/>
  <c r="K161" i="4" l="1"/>
  <c r="J161" i="4"/>
  <c r="M161" i="4"/>
  <c r="G161" i="4"/>
  <c r="C161" i="4"/>
  <c r="F161" i="4"/>
  <c r="H162" i="4"/>
  <c r="I162" i="4" s="1"/>
  <c r="E162" i="4"/>
  <c r="A163" i="4"/>
  <c r="B162" i="4"/>
  <c r="E162" i="3"/>
  <c r="A163" i="3"/>
  <c r="H162" i="3"/>
  <c r="B162" i="3"/>
  <c r="I161" i="4"/>
  <c r="F161" i="3"/>
  <c r="G161" i="3"/>
  <c r="C161" i="3"/>
  <c r="M161" i="3"/>
  <c r="J161" i="3"/>
  <c r="K161" i="3"/>
  <c r="H163" i="3" l="1"/>
  <c r="E163" i="3"/>
  <c r="A164" i="3"/>
  <c r="B163" i="3"/>
  <c r="M162" i="3"/>
  <c r="C162" i="3"/>
  <c r="G162" i="3"/>
  <c r="F162" i="3"/>
  <c r="K162" i="3"/>
  <c r="J162" i="3"/>
  <c r="F162" i="4"/>
  <c r="G162" i="4"/>
  <c r="C162" i="4"/>
  <c r="M162" i="4"/>
  <c r="E163" i="4"/>
  <c r="A164" i="4"/>
  <c r="H163" i="4"/>
  <c r="B163" i="4"/>
  <c r="I162" i="3"/>
  <c r="K162" i="4"/>
  <c r="J162" i="4"/>
  <c r="F163" i="4" l="1"/>
  <c r="M163" i="4"/>
  <c r="G163" i="4"/>
  <c r="C163" i="4"/>
  <c r="K163" i="4"/>
  <c r="J163" i="4"/>
  <c r="I163" i="4"/>
  <c r="M163" i="3"/>
  <c r="F163" i="3"/>
  <c r="G163" i="3"/>
  <c r="C163" i="3"/>
  <c r="H164" i="4"/>
  <c r="I164" i="4" s="1"/>
  <c r="B164" i="4"/>
  <c r="A165" i="4"/>
  <c r="E164" i="4"/>
  <c r="H164" i="3"/>
  <c r="I164" i="3" s="1"/>
  <c r="B164" i="3"/>
  <c r="A165" i="3"/>
  <c r="E164" i="3"/>
  <c r="K163" i="3"/>
  <c r="J163" i="3"/>
  <c r="I163" i="3"/>
  <c r="J164" i="3" l="1"/>
  <c r="K164" i="3"/>
  <c r="F164" i="3"/>
  <c r="G164" i="3"/>
  <c r="M164" i="3"/>
  <c r="C164" i="3"/>
  <c r="A166" i="4"/>
  <c r="E165" i="4"/>
  <c r="H165" i="4"/>
  <c r="I165" i="4" s="1"/>
  <c r="B165" i="4"/>
  <c r="E165" i="3"/>
  <c r="B165" i="3"/>
  <c r="H165" i="3"/>
  <c r="I165" i="3" s="1"/>
  <c r="A166" i="3"/>
  <c r="J164" i="4"/>
  <c r="K164" i="4"/>
  <c r="F164" i="4"/>
  <c r="C164" i="4"/>
  <c r="G164" i="4"/>
  <c r="M164" i="4"/>
  <c r="M165" i="3" l="1"/>
  <c r="G165" i="3"/>
  <c r="F165" i="3"/>
  <c r="C165" i="3"/>
  <c r="B166" i="3"/>
  <c r="E166" i="3"/>
  <c r="A167" i="3"/>
  <c r="H166" i="3"/>
  <c r="J165" i="3"/>
  <c r="K165" i="3"/>
  <c r="M165" i="4"/>
  <c r="C165" i="4"/>
  <c r="F165" i="4"/>
  <c r="G165" i="4"/>
  <c r="K165" i="4"/>
  <c r="J165" i="4"/>
  <c r="B166" i="4"/>
  <c r="H166" i="4"/>
  <c r="I166" i="4" s="1"/>
  <c r="A167" i="4"/>
  <c r="E166" i="4"/>
  <c r="B167" i="4" l="1"/>
  <c r="H167" i="4"/>
  <c r="I167" i="4" s="1"/>
  <c r="E167" i="4"/>
  <c r="C166" i="4"/>
  <c r="F166" i="4"/>
  <c r="G166" i="4"/>
  <c r="M166" i="4"/>
  <c r="M166" i="3"/>
  <c r="F166" i="3"/>
  <c r="G166" i="3"/>
  <c r="C166" i="3"/>
  <c r="K166" i="4"/>
  <c r="J166" i="4"/>
  <c r="J166" i="3"/>
  <c r="K166" i="3"/>
  <c r="H167" i="3"/>
  <c r="I167" i="3" s="1"/>
  <c r="E167" i="3"/>
  <c r="B167" i="3"/>
  <c r="I166" i="3"/>
  <c r="M167" i="3" l="1"/>
  <c r="C167" i="3"/>
  <c r="F167" i="3"/>
  <c r="G167" i="3"/>
  <c r="J167" i="3"/>
  <c r="K167" i="3"/>
  <c r="J167" i="4"/>
  <c r="K167" i="4"/>
  <c r="F167" i="4"/>
  <c r="G167" i="4"/>
  <c r="C167" i="4"/>
  <c r="M16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<sst xmlns="http://schemas.openxmlformats.org/spreadsheetml/2006/main" count="200" uniqueCount="47">
  <si>
    <t>ERIXITXO INDEX</t>
  </si>
  <si>
    <t>Last ER Date =</t>
  </si>
  <si>
    <t>Long Risk</t>
  </si>
  <si>
    <t>Short Risk</t>
  </si>
  <si>
    <t>IHYG Units</t>
  </si>
  <si>
    <t>Last CDX =</t>
  </si>
  <si>
    <t>Name=</t>
  </si>
  <si>
    <t>IHYG</t>
  </si>
  <si>
    <t>OBL 2.4% 10/28</t>
  </si>
  <si>
    <t>Xover S44</t>
  </si>
  <si>
    <t>Dvd</t>
  </si>
  <si>
    <t>Last ER =</t>
  </si>
  <si>
    <t>BBG Ticker=</t>
  </si>
  <si>
    <t>IHYG LN EQUITY</t>
  </si>
  <si>
    <t xml:space="preserve">ZK885444@BGN Corp </t>
  </si>
  <si>
    <t>ITRX XOVER CDSI GEN 5Y CORP</t>
  </si>
  <si>
    <t>Carry Days =</t>
  </si>
  <si>
    <t>Not'l=</t>
  </si>
  <si>
    <t>Carry=</t>
  </si>
  <si>
    <t>Financing Rate=</t>
  </si>
  <si>
    <t>Initial Duration=</t>
  </si>
  <si>
    <t>-</t>
  </si>
  <si>
    <t>Live PX=</t>
  </si>
  <si>
    <t>Live ER =</t>
  </si>
  <si>
    <t>Date</t>
  </si>
  <si>
    <t>IHYG Dvd</t>
  </si>
  <si>
    <t>Net P/L</t>
  </si>
  <si>
    <t>Price</t>
  </si>
  <si>
    <t>Price P/L</t>
  </si>
  <si>
    <t>Carry P/L</t>
  </si>
  <si>
    <t>Sprd</t>
  </si>
  <si>
    <t>Index</t>
  </si>
  <si>
    <t>Adj. Index</t>
  </si>
  <si>
    <t>P/L</t>
  </si>
  <si>
    <t>Value of 1pt</t>
  </si>
  <si>
    <t>Single Contract Notional at Start</t>
  </si>
  <si>
    <t># of contracts</t>
  </si>
  <si>
    <t>EUR HY Fut</t>
  </si>
  <si>
    <t>Eur HY Fut=</t>
  </si>
  <si>
    <t>AHWM6 Index</t>
  </si>
  <si>
    <t>DIVIDEND HISTORY (live BDS — Bloomberg, Ex-Date + Amount)</t>
  </si>
  <si>
    <t>EMB</t>
  </si>
  <si>
    <t>VCIT</t>
  </si>
  <si>
    <t>EMB US EQUITY</t>
  </si>
  <si>
    <t>VCIT US EQUITY</t>
  </si>
  <si>
    <t>Ex-Date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</si>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</sst>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mm/dd/yyyy\ hh:mm"/>
    <numFmt numFmtId="165" formatCode="_(&quot;$&quot;* #,##0_);_(&quot;$&quot;* \(#,##0\);_(&quot;$&quot;* &quot;-&quot;??_);_(@_)"/>
    <numFmt numFmtId="166" formatCode="0.000"/>
    <numFmt numFmtId="167" formatCode="0.0000"/>
    <numFmt numFmtId="168" formatCode="dd\-mmm\-yy"/>
    <numFmt numFmtId="169" formatCode="dd\-mmm\-yyyy"/>
    <numFmt numFmtId="170" formatCode="#,##0.000"/>
    <numFmt numFmtId="171" formatCode="#,##0;(#,##0);\-"/>
    <numFmt numFmtId="172" formatCode="0.0%"/>
    <numFmt numFmtId="173" formatCode="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1F3864"/>
      <name val="Calibri"/>
    </font>
    <font>
      <i/>
      <sz val="8"/>
      <color rgb="FF808080"/>
      <name val="Calibri"/>
    </font>
    <font>
      <b/>
      <sz val="10"/>
      <color rgb="FF1F3864"/>
      <name val="Calibri"/>
    </font>
    <font>
      <sz val="9"/>
      <name val="Calibri"/>
    </font>
    <font>
      <sz val="9"/>
      <color rgb="FF008000"/>
      <name val="Calibri"/>
    </font>
    <font>
      <b/>
      <sz val="9"/>
      <color rgb="FF0000FF"/>
      <name val="Calibri"/>
    </font>
    <font>
      <b/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5">
    <xf numFmtId="0" fontId="0" fillId="0" borderId="0" xfId="0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5" borderId="0" xfId="0" applyFont="1" applyFill="1" applyAlignment="1">
      <alignment horizontal="right" vertical="center" wrapText="1"/>
    </xf>
    <xf numFmtId="14" fontId="6" fillId="5" borderId="0" xfId="0" applyNumberFormat="1" applyFont="1" applyFill="1" applyAlignment="1">
      <alignment horizontal="right" vertical="center" wrapText="1"/>
    </xf>
    <xf numFmtId="14" fontId="7" fillId="5" borderId="0" xfId="0" applyNumberFormat="1" applyFont="1" applyFill="1" applyAlignment="1">
      <alignment horizontal="right" vertical="center" wrapText="1"/>
    </xf>
    <xf numFmtId="0" fontId="7" fillId="5" borderId="0" xfId="0" applyFont="1" applyFill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2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4" fontId="4" fillId="0" borderId="4" xfId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0" fillId="5" borderId="0" xfId="0" applyFill="1"/>
    <xf numFmtId="1" fontId="0" fillId="0" borderId="0" xfId="0" applyNumberFormat="1" applyAlignment="1">
      <alignment horizontal="center" vertical="center"/>
    </xf>
    <xf numFmtId="0" fontId="8" fillId="0" borderId="0" xfId="0" applyFont="1"/>
    <xf numFmtId="0" fontId="2" fillId="0" borderId="0" xfId="0" applyFont="1"/>
    <xf numFmtId="0" fontId="9" fillId="0" borderId="0" xfId="0" applyFont="1"/>
    <xf numFmtId="0" fontId="2" fillId="8" borderId="0" xfId="0" applyFont="1" applyFill="1"/>
    <xf numFmtId="14" fontId="0" fillId="0" borderId="0" xfId="0" applyNumberFormat="1"/>
    <xf numFmtId="167" fontId="0" fillId="0" borderId="0" xfId="0" applyNumberFormat="1"/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9" fontId="14" fillId="0" borderId="0" xfId="0" applyFont="1" applyNumberFormat="1"/>
    <xf numFmtId="170" fontId="14" fillId="0" borderId="0" xfId="0" applyFont="1" applyNumberFormat="1"/>
    <xf numFmtId="173" fontId="14" fillId="0" borderId="0" xfId="0" applyFont="1" applyNumberFormat="1"/>
    <xf numFmtId="172" fontId="14" fillId="0" borderId="0" xfId="0" applyFont="1" applyNumberFormat="1"/>
    <xf numFmtId="169" fontId="15" fillId="0" borderId="0" xfId="0" applyFont="1" applyNumberFormat="1"/>
    <xf numFmtId="0" fontId="16" fillId="9" borderId="0" xfId="0" applyFont="1" applyFill="1" applyAlignment="1">
      <alignment horizontal="center" vertical="center" wrapText="1"/>
    </xf>
    <xf numFmtId="168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Data...1281507493</v>
        <stp/>
        <stp>BDP|18410541755614855691</stp>
        <tr r="B9" s="5"/>
        <tr r="B9" s="2"/>
      </tp>
      <tp t="s">
        <v>#N/A Requesting Data...1937040590</v>
        <stp/>
        <stp>BDH|18184423249770371529</stp>
        <tr r="Q3" s="4"/>
        <tr r="Q3" s="2"/>
        <tr r="Q3" s="5"/>
        <tr r="Q3" s="3"/>
      </tp>
      <tp t="s">
        <v>#N/A Requesting Data...2998965017</v>
        <stp/>
        <stp>BDH|14251558715388576990</stp>
        <tr r="O3" s="4"/>
        <tr r="O3" s="3"/>
      </tp>
      <tp t="e">
        <v>#N/A</v>
        <stp/>
        <stp>BDS|13234145445614250586</stp>
        <tr r="A6" s="6"/>
      </tp>
      <tp t="s">
        <v>#N/A Requesting Data...3396073488</v>
        <stp/>
        <stp>BDH|11420419140960972601</stp>
        <tr r="O3" s="5"/>
        <tr r="O3" s="2"/>
      </tp>
      <tp t="s">
        <v>#N/A N/A</v>
        <stp/>
        <stp>BDH|17673259562092041415</stp>
        <tr r="AI3" s="4"/>
      </tp>
    </main>
    <main first="bofaddin.rtdserver">
      <tp t="s">
        <v>#N/A Requesting Data...3979499703</v>
        <stp/>
        <stp>BDP|9205061806932778695</stp>
        <tr r="B7" s="5"/>
        <tr r="C7" s="5"/>
        <tr r="B7" s="2"/>
        <tr r="C7" s="2"/>
        <tr r="C7" s="4"/>
        <tr r="C7" s="3"/>
      </tp>
      <tp t="s">
        <v>#N/A Requesting Data...1661518084</v>
        <stp/>
        <stp>BDH|5738222547239921247</stp>
        <tr r="Z3" s="2"/>
        <tr r="Z3" s="4"/>
        <tr r="Z3" s="5"/>
        <tr r="Z3" s="3"/>
      </tp>
      <tp t="s">
        <v>#N/A Requesting Data...1226598005</v>
        <stp/>
        <stp>BDP|7527847438690910665</stp>
        <tr r="B9" s="4"/>
        <tr r="B9" s="3"/>
      </tp>
      <tp t="s">
        <v>#N/A Requesting Data...3470074363</v>
        <stp/>
        <stp>BDP|3398280159944498722</stp>
        <tr r="C9" s="5"/>
        <tr r="C9" s="2"/>
        <tr r="C9" s="4"/>
        <tr r="C9" s="3"/>
      </tp>
      <tp t="s">
        <v>#N/A Requesting Data...1370506623</v>
        <stp/>
        <stp>BDH|7551686963284503338</stp>
        <tr r="AB3" s="4"/>
        <tr r="AB3" s="2"/>
        <tr r="AB3" s="5"/>
        <tr r="AB3" s="3"/>
      </tp>
      <tp t="s">
        <v>#N/A Requesting Data...2422238447</v>
        <stp/>
        <stp>BDH|7903388716393043492</stp>
        <tr r="X4" s="2"/>
        <tr r="X4" s="4"/>
        <tr r="X4" s="5"/>
        <tr r="X4" s="3"/>
      </tp>
      <tp t="s">
        <v>#N/A Requesting Data...3546135991</v>
        <stp/>
        <stp>BDH|899788507367321551</stp>
        <tr r="S3" s="2"/>
        <tr r="S3" s="5"/>
        <tr r="S3" s="4"/>
        <tr r="S3" s="3"/>
      </tp>
      <tp t="e">
        <v>#N/A</v>
        <stp/>
        <stp>BDS|628454333387804475</stp>
        <tr r="D6" s="6"/>
      </tp>
      <tp t="e">
        <v>#N/A</v>
        <stp/>
        <stp>BDS|555018970554595542</stp>
        <tr r="G6" s="6"/>
      </tp>
      <tp t="s">
        <v>#N/A Requesting Data...4079813117</v>
        <stp/>
        <stp>BDP|391960776365176048</stp>
        <tr r="D9" s="5"/>
        <tr r="D9" s="2"/>
        <tr r="D9" s="4"/>
        <tr r="D9" s="3"/>
      </tp>
    </main>
  </volType>
</volTypes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3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'13a'!$M$12:$M$13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'13a'!$A$14:$A$250</c:f>
              <c:strCache>
                <c:ptCount val="51"/>
                <c:pt idx="0">
                  <c:v>01/27/2026 15:00</c:v>
                </c:pt>
                <c:pt idx="1">
                  <c:v>03/17/2026 15:00</c:v>
                </c:pt>
                <c:pt idx="2">
                  <c:v>03/18/2026 15:00</c:v>
                </c:pt>
                <c:pt idx="3">
                  <c:v>03/19/2026 15:00</c:v>
                </c:pt>
                <c:pt idx="4">
                  <c:v>03/20/2026 15:00</c:v>
                </c:pt>
                <c:pt idx="5">
                  <c:v>03/23/2026 15:00</c:v>
                </c:pt>
                <c:pt idx="6">
                  <c:v>03/24/2026 15:00</c:v>
                </c:pt>
                <c:pt idx="7">
                  <c:v>03/25/2026 15:00</c:v>
                </c:pt>
                <c:pt idx="8">
                  <c:v>03/26/2026 15:00</c:v>
                </c:pt>
                <c:pt idx="9">
                  <c:v>03/27/2026 15:00</c:v>
                </c:pt>
                <c:pt idx="10">
                  <c:v>03/30/2026 15:00</c:v>
                </c:pt>
                <c:pt idx="11">
                  <c:v>03/31/2026 15:00</c:v>
                </c:pt>
                <c:pt idx="12">
                  <c:v>04/01/2026 15:00</c:v>
                </c:pt>
                <c:pt idx="13">
                  <c:v>04/02/2026 15:00</c:v>
                </c:pt>
                <c:pt idx="14">
                  <c:v>04/07/2026 15:00</c:v>
                </c:pt>
                <c:pt idx="15">
                  <c:v>04/08/2026 15:00</c:v>
                </c:pt>
                <c:pt idx="16">
                  <c:v>04/10/2026 15:00</c:v>
                </c:pt>
                <c:pt idx="17">
                  <c:v>04/14/2026 15:00</c:v>
                </c:pt>
                <c:pt idx="18">
                  <c:v>04/15/2026 15:00</c:v>
                </c:pt>
                <c:pt idx="19">
                  <c:v>04/16/2026 15:00</c:v>
                </c:pt>
                <c:pt idx="20">
                  <c:v>04/17/2026 15:00</c:v>
                </c:pt>
                <c:pt idx="21">
                  <c:v>04/20/2026 15:00</c:v>
                </c:pt>
                <c:pt idx="22">
                  <c:v>04/21/2026 15:00</c:v>
                </c:pt>
                <c:pt idx="23">
                  <c:v>04/22/2026 15:00</c:v>
                </c:pt>
                <c:pt idx="24">
                  <c:v>04/24/2026 15:00</c:v>
                </c:pt>
                <c:pt idx="25">
                  <c:v>04/27/2026 15:00</c:v>
                </c:pt>
                <c:pt idx="26">
                  <c:v>04/28/2026 15:00</c:v>
                </c:pt>
                <c:pt idx="27">
                  <c:v>04/29/2026 15:00</c:v>
                </c:pt>
                <c:pt idx="28">
                  <c:v>04/30/2026 15:00</c:v>
                </c:pt>
                <c:pt idx="29">
                  <c:v>05/05/2026 15:00</c:v>
                </c:pt>
                <c:pt idx="30">
                  <c:v>05/06/2026 15:00</c:v>
                </c:pt>
                <c:pt idx="31">
                  <c:v>05/07/2026 15:00</c:v>
                </c:pt>
                <c:pt idx="32">
                  <c:v>05/08/2026 15:00</c:v>
                </c:pt>
                <c:pt idx="33">
                  <c:v>05/12/2026 15:00</c:v>
                </c:pt>
                <c:pt idx="34">
                  <c:v>05/13/2026 15:00</c:v>
                </c:pt>
                <c:pt idx="35">
                  <c:v>05/15/2026 15:00</c:v>
                </c:pt>
                <c:pt idx="36">
                  <c:v>05/19/2026 15:00</c:v>
                </c:pt>
                <c:pt idx="37">
                  <c:v>05/20/2026 15:00</c:v>
                </c:pt>
                <c:pt idx="38">
                  <c:v>05/21/2026 15:00</c:v>
                </c:pt>
                <c:pt idx="39">
                  <c:v>05/26/2026 15:00</c:v>
                </c:pt>
                <c:pt idx="40">
                  <c:v>05/27/2026 15:00</c:v>
                </c:pt>
                <c:pt idx="41">
                  <c:v>05/28/2026 15:00</c:v>
                </c:pt>
                <c:pt idx="42">
                  <c:v>05/29/2026 15:00</c:v>
                </c:pt>
                <c:pt idx="43">
                  <c:v>06/01/2026 15:00</c:v>
                </c:pt>
                <c:pt idx="44">
                  <c:v>06/03/2026 15:00</c:v>
                </c:pt>
                <c:pt idx="45">
                  <c:v>06/04/2026 15:00</c:v>
                </c:pt>
                <c:pt idx="46">
                  <c:v>06/09/2026 15:00</c:v>
                </c:pt>
                <c:pt idx="47">
                  <c:v>06/15/2026 15:00</c:v>
                </c:pt>
                <c:pt idx="48">
                  <c:v>06/16/2026 15:00</c:v>
                </c:pt>
                <c:pt idx="49">
                  <c:v>06/17/2026 15:00</c:v>
                </c:pt>
                <c:pt idx="50">
                  <c:v>06/25/2026 18:46</c:v>
                </c:pt>
              </c:strCache>
            </c:strRef>
          </c:cat>
          <c:val>
            <c:numRef>
              <c:f>'13a'!$M$14:$M$250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-259152.61621106602</c:v>
                </c:pt>
                <c:pt idx="2">
                  <c:v>-229045.14054054249</c:v>
                </c:pt>
                <c:pt idx="3">
                  <c:v>-204514.61725096242</c:v>
                </c:pt>
                <c:pt idx="4">
                  <c:v>-255613.04119433486</c:v>
                </c:pt>
                <c:pt idx="5">
                  <c:v>-254784.91534105327</c:v>
                </c:pt>
                <c:pt idx="6">
                  <c:v>-285088.39462548093</c:v>
                </c:pt>
                <c:pt idx="7">
                  <c:v>-243987.99231402663</c:v>
                </c:pt>
                <c:pt idx="8">
                  <c:v>-162596.36735135305</c:v>
                </c:pt>
                <c:pt idx="9">
                  <c:v>-185803.46053539193</c:v>
                </c:pt>
                <c:pt idx="10">
                  <c:v>-291976.0193667931</c:v>
                </c:pt>
                <c:pt idx="11">
                  <c:v>-246955.1176988394</c:v>
                </c:pt>
                <c:pt idx="12">
                  <c:v>-276378.99337965989</c:v>
                </c:pt>
                <c:pt idx="13">
                  <c:v>-260566.60651222389</c:v>
                </c:pt>
                <c:pt idx="14">
                  <c:v>-183643.91027026798</c:v>
                </c:pt>
                <c:pt idx="15">
                  <c:v>-280553.97900128993</c:v>
                </c:pt>
                <c:pt idx="16">
                  <c:v>-297400.85005405173</c:v>
                </c:pt>
                <c:pt idx="17">
                  <c:v>-372365.17645817157</c:v>
                </c:pt>
                <c:pt idx="18">
                  <c:v>-327248.55278249364</c:v>
                </c:pt>
                <c:pt idx="19">
                  <c:v>-284962.84287773637</c:v>
                </c:pt>
                <c:pt idx="20">
                  <c:v>-286741.04030887794</c:v>
                </c:pt>
                <c:pt idx="21">
                  <c:v>-298095.2567979389</c:v>
                </c:pt>
                <c:pt idx="22">
                  <c:v>-245828.92398455626</c:v>
                </c:pt>
                <c:pt idx="23">
                  <c:v>-303067.89876447921</c:v>
                </c:pt>
                <c:pt idx="24">
                  <c:v>-291571.5317220047</c:v>
                </c:pt>
                <c:pt idx="25">
                  <c:v>-255905.86661518947</c:v>
                </c:pt>
                <c:pt idx="26">
                  <c:v>-273822.79248906049</c:v>
                </c:pt>
                <c:pt idx="27">
                  <c:v>-220177.44809266558</c:v>
                </c:pt>
                <c:pt idx="28">
                  <c:v>-246196.86045302224</c:v>
                </c:pt>
                <c:pt idx="29">
                  <c:v>-245224.9698738748</c:v>
                </c:pt>
                <c:pt idx="30">
                  <c:v>-281152.22264607216</c:v>
                </c:pt>
                <c:pt idx="31">
                  <c:v>-251997.88983268663</c:v>
                </c:pt>
                <c:pt idx="32">
                  <c:v>-206362.11557786516</c:v>
                </c:pt>
                <c:pt idx="33">
                  <c:v>-158819.26566280582</c:v>
                </c:pt>
                <c:pt idx="34">
                  <c:v>-174200.43864092557</c:v>
                </c:pt>
                <c:pt idx="35">
                  <c:v>-186158.78459716233</c:v>
                </c:pt>
                <c:pt idx="36">
                  <c:v>-160512.94369111524</c:v>
                </c:pt>
                <c:pt idx="37">
                  <c:v>-263623.27497039747</c:v>
                </c:pt>
                <c:pt idx="38">
                  <c:v>-264939.38231145346</c:v>
                </c:pt>
                <c:pt idx="39">
                  <c:v>-300816.67062548525</c:v>
                </c:pt>
                <c:pt idx="40">
                  <c:v>-294006.34810811002</c:v>
                </c:pt>
                <c:pt idx="41">
                  <c:v>-363389.32803603593</c:v>
                </c:pt>
                <c:pt idx="42">
                  <c:v>-305301.44052509597</c:v>
                </c:pt>
                <c:pt idx="43">
                  <c:v>-310139.90926640772</c:v>
                </c:pt>
                <c:pt idx="44">
                  <c:v>-280337.1381055314</c:v>
                </c:pt>
                <c:pt idx="45">
                  <c:v>-303295.74222908478</c:v>
                </c:pt>
                <c:pt idx="46">
                  <c:v>-247262.56979665026</c:v>
                </c:pt>
                <c:pt idx="47">
                  <c:v>-366018.12761389941</c:v>
                </c:pt>
                <c:pt idx="48">
                  <c:v>-366378.5283912454</c:v>
                </c:pt>
                <c:pt idx="49">
                  <c:v>-395824.50960617187</c:v>
                </c:pt>
                <c:pt idx="50">
                  <c:v>-491502.34645559825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B-47D8-8100-873A995B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ADB-47D8-8100-873A995B632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ADB-47D8-8100-873A995B63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ADB-47D8-8100-873A995B63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ADB-47D8-8100-873A995B632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ADB-47D8-8100-873A995B63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ADB-47D8-8100-873A995B632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ADB-47D8-8100-873A995B632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102"/>
                <c:pt idx="0">
                  <c:v>01/27/2026 15:00</c:v>
                </c:pt>
                <c:pt idx="1">
                  <c:v>01/28/2026 15:00</c:v>
                </c:pt>
                <c:pt idx="2">
                  <c:v>01/29/2026 15:00</c:v>
                </c:pt>
                <c:pt idx="3">
                  <c:v>01/30/2026 15:00</c:v>
                </c:pt>
                <c:pt idx="4">
                  <c:v>02/02/2026 15:00</c:v>
                </c:pt>
                <c:pt idx="5">
                  <c:v>02/03/2026 15:00</c:v>
                </c:pt>
                <c:pt idx="6">
                  <c:v>02/04/2026 15:00</c:v>
                </c:pt>
                <c:pt idx="7">
                  <c:v>02/05/2026 15:00</c:v>
                </c:pt>
                <c:pt idx="8">
                  <c:v>02/06/2026 15:00</c:v>
                </c:pt>
                <c:pt idx="9">
                  <c:v>02/09/2026 15:00</c:v>
                </c:pt>
                <c:pt idx="10">
                  <c:v>02/11/2026 15:00</c:v>
                </c:pt>
                <c:pt idx="11">
                  <c:v>02/12/2026 15:00</c:v>
                </c:pt>
                <c:pt idx="12">
                  <c:v>02/13/2026 15:00</c:v>
                </c:pt>
                <c:pt idx="13">
                  <c:v>02/16/2026 15:00</c:v>
                </c:pt>
                <c:pt idx="14">
                  <c:v>02/17/2026 15:00</c:v>
                </c:pt>
                <c:pt idx="15">
                  <c:v>02/18/2026 15:00</c:v>
                </c:pt>
                <c:pt idx="16">
                  <c:v>02/19/2026 15:00</c:v>
                </c:pt>
                <c:pt idx="17">
                  <c:v>02/20/2026 15:00</c:v>
                </c:pt>
                <c:pt idx="18">
                  <c:v>02/23/2026 15:00</c:v>
                </c:pt>
                <c:pt idx="19">
                  <c:v>02/24/2026 15:00</c:v>
                </c:pt>
                <c:pt idx="20">
                  <c:v>02/25/2026 15:00</c:v>
                </c:pt>
                <c:pt idx="21">
                  <c:v>02/26/2026 15:00</c:v>
                </c:pt>
                <c:pt idx="22">
                  <c:v>02/27/2026 15:00</c:v>
                </c:pt>
                <c:pt idx="23">
                  <c:v>03/02/2026 15:00</c:v>
                </c:pt>
                <c:pt idx="24">
                  <c:v>03/03/2026 15:00</c:v>
                </c:pt>
                <c:pt idx="25">
                  <c:v>03/04/2026 15:00</c:v>
                </c:pt>
                <c:pt idx="26">
                  <c:v>03/06/2026 15:00</c:v>
                </c:pt>
                <c:pt idx="27">
                  <c:v>03/09/2026 15:00</c:v>
                </c:pt>
                <c:pt idx="28">
                  <c:v>03/10/2026 15:00</c:v>
                </c:pt>
                <c:pt idx="29">
                  <c:v>03/11/2026 15:00</c:v>
                </c:pt>
                <c:pt idx="30">
                  <c:v>03/12/2026 15:00</c:v>
                </c:pt>
                <c:pt idx="31">
                  <c:v>03/13/2026 15:00</c:v>
                </c:pt>
                <c:pt idx="32">
                  <c:v>03/16/2026 15:00</c:v>
                </c:pt>
                <c:pt idx="33">
                  <c:v>03/17/2026 15:00</c:v>
                </c:pt>
                <c:pt idx="34">
                  <c:v>03/18/2026 15:00</c:v>
                </c:pt>
                <c:pt idx="35">
                  <c:v>03/19/2026 15:00</c:v>
                </c:pt>
                <c:pt idx="36">
                  <c:v>03/20/2026 15:00</c:v>
                </c:pt>
                <c:pt idx="37">
                  <c:v>03/23/2026 15:00</c:v>
                </c:pt>
                <c:pt idx="38">
                  <c:v>03/24/2026 15:00</c:v>
                </c:pt>
                <c:pt idx="39">
                  <c:v>03/25/2026 15:00</c:v>
                </c:pt>
                <c:pt idx="40">
                  <c:v>03/26/2026 15:00</c:v>
                </c:pt>
                <c:pt idx="41">
                  <c:v>03/27/2026 15:00</c:v>
                </c:pt>
                <c:pt idx="42">
                  <c:v>03/30/2026 15:00</c:v>
                </c:pt>
                <c:pt idx="43">
                  <c:v>03/31/2026 15:00</c:v>
                </c:pt>
                <c:pt idx="44">
                  <c:v>04/01/2026 15:00</c:v>
                </c:pt>
                <c:pt idx="45">
                  <c:v>04/02/2026 15:00</c:v>
                </c:pt>
                <c:pt idx="46">
                  <c:v>04/07/2026 15:00</c:v>
                </c:pt>
                <c:pt idx="47">
                  <c:v>04/08/2026 15:00</c:v>
                </c:pt>
                <c:pt idx="48">
                  <c:v>04/09/2026 15:00</c:v>
                </c:pt>
                <c:pt idx="49">
                  <c:v>04/10/2026 15:00</c:v>
                </c:pt>
                <c:pt idx="50">
                  <c:v>04/13/2026 15:00</c:v>
                </c:pt>
                <c:pt idx="51">
                  <c:v>04/14/2026 15:00</c:v>
                </c:pt>
                <c:pt idx="52">
                  <c:v>04/15/2026 15:00</c:v>
                </c:pt>
                <c:pt idx="53">
                  <c:v>04/16/2026 15:00</c:v>
                </c:pt>
                <c:pt idx="54">
                  <c:v>04/17/2026 15:00</c:v>
                </c:pt>
                <c:pt idx="55">
                  <c:v>04/20/2026 15:00</c:v>
                </c:pt>
                <c:pt idx="56">
                  <c:v>04/21/2026 15:00</c:v>
                </c:pt>
                <c:pt idx="57">
                  <c:v>04/22/2026 15:00</c:v>
                </c:pt>
                <c:pt idx="58">
                  <c:v>04/23/2026 15:00</c:v>
                </c:pt>
                <c:pt idx="59">
                  <c:v>04/24/2026 15:00</c:v>
                </c:pt>
                <c:pt idx="60">
                  <c:v>04/27/2026 15:00</c:v>
                </c:pt>
                <c:pt idx="61">
                  <c:v>04/28/2026 15:00</c:v>
                </c:pt>
                <c:pt idx="62">
                  <c:v>04/29/2026 15:00</c:v>
                </c:pt>
                <c:pt idx="63">
                  <c:v>04/30/2026 15:00</c:v>
                </c:pt>
                <c:pt idx="64">
                  <c:v>05/05/2026 15:00</c:v>
                </c:pt>
                <c:pt idx="65">
                  <c:v>05/06/2026 15:00</c:v>
                </c:pt>
                <c:pt idx="66">
                  <c:v>05/07/2026 15:00</c:v>
                </c:pt>
                <c:pt idx="67">
                  <c:v>05/08/2026 15:00</c:v>
                </c:pt>
                <c:pt idx="68">
                  <c:v>05/11/2026 15:00</c:v>
                </c:pt>
                <c:pt idx="69">
                  <c:v>05/12/2026 15:00</c:v>
                </c:pt>
                <c:pt idx="70">
                  <c:v>05/13/2026 15:00</c:v>
                </c:pt>
                <c:pt idx="71">
                  <c:v>05/14/2026 15:00</c:v>
                </c:pt>
                <c:pt idx="72">
                  <c:v>05/15/2026 15:00</c:v>
                </c:pt>
                <c:pt idx="73">
                  <c:v>05/18/2026 15:00</c:v>
                </c:pt>
                <c:pt idx="74">
                  <c:v>05/19/2026 15:00</c:v>
                </c:pt>
                <c:pt idx="75">
                  <c:v>05/20/2026 15:00</c:v>
                </c:pt>
                <c:pt idx="76">
                  <c:v>05/21/2026 15:00</c:v>
                </c:pt>
                <c:pt idx="77">
                  <c:v>05/22/2026 15:00</c:v>
                </c:pt>
                <c:pt idx="78">
                  <c:v>05/26/2026 15:00</c:v>
                </c:pt>
                <c:pt idx="79">
                  <c:v>05/27/2026 15:00</c:v>
                </c:pt>
                <c:pt idx="80">
                  <c:v>05/28/2026 15:00</c:v>
                </c:pt>
                <c:pt idx="81">
                  <c:v>05/29/2026 15:00</c:v>
                </c:pt>
                <c:pt idx="82">
                  <c:v>06/01/2026 15:00</c:v>
                </c:pt>
                <c:pt idx="83">
                  <c:v>06/02/2026 15:00</c:v>
                </c:pt>
                <c:pt idx="84">
                  <c:v>06/03/2026 15:00</c:v>
                </c:pt>
                <c:pt idx="85">
                  <c:v>06/04/2026 15:00</c:v>
                </c:pt>
                <c:pt idx="86">
                  <c:v>06/05/2026 15:00</c:v>
                </c:pt>
                <c:pt idx="87">
                  <c:v>06/08/2026 15:00</c:v>
                </c:pt>
                <c:pt idx="88">
                  <c:v>06/09/2026 15:00</c:v>
                </c:pt>
                <c:pt idx="89">
                  <c:v>06/10/2026 15:00</c:v>
                </c:pt>
                <c:pt idx="90">
                  <c:v>06/11/2026 15:00</c:v>
                </c:pt>
                <c:pt idx="91">
                  <c:v>06/12/2026 15:00</c:v>
                </c:pt>
                <c:pt idx="92">
                  <c:v>06/15/2026 15:00</c:v>
                </c:pt>
                <c:pt idx="93">
                  <c:v>06/16/2026 15:00</c:v>
                </c:pt>
                <c:pt idx="94">
                  <c:v>06/17/2026 15:00</c:v>
                </c:pt>
                <c:pt idx="95">
                  <c:v>06/18/2026 15:00</c:v>
                </c:pt>
                <c:pt idx="96">
                  <c:v>06/19/2026 15:00</c:v>
                </c:pt>
                <c:pt idx="97">
                  <c:v>06/22/2026 15:00</c:v>
                </c:pt>
                <c:pt idx="98">
                  <c:v>06/23/2026 15:00</c:v>
                </c:pt>
                <c:pt idx="99">
                  <c:v>06/24/2026 15:00</c:v>
                </c:pt>
                <c:pt idx="100">
                  <c:v>06/25/2026 15:00</c:v>
                </c:pt>
                <c:pt idx="101">
                  <c:v>06/25/2026 18:46</c:v>
                </c:pt>
              </c:strCache>
            </c:strRef>
          </c:cat>
          <c:val>
            <c:numRef>
              <c:f>'13'!$M$14:$M$250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-24319.751051765306</c:v>
                </c:pt>
                <c:pt idx="2">
                  <c:v>-51159.134993751097</c:v>
                </c:pt>
                <c:pt idx="3">
                  <c:v>-27126.08696461979</c:v>
                </c:pt>
                <c:pt idx="4">
                  <c:v>-46051.564636967807</c:v>
                </c:pt>
                <c:pt idx="5">
                  <c:v>-31008.847622809455</c:v>
                </c:pt>
                <c:pt idx="6">
                  <c:v>-45891.273122011604</c:v>
                </c:pt>
                <c:pt idx="7">
                  <c:v>-75805.779957939201</c:v>
                </c:pt>
                <c:pt idx="8">
                  <c:v>-80824.159242611553</c:v>
                </c:pt>
                <c:pt idx="9">
                  <c:v>-78214.266346732198</c:v>
                </c:pt>
                <c:pt idx="10">
                  <c:v>-116955.66394751451</c:v>
                </c:pt>
                <c:pt idx="11">
                  <c:v>-96269.715931313229</c:v>
                </c:pt>
                <c:pt idx="12">
                  <c:v>-137087.5297317376</c:v>
                </c:pt>
                <c:pt idx="13">
                  <c:v>-136722.59619248362</c:v>
                </c:pt>
                <c:pt idx="14">
                  <c:v>-154559.05126332847</c:v>
                </c:pt>
                <c:pt idx="15">
                  <c:v>-130084.5457786982</c:v>
                </c:pt>
                <c:pt idx="16">
                  <c:v>-103777.34450826856</c:v>
                </c:pt>
                <c:pt idx="17">
                  <c:v>-89584.720560753965</c:v>
                </c:pt>
                <c:pt idx="18">
                  <c:v>-95860.559222270676</c:v>
                </c:pt>
                <c:pt idx="19">
                  <c:v>-87608.757236648235</c:v>
                </c:pt>
                <c:pt idx="20">
                  <c:v>-84255.413826029122</c:v>
                </c:pt>
                <c:pt idx="21">
                  <c:v>-98611.844414476262</c:v>
                </c:pt>
                <c:pt idx="22">
                  <c:v>-103111.45326728774</c:v>
                </c:pt>
                <c:pt idx="23">
                  <c:v>-134269.63209090766</c:v>
                </c:pt>
                <c:pt idx="24">
                  <c:v>-153176.57844367571</c:v>
                </c:pt>
                <c:pt idx="25">
                  <c:v>-72076.564258528699</c:v>
                </c:pt>
                <c:pt idx="26">
                  <c:v>-34600.255110525875</c:v>
                </c:pt>
                <c:pt idx="27">
                  <c:v>-73266.331091567874</c:v>
                </c:pt>
                <c:pt idx="28">
                  <c:v>-97003.76440970783</c:v>
                </c:pt>
                <c:pt idx="29">
                  <c:v>-40645.456024366198</c:v>
                </c:pt>
                <c:pt idx="30">
                  <c:v>-60314.029951854551</c:v>
                </c:pt>
                <c:pt idx="31">
                  <c:v>-46619.260652549099</c:v>
                </c:pt>
                <c:pt idx="32">
                  <c:v>-64336.608710934757</c:v>
                </c:pt>
                <c:pt idx="33">
                  <c:v>-63517.191115553142</c:v>
                </c:pt>
                <c:pt idx="34">
                  <c:v>-8252.802257341973</c:v>
                </c:pt>
                <c:pt idx="35">
                  <c:v>2133.6724106583279</c:v>
                </c:pt>
                <c:pt idx="36">
                  <c:v>35053.920562583604</c:v>
                </c:pt>
                <c:pt idx="37">
                  <c:v>15621.416659516632</c:v>
                </c:pt>
                <c:pt idx="38">
                  <c:v>6609.8264535362832</c:v>
                </c:pt>
                <c:pt idx="39">
                  <c:v>-17833.934215451591</c:v>
                </c:pt>
                <c:pt idx="40">
                  <c:v>105635.43517023709</c:v>
                </c:pt>
                <c:pt idx="41">
                  <c:v>110416.3795604771</c:v>
                </c:pt>
                <c:pt idx="42">
                  <c:v>8305.8775526257232</c:v>
                </c:pt>
                <c:pt idx="43">
                  <c:v>18998.274870395544</c:v>
                </c:pt>
                <c:pt idx="44">
                  <c:v>6155.8909989746753</c:v>
                </c:pt>
                <c:pt idx="45">
                  <c:v>-37084.857164379908</c:v>
                </c:pt>
                <c:pt idx="46">
                  <c:v>58049.818713443703</c:v>
                </c:pt>
                <c:pt idx="47">
                  <c:v>-89453.199855280924</c:v>
                </c:pt>
                <c:pt idx="48">
                  <c:v>-130681.53457681532</c:v>
                </c:pt>
                <c:pt idx="49">
                  <c:v>-38409.02754953329</c:v>
                </c:pt>
                <c:pt idx="50">
                  <c:v>-85513.839292768622</c:v>
                </c:pt>
                <c:pt idx="51">
                  <c:v>-164212.23928698606</c:v>
                </c:pt>
                <c:pt idx="52">
                  <c:v>-129396.89913794701</c:v>
                </c:pt>
                <c:pt idx="53">
                  <c:v>-119937.93467575754</c:v>
                </c:pt>
                <c:pt idx="54">
                  <c:v>-114235.07810419332</c:v>
                </c:pt>
                <c:pt idx="55">
                  <c:v>-162549.04105538735</c:v>
                </c:pt>
                <c:pt idx="56">
                  <c:v>-113223.16053330118</c:v>
                </c:pt>
                <c:pt idx="57">
                  <c:v>-120490.24623478751</c:v>
                </c:pt>
                <c:pt idx="58">
                  <c:v>-87245.770891844761</c:v>
                </c:pt>
                <c:pt idx="59">
                  <c:v>-103197.6632287245</c:v>
                </c:pt>
                <c:pt idx="60">
                  <c:v>-82343.796642922447</c:v>
                </c:pt>
                <c:pt idx="61">
                  <c:v>-113672.00220302085</c:v>
                </c:pt>
                <c:pt idx="62">
                  <c:v>-11137.989551730803</c:v>
                </c:pt>
                <c:pt idx="63">
                  <c:v>-63501.416396695073</c:v>
                </c:pt>
                <c:pt idx="64">
                  <c:v>-84223.401526242727</c:v>
                </c:pt>
                <c:pt idx="65">
                  <c:v>-105062.62440497766</c:v>
                </c:pt>
                <c:pt idx="66">
                  <c:v>-95974.695664419443</c:v>
                </c:pt>
                <c:pt idx="67">
                  <c:v>-79924.301373180584</c:v>
                </c:pt>
                <c:pt idx="68">
                  <c:v>-58225.801582745509</c:v>
                </c:pt>
                <c:pt idx="69">
                  <c:v>-14552.433228408685</c:v>
                </c:pt>
                <c:pt idx="70">
                  <c:v>-39734.303430625238</c:v>
                </c:pt>
                <c:pt idx="71">
                  <c:v>-95102.671102910419</c:v>
                </c:pt>
                <c:pt idx="72">
                  <c:v>-27441.116162768099</c:v>
                </c:pt>
                <c:pt idx="73">
                  <c:v>-73765.463789231842</c:v>
                </c:pt>
                <c:pt idx="74">
                  <c:v>-129729.52222863026</c:v>
                </c:pt>
                <c:pt idx="75">
                  <c:v>-190105.72333708243</c:v>
                </c:pt>
                <c:pt idx="76">
                  <c:v>-132308.47968375601</c:v>
                </c:pt>
                <c:pt idx="77">
                  <c:v>-174605.08290665806</c:v>
                </c:pt>
                <c:pt idx="78">
                  <c:v>-190134.0853535966</c:v>
                </c:pt>
                <c:pt idx="79">
                  <c:v>-195619.09458133113</c:v>
                </c:pt>
                <c:pt idx="80">
                  <c:v>-215407.6994056371</c:v>
                </c:pt>
                <c:pt idx="81">
                  <c:v>-214756.41268184036</c:v>
                </c:pt>
                <c:pt idx="82">
                  <c:v>-200318.87281806814</c:v>
                </c:pt>
                <c:pt idx="83">
                  <c:v>-186169.97740143049</c:v>
                </c:pt>
                <c:pt idx="84">
                  <c:v>-165844.13062640163</c:v>
                </c:pt>
                <c:pt idx="85">
                  <c:v>-190372.79745303839</c:v>
                </c:pt>
                <c:pt idx="86">
                  <c:v>-168023.25384026789</c:v>
                </c:pt>
                <c:pt idx="87">
                  <c:v>-182492.62077173661</c:v>
                </c:pt>
                <c:pt idx="88">
                  <c:v>-205367.98675447772</c:v>
                </c:pt>
                <c:pt idx="89">
                  <c:v>-174939.33054378582</c:v>
                </c:pt>
                <c:pt idx="90">
                  <c:v>-212456.95364174794</c:v>
                </c:pt>
                <c:pt idx="91">
                  <c:v>-265991.72005817574</c:v>
                </c:pt>
                <c:pt idx="92">
                  <c:v>-254955.09723568335</c:v>
                </c:pt>
                <c:pt idx="93">
                  <c:v>-255638.24345560814</c:v>
                </c:pt>
                <c:pt idx="94">
                  <c:v>-236277.60463412455</c:v>
                </c:pt>
                <c:pt idx="95">
                  <c:v>-253183.05846080254</c:v>
                </c:pt>
                <c:pt idx="96">
                  <c:v>-213616.63362532668</c:v>
                </c:pt>
                <c:pt idx="97">
                  <c:v>-238175.01677652961</c:v>
                </c:pt>
                <c:pt idx="98">
                  <c:v>-275877.43129214831</c:v>
                </c:pt>
                <c:pt idx="99">
                  <c:v>-318027.43785773567</c:v>
                </c:pt>
                <c:pt idx="100">
                  <c:v>-294147.25183444633</c:v>
                </c:pt>
                <c:pt idx="101">
                  <c:v>-296827.59320419445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5-4323-97BE-4F23862D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E5-4323-97BE-4F23862D59E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E5-4323-97BE-4F23862D59E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E5-4323-97BE-4F23862D59E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E5-4323-97BE-4F23862D59E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E5-4323-97BE-4F23862D59E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E5-4323-97BE-4F23862D59E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E5-4323-97BE-4F23862D59E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'13a (2)'!$M$12:$M$13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'13a (2)'!$A$14:$A$250</c:f>
              <c:strCache>
                <c:ptCount val="37"/>
                <c:pt idx="0">
                  <c:v>04/01/2026 15:00</c:v>
                </c:pt>
                <c:pt idx="1">
                  <c:v>04/08/2026 15:00</c:v>
                </c:pt>
                <c:pt idx="2">
                  <c:v>04/10/2026 15:00</c:v>
                </c:pt>
                <c:pt idx="3">
                  <c:v>04/14/2026 15:00</c:v>
                </c:pt>
                <c:pt idx="4">
                  <c:v>04/15/2026 15:00</c:v>
                </c:pt>
                <c:pt idx="5">
                  <c:v>04/16/2026 15:00</c:v>
                </c:pt>
                <c:pt idx="6">
                  <c:v>04/17/2026 15:00</c:v>
                </c:pt>
                <c:pt idx="7">
                  <c:v>04/20/2026 15:00</c:v>
                </c:pt>
                <c:pt idx="8">
                  <c:v>04/21/2026 15:00</c:v>
                </c:pt>
                <c:pt idx="9">
                  <c:v>04/22/2026 15:00</c:v>
                </c:pt>
                <c:pt idx="10">
                  <c:v>04/24/2026 15:00</c:v>
                </c:pt>
                <c:pt idx="11">
                  <c:v>04/27/2026 15:00</c:v>
                </c:pt>
                <c:pt idx="12">
                  <c:v>04/28/2026 15:00</c:v>
                </c:pt>
                <c:pt idx="13">
                  <c:v>04/29/2026 15:00</c:v>
                </c:pt>
                <c:pt idx="14">
                  <c:v>04/30/2026 15:00</c:v>
                </c:pt>
                <c:pt idx="15">
                  <c:v>05/05/2026 15:00</c:v>
                </c:pt>
                <c:pt idx="16">
                  <c:v>05/06/2026 15:00</c:v>
                </c:pt>
                <c:pt idx="17">
                  <c:v>05/07/2026 15:00</c:v>
                </c:pt>
                <c:pt idx="18">
                  <c:v>05/08/2026 15:00</c:v>
                </c:pt>
                <c:pt idx="19">
                  <c:v>05/12/2026 15:00</c:v>
                </c:pt>
                <c:pt idx="20">
                  <c:v>05/13/2026 15:00</c:v>
                </c:pt>
                <c:pt idx="21">
                  <c:v>05/15/2026 15:00</c:v>
                </c:pt>
                <c:pt idx="22">
                  <c:v>05/19/2026 15:00</c:v>
                </c:pt>
                <c:pt idx="23">
                  <c:v>05/20/2026 15:00</c:v>
                </c:pt>
                <c:pt idx="24">
                  <c:v>05/21/2026 15:00</c:v>
                </c:pt>
                <c:pt idx="25">
                  <c:v>05/26/2026 15:00</c:v>
                </c:pt>
                <c:pt idx="26">
                  <c:v>05/27/2026 15:00</c:v>
                </c:pt>
                <c:pt idx="27">
                  <c:v>05/28/2026 15:00</c:v>
                </c:pt>
                <c:pt idx="28">
                  <c:v>05/29/2026 15:00</c:v>
                </c:pt>
                <c:pt idx="29">
                  <c:v>06/01/2026 15:00</c:v>
                </c:pt>
                <c:pt idx="30">
                  <c:v>06/03/2026 15:00</c:v>
                </c:pt>
                <c:pt idx="31">
                  <c:v>06/04/2026 15:00</c:v>
                </c:pt>
                <c:pt idx="32">
                  <c:v>06/09/2026 15:00</c:v>
                </c:pt>
                <c:pt idx="33">
                  <c:v>06/15/2026 15:00</c:v>
                </c:pt>
                <c:pt idx="34">
                  <c:v>06/16/2026 15:00</c:v>
                </c:pt>
                <c:pt idx="35">
                  <c:v>06/17/2026 15:00</c:v>
                </c:pt>
                <c:pt idx="36">
                  <c:v>06/25/2026 18:46</c:v>
                </c:pt>
              </c:strCache>
            </c:strRef>
          </c:cat>
          <c:val>
            <c:numRef>
              <c:f>'13a (2)'!$M$14:$M$250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449898.68233204354</c:v>
                </c:pt>
                <c:pt idx="2">
                  <c:v>432787.81127928186</c:v>
                </c:pt>
                <c:pt idx="3">
                  <c:v>358791.48487516202</c:v>
                </c:pt>
                <c:pt idx="4">
                  <c:v>405052.10855084</c:v>
                </c:pt>
                <c:pt idx="5">
                  <c:v>447821.81845559709</c:v>
                </c:pt>
                <c:pt idx="6">
                  <c:v>449871.6210244557</c:v>
                </c:pt>
                <c:pt idx="7">
                  <c:v>436933.4045353948</c:v>
                </c:pt>
                <c:pt idx="8">
                  <c:v>488627.73734877736</c:v>
                </c:pt>
                <c:pt idx="9">
                  <c:v>429672.76256885438</c:v>
                </c:pt>
                <c:pt idx="10">
                  <c:v>440861.12961132888</c:v>
                </c:pt>
                <c:pt idx="11">
                  <c:v>477010.79471814411</c:v>
                </c:pt>
                <c:pt idx="12">
                  <c:v>457289.86884427309</c:v>
                </c:pt>
                <c:pt idx="13">
                  <c:v>510275.21324066789</c:v>
                </c:pt>
                <c:pt idx="14">
                  <c:v>485179.80088031135</c:v>
                </c:pt>
                <c:pt idx="15">
                  <c:v>486987.69145945873</c:v>
                </c:pt>
                <c:pt idx="16">
                  <c:v>454492.43868726143</c:v>
                </c:pt>
                <c:pt idx="17">
                  <c:v>483910.77150064695</c:v>
                </c:pt>
                <c:pt idx="18">
                  <c:v>530250.54575546843</c:v>
                </c:pt>
                <c:pt idx="19">
                  <c:v>576297.39567052783</c:v>
                </c:pt>
                <c:pt idx="20">
                  <c:v>561312.22269240802</c:v>
                </c:pt>
                <c:pt idx="21">
                  <c:v>548473.87673617131</c:v>
                </c:pt>
                <c:pt idx="22">
                  <c:v>573547.71764221834</c:v>
                </c:pt>
                <c:pt idx="23">
                  <c:v>471097.38636293611</c:v>
                </c:pt>
                <c:pt idx="24">
                  <c:v>469033.27902188012</c:v>
                </c:pt>
                <c:pt idx="25">
                  <c:v>436059.99070784834</c:v>
                </c:pt>
                <c:pt idx="26">
                  <c:v>443618.31322522357</c:v>
                </c:pt>
                <c:pt idx="27">
                  <c:v>373927.33329729759</c:v>
                </c:pt>
                <c:pt idx="28">
                  <c:v>434391.22080823762</c:v>
                </c:pt>
                <c:pt idx="29">
                  <c:v>427484.75206692598</c:v>
                </c:pt>
                <c:pt idx="30">
                  <c:v>457815.52322780213</c:v>
                </c:pt>
                <c:pt idx="31">
                  <c:v>434768.91910424893</c:v>
                </c:pt>
                <c:pt idx="32">
                  <c:v>491374.09153668332</c:v>
                </c:pt>
                <c:pt idx="33">
                  <c:v>374774.53371943411</c:v>
                </c:pt>
                <c:pt idx="34">
                  <c:v>374150.13294208836</c:v>
                </c:pt>
                <c:pt idx="35">
                  <c:v>343604.15172716178</c:v>
                </c:pt>
                <c:pt idx="36">
                  <c:v>247926.31487773545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5-44AB-87D5-4EC95CDE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FF5-44AB-87D5-4EC95CDECDE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FF5-44AB-87D5-4EC95CDECDE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FF5-44AB-87D5-4EC95CDECDE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F5-44AB-87D5-4EC95CDECDE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FF5-44AB-87D5-4EC95CDECDE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FF5-44AB-87D5-4EC95CDECD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FF5-44AB-87D5-4EC95CDECDE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 (2)'!$M$12:$M$13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 (2)'!$A$14:$A$250</c:f>
              <c:strCache>
                <c:ptCount val="58"/>
                <c:pt idx="0">
                  <c:v>04/01/2026 15:00</c:v>
                </c:pt>
                <c:pt idx="1">
                  <c:v>04/02/2026 15:00</c:v>
                </c:pt>
                <c:pt idx="2">
                  <c:v>04/07/2026 15:00</c:v>
                </c:pt>
                <c:pt idx="3">
                  <c:v>04/08/2026 15:00</c:v>
                </c:pt>
                <c:pt idx="4">
                  <c:v>04/09/2026 15:00</c:v>
                </c:pt>
                <c:pt idx="5">
                  <c:v>04/10/2026 15:00</c:v>
                </c:pt>
                <c:pt idx="6">
                  <c:v>04/13/2026 15:00</c:v>
                </c:pt>
                <c:pt idx="7">
                  <c:v>04/14/2026 15:00</c:v>
                </c:pt>
                <c:pt idx="8">
                  <c:v>04/15/2026 15:00</c:v>
                </c:pt>
                <c:pt idx="9">
                  <c:v>04/16/2026 15:00</c:v>
                </c:pt>
                <c:pt idx="10">
                  <c:v>04/17/2026 15:00</c:v>
                </c:pt>
                <c:pt idx="11">
                  <c:v>04/20/2026 15:00</c:v>
                </c:pt>
                <c:pt idx="12">
                  <c:v>04/21/2026 15:00</c:v>
                </c:pt>
                <c:pt idx="13">
                  <c:v>04/22/2026 15:00</c:v>
                </c:pt>
                <c:pt idx="14">
                  <c:v>04/23/2026 15:00</c:v>
                </c:pt>
                <c:pt idx="15">
                  <c:v>04/24/2026 15:00</c:v>
                </c:pt>
                <c:pt idx="16">
                  <c:v>04/27/2026 15:00</c:v>
                </c:pt>
                <c:pt idx="17">
                  <c:v>04/28/2026 15:00</c:v>
                </c:pt>
                <c:pt idx="18">
                  <c:v>04/29/2026 15:00</c:v>
                </c:pt>
                <c:pt idx="19">
                  <c:v>04/30/2026 15:00</c:v>
                </c:pt>
                <c:pt idx="20">
                  <c:v>05/05/2026 15:00</c:v>
                </c:pt>
                <c:pt idx="21">
                  <c:v>05/06/2026 15:00</c:v>
                </c:pt>
                <c:pt idx="22">
                  <c:v>05/07/2026 15:00</c:v>
                </c:pt>
                <c:pt idx="23">
                  <c:v>05/08/2026 15:00</c:v>
                </c:pt>
                <c:pt idx="24">
                  <c:v>05/11/2026 15:00</c:v>
                </c:pt>
                <c:pt idx="25">
                  <c:v>05/12/2026 15:00</c:v>
                </c:pt>
                <c:pt idx="26">
                  <c:v>05/13/2026 15:00</c:v>
                </c:pt>
                <c:pt idx="27">
                  <c:v>05/14/2026 15:00</c:v>
                </c:pt>
                <c:pt idx="28">
                  <c:v>05/15/2026 15:00</c:v>
                </c:pt>
                <c:pt idx="29">
                  <c:v>05/18/2026 15:00</c:v>
                </c:pt>
                <c:pt idx="30">
                  <c:v>05/19/2026 15:00</c:v>
                </c:pt>
                <c:pt idx="31">
                  <c:v>05/20/2026 15:00</c:v>
                </c:pt>
                <c:pt idx="32">
                  <c:v>05/21/2026 15:00</c:v>
                </c:pt>
                <c:pt idx="33">
                  <c:v>05/22/2026 15:00</c:v>
                </c:pt>
                <c:pt idx="34">
                  <c:v>05/26/2026 15:00</c:v>
                </c:pt>
                <c:pt idx="35">
                  <c:v>05/27/2026 15:00</c:v>
                </c:pt>
                <c:pt idx="36">
                  <c:v>05/28/2026 15:00</c:v>
                </c:pt>
                <c:pt idx="37">
                  <c:v>05/29/2026 15:00</c:v>
                </c:pt>
                <c:pt idx="38">
                  <c:v>06/01/2026 15:00</c:v>
                </c:pt>
                <c:pt idx="39">
                  <c:v>06/02/2026 15:00</c:v>
                </c:pt>
                <c:pt idx="40">
                  <c:v>06/03/2026 15:00</c:v>
                </c:pt>
                <c:pt idx="41">
                  <c:v>06/04/2026 15:00</c:v>
                </c:pt>
                <c:pt idx="42">
                  <c:v>06/05/2026 15:00</c:v>
                </c:pt>
                <c:pt idx="43">
                  <c:v>06/08/2026 15:00</c:v>
                </c:pt>
                <c:pt idx="44">
                  <c:v>06/09/2026 15:00</c:v>
                </c:pt>
                <c:pt idx="45">
                  <c:v>06/10/2026 15:00</c:v>
                </c:pt>
                <c:pt idx="46">
                  <c:v>06/11/2026 15:00</c:v>
                </c:pt>
                <c:pt idx="47">
                  <c:v>06/12/2026 15:00</c:v>
                </c:pt>
                <c:pt idx="48">
                  <c:v>06/15/2026 15:00</c:v>
                </c:pt>
                <c:pt idx="49">
                  <c:v>06/16/2026 15:00</c:v>
                </c:pt>
                <c:pt idx="50">
                  <c:v>06/17/2026 15:00</c:v>
                </c:pt>
                <c:pt idx="51">
                  <c:v>06/18/2026 15:00</c:v>
                </c:pt>
                <c:pt idx="52">
                  <c:v>06/19/2026 15:00</c:v>
                </c:pt>
                <c:pt idx="53">
                  <c:v>06/22/2026 15:00</c:v>
                </c:pt>
                <c:pt idx="54">
                  <c:v>06/23/2026 15:00</c:v>
                </c:pt>
                <c:pt idx="55">
                  <c:v>06/24/2026 15:00</c:v>
                </c:pt>
                <c:pt idx="56">
                  <c:v>06/25/2026 15:00</c:v>
                </c:pt>
                <c:pt idx="57">
                  <c:v>06/25/2026 18:46</c:v>
                </c:pt>
              </c:strCache>
            </c:strRef>
          </c:cat>
          <c:val>
            <c:numRef>
              <c:f>'13 (2)'!$M$14:$M$250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-48912.170570143498</c:v>
                </c:pt>
                <c:pt idx="2">
                  <c:v>45243.688316243817</c:v>
                </c:pt>
                <c:pt idx="3">
                  <c:v>-93578.675134679885</c:v>
                </c:pt>
                <c:pt idx="4">
                  <c:v>-135636.80314850959</c:v>
                </c:pt>
                <c:pt idx="5">
                  <c:v>-40842.78854520095</c:v>
                </c:pt>
                <c:pt idx="6">
                  <c:v>-90618.13156360737</c:v>
                </c:pt>
                <c:pt idx="7">
                  <c:v>-166704.4482826539</c:v>
                </c:pt>
                <c:pt idx="8">
                  <c:v>-130726.2360447458</c:v>
                </c:pt>
                <c:pt idx="9">
                  <c:v>-121553.61067998904</c:v>
                </c:pt>
                <c:pt idx="10">
                  <c:v>-110883.70265551948</c:v>
                </c:pt>
                <c:pt idx="11">
                  <c:v>-162049.34828016962</c:v>
                </c:pt>
                <c:pt idx="12">
                  <c:v>-113462.68535123423</c:v>
                </c:pt>
                <c:pt idx="13">
                  <c:v>-121378.4129467239</c:v>
                </c:pt>
                <c:pt idx="14">
                  <c:v>-87695.671108063238</c:v>
                </c:pt>
                <c:pt idx="15">
                  <c:v>-104205.62963980512</c:v>
                </c:pt>
                <c:pt idx="16">
                  <c:v>-83033.296257429436</c:v>
                </c:pt>
                <c:pt idx="17">
                  <c:v>-116912.233393551</c:v>
                </c:pt>
                <c:pt idx="18">
                  <c:v>-13758.802848257576</c:v>
                </c:pt>
                <c:pt idx="19">
                  <c:v>-65683.963197500372</c:v>
                </c:pt>
                <c:pt idx="20">
                  <c:v>-85754.402733900613</c:v>
                </c:pt>
                <c:pt idx="21">
                  <c:v>-101898.30125715952</c:v>
                </c:pt>
                <c:pt idx="22">
                  <c:v>-93006.135914883213</c:v>
                </c:pt>
                <c:pt idx="23">
                  <c:v>-76879.777924506736</c:v>
                </c:pt>
                <c:pt idx="24">
                  <c:v>-54862.811337494699</c:v>
                </c:pt>
                <c:pt idx="25">
                  <c:v>-12653.266169459523</c:v>
                </c:pt>
                <c:pt idx="26">
                  <c:v>-37578.021274243365</c:v>
                </c:pt>
                <c:pt idx="27">
                  <c:v>-92145.819654236664</c:v>
                </c:pt>
                <c:pt idx="28">
                  <c:v>-25585.785103818809</c:v>
                </c:pt>
                <c:pt idx="29">
                  <c:v>-72497.422925145089</c:v>
                </c:pt>
                <c:pt idx="30">
                  <c:v>-132008.54563115057</c:v>
                </c:pt>
                <c:pt idx="31">
                  <c:v>-190316.11765929387</c:v>
                </c:pt>
                <c:pt idx="32">
                  <c:v>-131718.30471367604</c:v>
                </c:pt>
                <c:pt idx="33">
                  <c:v>-172852.03584770887</c:v>
                </c:pt>
                <c:pt idx="34">
                  <c:v>-186356.24521433556</c:v>
                </c:pt>
                <c:pt idx="35">
                  <c:v>-191221.83654806379</c:v>
                </c:pt>
                <c:pt idx="36">
                  <c:v>-209938.14498264488</c:v>
                </c:pt>
                <c:pt idx="37">
                  <c:v>-207942.83477169409</c:v>
                </c:pt>
                <c:pt idx="38">
                  <c:v>-195360.6448908007</c:v>
                </c:pt>
                <c:pt idx="39">
                  <c:v>-179143.12039385439</c:v>
                </c:pt>
                <c:pt idx="40">
                  <c:v>-160009.36970769457</c:v>
                </c:pt>
                <c:pt idx="41">
                  <c:v>-184643.22423347918</c:v>
                </c:pt>
                <c:pt idx="42">
                  <c:v>-162580.01971813809</c:v>
                </c:pt>
                <c:pt idx="43">
                  <c:v>-177636.67684446927</c:v>
                </c:pt>
                <c:pt idx="44">
                  <c:v>-200707.80622549553</c:v>
                </c:pt>
                <c:pt idx="45">
                  <c:v>-170384.33771394787</c:v>
                </c:pt>
                <c:pt idx="46">
                  <c:v>-207644.84571448044</c:v>
                </c:pt>
                <c:pt idx="47">
                  <c:v>-259201.55874974412</c:v>
                </c:pt>
                <c:pt idx="48">
                  <c:v>-245400.92525379569</c:v>
                </c:pt>
                <c:pt idx="49">
                  <c:v>-246370.41057114993</c:v>
                </c:pt>
                <c:pt idx="50">
                  <c:v>-226933.80805052203</c:v>
                </c:pt>
                <c:pt idx="51">
                  <c:v>-243721.63335645368</c:v>
                </c:pt>
                <c:pt idx="52">
                  <c:v>-203807.51772440068</c:v>
                </c:pt>
                <c:pt idx="53">
                  <c:v>-227322.82848587568</c:v>
                </c:pt>
                <c:pt idx="54">
                  <c:v>-265855.03629378957</c:v>
                </c:pt>
                <c:pt idx="55">
                  <c:v>-308472.53335509793</c:v>
                </c:pt>
                <c:pt idx="56">
                  <c:v>-283338.8995437923</c:v>
                </c:pt>
                <c:pt idx="57">
                  <c:v>-286109.81661268795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7-4C46-A3BE-6DC5E457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AF7-4C46-A3BE-6DC5E457159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AF7-4C46-A3BE-6DC5E457159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F7-4C46-A3BE-6DC5E457159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F7-4C46-A3BE-6DC5E457159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F7-4C46-A3BE-6DC5E457159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F7-4C46-A3BE-6DC5E457159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06/25/2026 18:46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F7-4C46-A3BE-6DC5E457159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r>
              <a:rPr lang="en-US" sz="1200"/>
              <a:t>AHW (roll-adjusted) vs IHYG — cumulative trade P/L (€)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AHW (roll-adjusted)</c:v>
          </c:tx>
          <c:spPr>
            <a:ln w="28575" cap="rnd">
              <a:solidFill>
                <a:srgbClr val="C00000"/>
              </a:solidFill>
              <a:round/>
            </a:ln>
          </c:spPr>
          <c:marker>
            <c:symbol val="none"/>
          </c:marker>
          <c:cat>
            <c:numRef>
              <c:f>'IHYG vs AHW'!$A$21:$A$122</c:f>
            </c:numRef>
          </c:cat>
          <c:val>
            <c:numRef>
              <c:f>'IHYG vs AHW'!$F$21:$F$122</c:f>
            </c:numRef>
          </c:val>
          <c:smooth val="0"/>
        </c:ser>
        <c:ser>
          <c:idx val="1"/>
          <c:order val="1"/>
          <c:tx>
            <c:v>IHYG ETF</c:v>
          </c:tx>
          <c:spPr>
            <a:ln w="28575" cap="rnd">
              <a:solidFill>
                <a:srgbClr val="1F3864"/>
              </a:solidFill>
              <a:round/>
            </a:ln>
          </c:spPr>
          <c:marker>
            <c:symbol val="none"/>
          </c:marker>
          <c:cat>
            <c:numRef>
              <c:f>'IHYG vs AHW'!$A$21:$A$122</c:f>
            </c:numRef>
          </c:cat>
          <c:val>
            <c:numRef>
              <c:f>'IHYG vs AHW'!$G$21:$G$122</c:f>
            </c:numRef>
          </c:val>
          <c:smooth val="0"/>
        </c:ser>
        <c:marker val="1"/>
        <c:axId val="111111111"/>
        <c:axId val="222222222"/>
      </c:lineChart>
      <c:dateAx>
        <c:axId val="111111111"/>
        <c:scaling>
          <c:orientation val="minMax"/>
        </c:scaling>
        <c:delete val="0"/>
        <c:axPos val="b"/>
        <c:numFmt formatCode="dd-mmm" sourceLinked="0"/>
        <c:majorTickMark val="out"/>
        <c:minorTickMark val="none"/>
        <c:tickLblPos val="nextTo"/>
        <c:crossAx val="222222222"/>
        <c:baseTimeUnit val="days"/>
      </c:dateAx>
      <c:valAx>
        <c:axId val="22222222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11111111"/>
      </c:valAx>
    </c:plotArea>
    <c:legend>
      <c:legendPos val="b"/>
      <c:overlay val="0"/>
    </c:legend>
    <c:plotVisOnly val="1"/>
    <c:dispBlanksAs val="gap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142875</xdr:rowOff>
    </xdr:from>
    <xdr:to>
      <xdr:col>25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E3D75-F7A9-4C95-8B04-E094FE4C3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264583</xdr:colOff>
      <xdr:row>3</xdr:row>
      <xdr:rowOff>84666</xdr:rowOff>
    </xdr:from>
    <xdr:to>
      <xdr:col>9</xdr:col>
      <xdr:colOff>464608</xdr:colOff>
      <xdr:row>9</xdr:row>
      <xdr:rowOff>182032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8D3F8-664D-4F94-83DC-1E249F030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358" y="675216"/>
          <a:ext cx="3914775" cy="1430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142875</xdr:rowOff>
    </xdr:from>
    <xdr:to>
      <xdr:col>25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C488D-003C-4716-80C2-1F4984183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515407</xdr:colOff>
      <xdr:row>34</xdr:row>
      <xdr:rowOff>121709</xdr:rowOff>
    </xdr:from>
    <xdr:to>
      <xdr:col>33</xdr:col>
      <xdr:colOff>568324</xdr:colOff>
      <xdr:row>60</xdr:row>
      <xdr:rowOff>158751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2DA49-0C91-41D1-9F5C-1DADEE060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264583</xdr:colOff>
      <xdr:row>3</xdr:row>
      <xdr:rowOff>84666</xdr:rowOff>
    </xdr:from>
    <xdr:to>
      <xdr:col>9</xdr:col>
      <xdr:colOff>464608</xdr:colOff>
      <xdr:row>9</xdr:row>
      <xdr:rowOff>182032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C71128-6AB8-4DFD-BCB6-E41604EB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358" y="675216"/>
          <a:ext cx="3914775" cy="1430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981074</xdr:colOff>
      <xdr:row>19</xdr:row>
      <xdr:rowOff>5292</xdr:rowOff>
    </xdr:from>
    <xdr:to>
      <xdr:col>26</xdr:col>
      <xdr:colOff>70908</xdr:colOff>
      <xdr:row>45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C8F32-21EB-4AF5-A08E-619071B59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20</xdr:col>
      <xdr:colOff>0</xdr:colOff>
      <xdr:row>26</xdr:row>
      <xdr:rowOff>0</xdr:rowOff>
    </xdr:to>
    <xdr:graphicFrame macro="">
      <xdr:nvGraphicFramePr>
        <xdr:cNvPr id="2" name="Chart IHYGvsAH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All%20Data\57.%20BNP%20Trades%20Tracker\BNP%206-25-2026%20-%20Part%20A.xlsx" TargetMode="External"/><Relationship Id="rId1" Type="http://schemas.openxmlformats.org/officeDocument/2006/relationships/externalLinkPath" Target="BNP%206-25-2026%20-%20Part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ividends"/>
      <sheetName val="ETF Compression"/>
      <sheetName val="EM Basis"/>
      <sheetName val="VCIT Basis"/>
      <sheetName val="1"/>
      <sheetName val="4"/>
      <sheetName val="5"/>
      <sheetName val="6"/>
      <sheetName val="7"/>
      <sheetName val="8"/>
      <sheetName val="8a"/>
      <sheetName val="9"/>
      <sheetName val="10"/>
      <sheetName val="13"/>
      <sheetName val="13a"/>
      <sheetName val="14"/>
      <sheetName val="15"/>
      <sheetName val="16"/>
      <sheetName val="17"/>
      <sheetName val="19"/>
      <sheetName val="20"/>
      <sheetName val="25"/>
      <sheetName val="26"/>
      <sheetName val="27"/>
      <sheetName val="28b"/>
      <sheetName val="29"/>
      <sheetName val="30"/>
      <sheetName val="31"/>
      <sheetName val="33"/>
      <sheetName val="34"/>
      <sheetName val="34a"/>
      <sheetName val="35"/>
      <sheetName val="35a"/>
      <sheetName val="35b"/>
      <sheetName val="36"/>
      <sheetName val="37"/>
      <sheetName val="38"/>
      <sheetName val="39"/>
      <sheetName val="40"/>
      <sheetName val="41"/>
      <sheetName val="41a"/>
      <sheetName val="42"/>
      <sheetName val="43"/>
      <sheetName val="44"/>
      <sheetName val="45"/>
      <sheetName val="46"/>
      <sheetName val="47"/>
      <sheetName val="48"/>
      <sheetName val="49"/>
      <sheetName val="2 CDS RV Template"/>
      <sheetName val="3 CDS RV Template"/>
      <sheetName val="SNRFIN vs SX7E Puts Template"/>
      <sheetName val="SPX vs HYG Calls Template"/>
      <sheetName val="CDX HY vs IWM Puts Template"/>
    </sheetNames>
    <sheetDataSet>
      <sheetData sheetId="0"/>
      <sheetData sheetId="1">
        <row r="3">
          <cell r="G3" t="str">
            <v>IHYG</v>
          </cell>
        </row>
      </sheetData>
      <sheetData sheetId="2"/>
      <sheetData sheetId="3"/>
      <sheetData sheetId="4"/>
      <sheetData sheetId="5">
        <row r="12">
          <cell r="B12" t="str">
            <v>Long Risk</v>
          </cell>
          <cell r="C12"/>
          <cell r="D12"/>
          <cell r="E12"/>
          <cell r="F12" t="str">
            <v>Short Risk</v>
          </cell>
          <cell r="G12"/>
          <cell r="H12"/>
        </row>
        <row r="13">
          <cell r="B13" t="str">
            <v>Sprd</v>
          </cell>
          <cell r="C13" t="str">
            <v>Roll Adj Sprd</v>
          </cell>
          <cell r="D13" t="str">
            <v>Sprd P/L</v>
          </cell>
          <cell r="E13" t="str">
            <v>Carry P/L</v>
          </cell>
          <cell r="F13" t="str">
            <v>Price</v>
          </cell>
          <cell r="G13" t="str">
            <v>Price P/L</v>
          </cell>
          <cell r="H13" t="str">
            <v>Carry P/L</v>
          </cell>
        </row>
        <row r="14">
          <cell r="B14">
            <v>106.5</v>
          </cell>
          <cell r="C14">
            <v>106.5</v>
          </cell>
          <cell r="D14"/>
          <cell r="E14"/>
          <cell r="F14">
            <v>98.875</v>
          </cell>
          <cell r="G14"/>
          <cell r="H14"/>
        </row>
        <row r="15">
          <cell r="B15">
            <v>90.266000000000005</v>
          </cell>
          <cell r="C15">
            <v>101.988</v>
          </cell>
          <cell r="D15">
            <v>50308.800000000003</v>
          </cell>
          <cell r="E15">
            <v>72222.222222222234</v>
          </cell>
          <cell r="F15">
            <v>101.428</v>
          </cell>
          <cell r="G15">
            <v>191474.9999999998</v>
          </cell>
          <cell r="H15">
            <v>57332.708333333343</v>
          </cell>
        </row>
        <row r="16">
          <cell r="B16">
            <v>89.93</v>
          </cell>
          <cell r="C16">
            <v>99.507999999999996</v>
          </cell>
          <cell r="D16">
            <v>77960.800000000047</v>
          </cell>
          <cell r="E16">
            <v>72916.666666666672</v>
          </cell>
          <cell r="F16">
            <v>101.43300000000001</v>
          </cell>
          <cell r="G16">
            <v>191850.00000000052</v>
          </cell>
          <cell r="H16">
            <v>57883.984374999985</v>
          </cell>
        </row>
        <row r="17">
          <cell r="B17">
            <v>90.049000000000007</v>
          </cell>
          <cell r="C17">
            <v>97.378</v>
          </cell>
          <cell r="D17">
            <v>101710.30000000002</v>
          </cell>
          <cell r="E17">
            <v>73611.111111111109</v>
          </cell>
          <cell r="F17">
            <v>101.535</v>
          </cell>
          <cell r="G17">
            <v>199499.99999999977</v>
          </cell>
          <cell r="H17">
            <v>58435.260416666657</v>
          </cell>
        </row>
        <row r="18">
          <cell r="B18">
            <v>89.225999999999999</v>
          </cell>
          <cell r="C18">
            <v>96.828000000000003</v>
          </cell>
          <cell r="D18">
            <v>107842.79999999997</v>
          </cell>
          <cell r="E18">
            <v>74305.555555555562</v>
          </cell>
          <cell r="F18">
            <v>101.57</v>
          </cell>
          <cell r="G18">
            <v>202124.99999999951</v>
          </cell>
          <cell r="H18">
            <v>58986.536458333343</v>
          </cell>
        </row>
        <row r="19">
          <cell r="B19">
            <v>88.793000000000006</v>
          </cell>
          <cell r="C19">
            <v>95.448999999999998</v>
          </cell>
          <cell r="D19">
            <v>123218.65000000002</v>
          </cell>
          <cell r="E19">
            <v>76388.888888888891</v>
          </cell>
          <cell r="F19">
            <v>101.629</v>
          </cell>
          <cell r="G19">
            <v>206550.00000000038</v>
          </cell>
          <cell r="H19">
            <v>60640.364583333343</v>
          </cell>
        </row>
        <row r="20">
          <cell r="B20">
            <v>88.692999999999998</v>
          </cell>
          <cell r="C20">
            <v>92.872</v>
          </cell>
          <cell r="D20">
            <v>151952.20000000001</v>
          </cell>
          <cell r="E20">
            <v>77083.333333333343</v>
          </cell>
          <cell r="F20">
            <v>101.68</v>
          </cell>
          <cell r="G20">
            <v>210375.00000000052</v>
          </cell>
          <cell r="H20">
            <v>61191.640625</v>
          </cell>
        </row>
        <row r="21">
          <cell r="B21">
            <v>87.667000000000002</v>
          </cell>
          <cell r="C21">
            <v>92.445999999999998</v>
          </cell>
          <cell r="D21">
            <v>156702.10000000003</v>
          </cell>
          <cell r="E21">
            <v>77777.777777777781</v>
          </cell>
          <cell r="F21">
            <v>101.89400000000001</v>
          </cell>
          <cell r="G21">
            <v>226425.00000000041</v>
          </cell>
          <cell r="H21">
            <v>61742.916666666657</v>
          </cell>
        </row>
        <row r="22">
          <cell r="B22">
            <v>87.715999999999994</v>
          </cell>
          <cell r="C22">
            <v>91.334000000000003</v>
          </cell>
          <cell r="D22">
            <v>169100.89999999997</v>
          </cell>
          <cell r="E22">
            <v>79166.666666666672</v>
          </cell>
          <cell r="F22">
            <v>102.012</v>
          </cell>
          <cell r="G22">
            <v>235275.00000000003</v>
          </cell>
          <cell r="H22">
            <v>62845.468749999985</v>
          </cell>
        </row>
        <row r="23">
          <cell r="B23">
            <v>87.912999999999997</v>
          </cell>
          <cell r="C23">
            <v>91.960999999999999</v>
          </cell>
          <cell r="D23">
            <v>162109.85000000003</v>
          </cell>
          <cell r="E23">
            <v>81250</v>
          </cell>
          <cell r="F23">
            <v>101.76600000000001</v>
          </cell>
          <cell r="G23">
            <v>216825.00000000041</v>
          </cell>
          <cell r="H23">
            <v>64499.296875000015</v>
          </cell>
        </row>
        <row r="24">
          <cell r="B24">
            <v>87.629000000000005</v>
          </cell>
          <cell r="C24">
            <v>92.38</v>
          </cell>
          <cell r="D24">
            <v>157438.00000000006</v>
          </cell>
          <cell r="E24">
            <v>81944.444444444438</v>
          </cell>
          <cell r="F24">
            <v>101.789</v>
          </cell>
          <cell r="G24">
            <v>218550.00000000009</v>
          </cell>
          <cell r="H24">
            <v>65050.572916666657</v>
          </cell>
        </row>
        <row r="25">
          <cell r="B25">
            <v>87.513999999999996</v>
          </cell>
          <cell r="C25">
            <v>91.418000000000006</v>
          </cell>
          <cell r="D25">
            <v>168164.29999999993</v>
          </cell>
          <cell r="E25">
            <v>82638.888888888891</v>
          </cell>
          <cell r="F25">
            <v>101.812</v>
          </cell>
          <cell r="G25">
            <v>220274.99999999983</v>
          </cell>
          <cell r="H25">
            <v>65601.848958333343</v>
          </cell>
        </row>
        <row r="26">
          <cell r="B26">
            <v>87.242999999999995</v>
          </cell>
          <cell r="C26">
            <v>91.418000000000006</v>
          </cell>
          <cell r="D26">
            <v>168164.29999999993</v>
          </cell>
          <cell r="E26">
            <v>84027.777777777781</v>
          </cell>
          <cell r="F26">
            <v>101.89</v>
          </cell>
          <cell r="G26">
            <v>226125.00000000006</v>
          </cell>
          <cell r="H26">
            <v>66704.401041666657</v>
          </cell>
        </row>
        <row r="27">
          <cell r="B27">
            <v>86.962999999999994</v>
          </cell>
          <cell r="C27">
            <v>75.421999999999997</v>
          </cell>
          <cell r="D27">
            <v>346519.70000000007</v>
          </cell>
          <cell r="E27">
            <v>86111.111111111109</v>
          </cell>
          <cell r="F27">
            <v>101.869</v>
          </cell>
          <cell r="G27">
            <v>224549.99999999997</v>
          </cell>
          <cell r="H27">
            <v>68358.229166666628</v>
          </cell>
        </row>
        <row r="28">
          <cell r="B28">
            <v>85.751000000000005</v>
          </cell>
          <cell r="C28">
            <v>74.210000000000008</v>
          </cell>
          <cell r="D28">
            <v>360033.49999999994</v>
          </cell>
          <cell r="E28">
            <v>86805.555555555547</v>
          </cell>
          <cell r="F28">
            <v>101.982</v>
          </cell>
          <cell r="G28">
            <v>233024.99999999994</v>
          </cell>
          <cell r="H28">
            <v>68909.505208333343</v>
          </cell>
        </row>
        <row r="29">
          <cell r="B29">
            <v>85.727000000000004</v>
          </cell>
          <cell r="C29">
            <v>74.186000000000007</v>
          </cell>
          <cell r="D29">
            <v>360301.09999999992</v>
          </cell>
          <cell r="E29">
            <v>87500</v>
          </cell>
          <cell r="F29">
            <v>102.13500000000001</v>
          </cell>
          <cell r="G29">
            <v>244500.00000000041</v>
          </cell>
          <cell r="H29">
            <v>69460.781250000015</v>
          </cell>
        </row>
        <row r="30">
          <cell r="B30">
            <v>86.3</v>
          </cell>
          <cell r="C30">
            <v>74.759</v>
          </cell>
          <cell r="D30">
            <v>353912.14999999997</v>
          </cell>
          <cell r="E30">
            <v>88194.444444444438</v>
          </cell>
          <cell r="F30">
            <v>102.14100000000001</v>
          </cell>
          <cell r="G30">
            <v>244950.00000000038</v>
          </cell>
          <cell r="H30">
            <v>70012.057291666657</v>
          </cell>
        </row>
        <row r="31">
          <cell r="B31">
            <v>85.78</v>
          </cell>
          <cell r="C31">
            <v>74.239000000000004</v>
          </cell>
          <cell r="D31">
            <v>359710.14999999997</v>
          </cell>
          <cell r="E31">
            <v>88888.888888888891</v>
          </cell>
          <cell r="F31">
            <v>102.38500000000001</v>
          </cell>
          <cell r="G31">
            <v>263250.00000000035</v>
          </cell>
          <cell r="H31">
            <v>70563.333333333372</v>
          </cell>
        </row>
        <row r="32">
          <cell r="B32">
            <v>85.364999999999995</v>
          </cell>
          <cell r="C32">
            <v>73.823999999999998</v>
          </cell>
          <cell r="D32">
            <v>364337.4</v>
          </cell>
          <cell r="E32">
            <v>90972.222222222219</v>
          </cell>
          <cell r="F32">
            <v>102.25</v>
          </cell>
          <cell r="G32">
            <v>253125.00000000003</v>
          </cell>
          <cell r="H32">
            <v>72217.161458333343</v>
          </cell>
        </row>
        <row r="33">
          <cell r="B33">
            <v>84.343000000000004</v>
          </cell>
          <cell r="C33">
            <v>72.802000000000007</v>
          </cell>
          <cell r="D33">
            <v>375732.69999999995</v>
          </cell>
          <cell r="E33">
            <v>91666.666666666672</v>
          </cell>
          <cell r="F33">
            <v>102.26</v>
          </cell>
          <cell r="G33">
            <v>253875.00000000041</v>
          </cell>
          <cell r="H33">
            <v>72768.437500000029</v>
          </cell>
        </row>
        <row r="34">
          <cell r="B34">
            <v>84.162999999999997</v>
          </cell>
          <cell r="C34">
            <v>72.622</v>
          </cell>
          <cell r="D34">
            <v>377739.70000000007</v>
          </cell>
          <cell r="E34">
            <v>92361.111111111109</v>
          </cell>
          <cell r="F34">
            <v>102.247</v>
          </cell>
          <cell r="G34">
            <v>252900</v>
          </cell>
          <cell r="H34">
            <v>73319.713541666686</v>
          </cell>
        </row>
        <row r="35">
          <cell r="B35">
            <v>84.411000000000001</v>
          </cell>
          <cell r="C35">
            <v>72.87</v>
          </cell>
          <cell r="D35">
            <v>374974.49999999994</v>
          </cell>
          <cell r="E35">
            <v>93055.555555555562</v>
          </cell>
          <cell r="F35">
            <v>102.31</v>
          </cell>
          <cell r="G35">
            <v>257625.00000000015</v>
          </cell>
          <cell r="H35">
            <v>73870.989583333314</v>
          </cell>
        </row>
        <row r="36">
          <cell r="B36">
            <v>83.876999999999995</v>
          </cell>
          <cell r="C36">
            <v>72.335999999999999</v>
          </cell>
          <cell r="D36">
            <v>380928.60000000003</v>
          </cell>
          <cell r="E36">
            <v>93750.000000000015</v>
          </cell>
          <cell r="F36">
            <v>102.264</v>
          </cell>
          <cell r="G36">
            <v>254174.99999999965</v>
          </cell>
          <cell r="H36">
            <v>74422.265625</v>
          </cell>
        </row>
        <row r="37">
          <cell r="B37">
            <v>86.462999999999994</v>
          </cell>
          <cell r="C37">
            <v>74.921999999999997</v>
          </cell>
          <cell r="D37">
            <v>352094.7</v>
          </cell>
          <cell r="E37">
            <v>95833.333333333343</v>
          </cell>
          <cell r="F37">
            <v>101.92</v>
          </cell>
          <cell r="G37">
            <v>228375.00000000015</v>
          </cell>
          <cell r="H37">
            <v>76076.093750000029</v>
          </cell>
        </row>
        <row r="38">
          <cell r="B38">
            <v>88.070999999999998</v>
          </cell>
          <cell r="C38">
            <v>76.53</v>
          </cell>
          <cell r="D38">
            <v>334165.5</v>
          </cell>
          <cell r="E38">
            <v>96527.777777777796</v>
          </cell>
          <cell r="F38">
            <v>101.508</v>
          </cell>
          <cell r="G38">
            <v>197474.99999999965</v>
          </cell>
          <cell r="H38">
            <v>76627.369791666657</v>
          </cell>
        </row>
        <row r="39">
          <cell r="B39">
            <v>86.83</v>
          </cell>
          <cell r="C39">
            <v>75.289000000000001</v>
          </cell>
          <cell r="D39">
            <v>348002.65</v>
          </cell>
          <cell r="E39">
            <v>97222.222222222234</v>
          </cell>
          <cell r="F39">
            <v>101.73099999999999</v>
          </cell>
          <cell r="G39">
            <v>214199.99999999959</v>
          </cell>
          <cell r="H39">
            <v>77178.645833333343</v>
          </cell>
        </row>
        <row r="40">
          <cell r="B40">
            <v>84.230999999999995</v>
          </cell>
          <cell r="C40">
            <v>72.69</v>
          </cell>
          <cell r="D40">
            <v>376981.5</v>
          </cell>
          <cell r="E40">
            <v>97916.666666666657</v>
          </cell>
          <cell r="F40">
            <v>102.127</v>
          </cell>
          <cell r="G40">
            <v>243899.99999999965</v>
          </cell>
          <cell r="H40">
            <v>77729.921875000029</v>
          </cell>
        </row>
        <row r="41">
          <cell r="B41">
            <v>84.471999999999994</v>
          </cell>
          <cell r="C41">
            <v>72.930999999999997</v>
          </cell>
          <cell r="D41">
            <v>374294.35000000003</v>
          </cell>
          <cell r="E41">
            <v>98611.111111111095</v>
          </cell>
          <cell r="F41">
            <v>102.098</v>
          </cell>
          <cell r="G41">
            <v>241724.99999999991</v>
          </cell>
          <cell r="H41">
            <v>78281.197916666657</v>
          </cell>
        </row>
        <row r="42">
          <cell r="B42">
            <v>83.158000000000001</v>
          </cell>
          <cell r="C42">
            <v>71.617000000000004</v>
          </cell>
          <cell r="D42">
            <v>388945.44999999995</v>
          </cell>
          <cell r="E42">
            <v>100694.44444444444</v>
          </cell>
          <cell r="F42">
            <v>102.122</v>
          </cell>
          <cell r="G42">
            <v>243525</v>
          </cell>
          <cell r="H42">
            <v>79935.026041666628</v>
          </cell>
        </row>
        <row r="43">
          <cell r="B43">
            <v>81.959000000000003</v>
          </cell>
          <cell r="C43">
            <v>70.418000000000006</v>
          </cell>
          <cell r="D43">
            <v>402314.29999999987</v>
          </cell>
          <cell r="E43">
            <v>101388.88888888888</v>
          </cell>
          <cell r="F43">
            <v>102.215</v>
          </cell>
          <cell r="G43">
            <v>250500.00000000026</v>
          </cell>
          <cell r="H43">
            <v>80486.302083333314</v>
          </cell>
        </row>
        <row r="44">
          <cell r="B44">
            <v>81.585999999999999</v>
          </cell>
          <cell r="C44">
            <v>70.045000000000002</v>
          </cell>
          <cell r="D44">
            <v>406473.24999999994</v>
          </cell>
          <cell r="E44">
            <v>102083.33333333333</v>
          </cell>
          <cell r="F44">
            <v>102.303</v>
          </cell>
          <cell r="G44">
            <v>257099.99999999977</v>
          </cell>
          <cell r="H44">
            <v>81037.578124999985</v>
          </cell>
        </row>
        <row r="45">
          <cell r="B45">
            <v>82.206000000000003</v>
          </cell>
          <cell r="C45">
            <v>70.665000000000006</v>
          </cell>
          <cell r="D45">
            <v>399560.25</v>
          </cell>
          <cell r="E45">
            <v>102777.77777777778</v>
          </cell>
          <cell r="F45">
            <v>102.2</v>
          </cell>
          <cell r="G45">
            <v>249375.00000000023</v>
          </cell>
          <cell r="H45">
            <v>81588.854166666657</v>
          </cell>
        </row>
        <row r="46">
          <cell r="B46">
            <v>82.492000000000004</v>
          </cell>
          <cell r="C46">
            <v>70.951000000000008</v>
          </cell>
          <cell r="D46">
            <v>396371.35</v>
          </cell>
          <cell r="E46">
            <v>103472.22222222222</v>
          </cell>
          <cell r="F46">
            <v>102.20099999999999</v>
          </cell>
          <cell r="G46">
            <v>249449.99999999951</v>
          </cell>
          <cell r="H46">
            <v>82140.130208333372</v>
          </cell>
        </row>
        <row r="47">
          <cell r="B47">
            <v>82.251999999999995</v>
          </cell>
          <cell r="C47">
            <v>70.710999999999999</v>
          </cell>
          <cell r="D47">
            <v>399047.35000000003</v>
          </cell>
          <cell r="E47">
            <v>105555.55555555556</v>
          </cell>
          <cell r="F47">
            <v>102.285</v>
          </cell>
          <cell r="G47">
            <v>255749.99999999974</v>
          </cell>
          <cell r="H47">
            <v>83793.958333333372</v>
          </cell>
        </row>
        <row r="48">
          <cell r="B48">
            <v>81.760999999999996</v>
          </cell>
          <cell r="C48">
            <v>70.22</v>
          </cell>
          <cell r="D48">
            <v>404522.00000000006</v>
          </cell>
          <cell r="E48">
            <v>106250.00000000001</v>
          </cell>
          <cell r="F48">
            <v>102.52500000000001</v>
          </cell>
          <cell r="G48">
            <v>273750.00000000047</v>
          </cell>
          <cell r="H48">
            <v>84345.234374999985</v>
          </cell>
        </row>
        <row r="49">
          <cell r="B49">
            <v>81.863</v>
          </cell>
          <cell r="C49">
            <v>70.322000000000003</v>
          </cell>
          <cell r="D49">
            <v>403384.7</v>
          </cell>
          <cell r="E49">
            <v>106944.44444444445</v>
          </cell>
          <cell r="F49">
            <v>102.499</v>
          </cell>
          <cell r="G49">
            <v>271799.99999999965</v>
          </cell>
          <cell r="H49">
            <v>84896.510416666715</v>
          </cell>
        </row>
        <row r="50">
          <cell r="B50">
            <v>82.628</v>
          </cell>
          <cell r="C50">
            <v>71.087000000000003</v>
          </cell>
          <cell r="D50">
            <v>394854.94999999995</v>
          </cell>
          <cell r="E50">
            <v>107638.88888888889</v>
          </cell>
          <cell r="F50">
            <v>102.316</v>
          </cell>
          <cell r="G50">
            <v>258075.00000000017</v>
          </cell>
          <cell r="H50">
            <v>85447.786458333314</v>
          </cell>
        </row>
        <row r="51">
          <cell r="B51">
            <v>82.361999999999995</v>
          </cell>
          <cell r="C51">
            <v>70.820999999999998</v>
          </cell>
          <cell r="D51">
            <v>397820.85000000009</v>
          </cell>
          <cell r="E51">
            <v>108333.33333333333</v>
          </cell>
          <cell r="F51">
            <v>102.41</v>
          </cell>
          <cell r="G51">
            <v>265124.99999999971</v>
          </cell>
          <cell r="H51">
            <v>85999.0625</v>
          </cell>
        </row>
        <row r="52">
          <cell r="B52">
            <v>82.072999999999993</v>
          </cell>
          <cell r="C52">
            <v>70.531999999999996</v>
          </cell>
          <cell r="D52">
            <v>401043.20000000001</v>
          </cell>
          <cell r="E52">
            <v>110416.66666666667</v>
          </cell>
          <cell r="F52">
            <v>102.59099999999999</v>
          </cell>
          <cell r="G52">
            <v>278699.99999999959</v>
          </cell>
          <cell r="H52">
            <v>87652.890625000029</v>
          </cell>
        </row>
        <row r="53">
          <cell r="B53">
            <v>81.983999999999995</v>
          </cell>
          <cell r="C53">
            <v>70.442999999999998</v>
          </cell>
          <cell r="D53">
            <v>402035.55000000005</v>
          </cell>
          <cell r="E53">
            <v>111111.11111111111</v>
          </cell>
          <cell r="F53">
            <v>102.654</v>
          </cell>
          <cell r="G53">
            <v>283424.99999999971</v>
          </cell>
          <cell r="H53">
            <v>88204.166666666657</v>
          </cell>
        </row>
        <row r="54">
          <cell r="B54">
            <v>82.298000000000002</v>
          </cell>
          <cell r="C54">
            <v>70.757000000000005</v>
          </cell>
          <cell r="D54">
            <v>398534.44999999995</v>
          </cell>
          <cell r="E54">
            <v>111805.55555555558</v>
          </cell>
          <cell r="F54">
            <v>102.601</v>
          </cell>
          <cell r="G54">
            <v>279449.99999999988</v>
          </cell>
          <cell r="H54">
            <v>88755.442708333343</v>
          </cell>
        </row>
        <row r="55">
          <cell r="B55">
            <v>81.655000000000001</v>
          </cell>
          <cell r="C55">
            <v>70.114000000000004</v>
          </cell>
          <cell r="D55">
            <v>405703.89999999991</v>
          </cell>
          <cell r="E55">
            <v>112500.00000000001</v>
          </cell>
          <cell r="F55">
            <v>102.756</v>
          </cell>
          <cell r="G55">
            <v>291075.00000000006</v>
          </cell>
          <cell r="H55">
            <v>89306.718750000029</v>
          </cell>
        </row>
        <row r="56">
          <cell r="B56">
            <v>83.483999999999995</v>
          </cell>
          <cell r="C56">
            <v>71.942999999999998</v>
          </cell>
          <cell r="D56">
            <v>385310.55000000005</v>
          </cell>
          <cell r="E56">
            <v>113194.44444444445</v>
          </cell>
          <cell r="F56">
            <v>102.65300000000001</v>
          </cell>
          <cell r="G56">
            <v>283350.00000000041</v>
          </cell>
          <cell r="H56">
            <v>89857.994791666686</v>
          </cell>
        </row>
        <row r="57">
          <cell r="B57">
            <v>83.07</v>
          </cell>
          <cell r="C57">
            <v>71.528999999999996</v>
          </cell>
          <cell r="D57">
            <v>389926.65</v>
          </cell>
          <cell r="E57">
            <v>115277.7777777778</v>
          </cell>
          <cell r="F57">
            <v>102.78100000000001</v>
          </cell>
          <cell r="G57">
            <v>292950.00000000047</v>
          </cell>
          <cell r="H57">
            <v>91511.822916666628</v>
          </cell>
        </row>
        <row r="58">
          <cell r="B58">
            <v>83.956999999999994</v>
          </cell>
          <cell r="C58">
            <v>72.415999999999997</v>
          </cell>
          <cell r="D58">
            <v>380036.60000000009</v>
          </cell>
          <cell r="E58">
            <v>115972.22222222222</v>
          </cell>
          <cell r="F58">
            <v>102.849</v>
          </cell>
          <cell r="G58">
            <v>298050.00000000029</v>
          </cell>
          <cell r="H58">
            <v>92063.098958333314</v>
          </cell>
        </row>
        <row r="59">
          <cell r="B59">
            <v>83.180999999999997</v>
          </cell>
          <cell r="C59">
            <v>71.64</v>
          </cell>
          <cell r="D59">
            <v>388689</v>
          </cell>
          <cell r="E59">
            <v>116666.66666666666</v>
          </cell>
          <cell r="F59">
            <v>103.105</v>
          </cell>
          <cell r="G59">
            <v>317250.00000000029</v>
          </cell>
          <cell r="H59">
            <v>92614.375</v>
          </cell>
        </row>
        <row r="60">
          <cell r="B60">
            <v>83.227999999999994</v>
          </cell>
          <cell r="C60">
            <v>71.686999999999998</v>
          </cell>
          <cell r="D60">
            <v>388164.95000000007</v>
          </cell>
          <cell r="E60">
            <v>117361.11111111111</v>
          </cell>
          <cell r="F60">
            <v>103.134</v>
          </cell>
          <cell r="G60">
            <v>319425</v>
          </cell>
          <cell r="H60">
            <v>93165.651041666657</v>
          </cell>
        </row>
        <row r="61">
          <cell r="B61">
            <v>82.575000000000003</v>
          </cell>
          <cell r="C61">
            <v>71.034000000000006</v>
          </cell>
          <cell r="D61">
            <v>395445.89999999997</v>
          </cell>
          <cell r="E61">
            <v>118055.55555555556</v>
          </cell>
          <cell r="F61">
            <v>103.131</v>
          </cell>
          <cell r="G61">
            <v>319200</v>
          </cell>
          <cell r="H61">
            <v>93716.927083333343</v>
          </cell>
        </row>
        <row r="62">
          <cell r="B62">
            <v>82.757000000000005</v>
          </cell>
          <cell r="C62">
            <v>71.216000000000008</v>
          </cell>
          <cell r="D62">
            <v>393416.59999999992</v>
          </cell>
          <cell r="E62">
            <v>120138.88888888888</v>
          </cell>
          <cell r="F62">
            <v>103.193</v>
          </cell>
          <cell r="G62">
            <v>323849.99999999983</v>
          </cell>
          <cell r="H62">
            <v>95370.755208333343</v>
          </cell>
        </row>
        <row r="63">
          <cell r="B63">
            <v>83.631</v>
          </cell>
          <cell r="C63">
            <v>72.09</v>
          </cell>
          <cell r="D63">
            <v>383671.49999999994</v>
          </cell>
          <cell r="E63">
            <v>120833.33333333334</v>
          </cell>
          <cell r="F63">
            <v>103.072</v>
          </cell>
          <cell r="G63">
            <v>314775.00000000023</v>
          </cell>
          <cell r="H63">
            <v>95922.03125</v>
          </cell>
        </row>
        <row r="64">
          <cell r="B64">
            <v>83.673000000000002</v>
          </cell>
          <cell r="C64">
            <v>72.132000000000005</v>
          </cell>
          <cell r="D64">
            <v>383203.2</v>
          </cell>
          <cell r="E64">
            <v>121527.77777777778</v>
          </cell>
          <cell r="F64">
            <v>103.125</v>
          </cell>
          <cell r="G64">
            <v>318750</v>
          </cell>
          <cell r="H64">
            <v>96473.307291666686</v>
          </cell>
        </row>
        <row r="65">
          <cell r="B65">
            <v>84.393000000000001</v>
          </cell>
          <cell r="C65">
            <v>72.852000000000004</v>
          </cell>
          <cell r="D65">
            <v>375175.19999999995</v>
          </cell>
          <cell r="E65">
            <v>122222.22222222222</v>
          </cell>
          <cell r="F65">
            <v>103.14400000000001</v>
          </cell>
          <cell r="G65">
            <v>320175.00000000041</v>
          </cell>
          <cell r="H65">
            <v>97024.583333333343</v>
          </cell>
        </row>
        <row r="66">
          <cell r="B66">
            <v>87.778000000000006</v>
          </cell>
          <cell r="C66">
            <v>76.237000000000009</v>
          </cell>
          <cell r="D66">
            <v>337432.4499999999</v>
          </cell>
          <cell r="E66">
            <v>122916.66666666666</v>
          </cell>
          <cell r="F66">
            <v>102.79600000000001</v>
          </cell>
          <cell r="G66">
            <v>294075.00000000047</v>
          </cell>
          <cell r="H66">
            <v>97575.859375</v>
          </cell>
        </row>
        <row r="67">
          <cell r="B67">
            <v>91.037999999999997</v>
          </cell>
          <cell r="C67">
            <v>79.497</v>
          </cell>
          <cell r="D67">
            <v>301083.45</v>
          </cell>
          <cell r="E67">
            <v>125000</v>
          </cell>
          <cell r="F67">
            <v>102.071</v>
          </cell>
          <cell r="G67">
            <v>239699.99999999985</v>
          </cell>
          <cell r="H67">
            <v>99229.687500000029</v>
          </cell>
        </row>
        <row r="68">
          <cell r="B68">
            <v>95.340999999999994</v>
          </cell>
          <cell r="C68">
            <v>83.8</v>
          </cell>
          <cell r="D68">
            <v>253105.00000000003</v>
          </cell>
          <cell r="E68">
            <v>125694.44444444444</v>
          </cell>
          <cell r="F68">
            <v>101.282</v>
          </cell>
          <cell r="G68">
            <v>180524.99999999974</v>
          </cell>
          <cell r="H68">
            <v>99780.963541666657</v>
          </cell>
        </row>
        <row r="69">
          <cell r="B69">
            <v>91.527000000000001</v>
          </cell>
          <cell r="C69">
            <v>79.986000000000004</v>
          </cell>
          <cell r="D69">
            <v>295631.09999999992</v>
          </cell>
          <cell r="E69">
            <v>126388.88888888888</v>
          </cell>
          <cell r="F69">
            <v>102.069</v>
          </cell>
          <cell r="G69">
            <v>239550.00000000017</v>
          </cell>
          <cell r="H69">
            <v>100332.23958333337</v>
          </cell>
        </row>
        <row r="70">
          <cell r="B70">
            <v>91.3</v>
          </cell>
          <cell r="C70">
            <v>79.759</v>
          </cell>
          <cell r="D70">
            <v>298162.15000000002</v>
          </cell>
          <cell r="E70">
            <v>127083.33333333334</v>
          </cell>
          <cell r="F70">
            <v>101.929</v>
          </cell>
          <cell r="G70">
            <v>229050.00000000017</v>
          </cell>
          <cell r="H70">
            <v>100883.51562500003</v>
          </cell>
        </row>
        <row r="71">
          <cell r="B71">
            <v>95.9</v>
          </cell>
          <cell r="C71">
            <v>84.359000000000009</v>
          </cell>
          <cell r="D71">
            <v>246872.14999999991</v>
          </cell>
          <cell r="E71">
            <v>127777.77777777778</v>
          </cell>
          <cell r="F71">
            <v>101.157</v>
          </cell>
          <cell r="G71">
            <v>171149.99999999974</v>
          </cell>
          <cell r="H71">
            <v>101434.79166666666</v>
          </cell>
        </row>
        <row r="72">
          <cell r="B72">
            <v>100.747</v>
          </cell>
          <cell r="C72">
            <v>89.206000000000003</v>
          </cell>
          <cell r="D72">
            <v>192828.09999999998</v>
          </cell>
          <cell r="E72">
            <v>129861.11111111112</v>
          </cell>
          <cell r="F72">
            <v>100.526</v>
          </cell>
          <cell r="G72">
            <v>123824.99999999972</v>
          </cell>
          <cell r="H72">
            <v>103088.61979166666</v>
          </cell>
        </row>
        <row r="73">
          <cell r="B73">
            <v>92.974999999999994</v>
          </cell>
          <cell r="C73">
            <v>81.433999999999997</v>
          </cell>
          <cell r="D73">
            <v>279485.90000000002</v>
          </cell>
          <cell r="E73">
            <v>130555.55555555556</v>
          </cell>
          <cell r="F73">
            <v>101.51600000000001</v>
          </cell>
          <cell r="G73">
            <v>198075.00000000041</v>
          </cell>
          <cell r="H73">
            <v>103639.89583333337</v>
          </cell>
        </row>
        <row r="74">
          <cell r="B74">
            <v>94.965000000000003</v>
          </cell>
          <cell r="C74">
            <v>83.424000000000007</v>
          </cell>
          <cell r="D74">
            <v>257297.39999999997</v>
          </cell>
          <cell r="E74">
            <v>131250</v>
          </cell>
          <cell r="F74">
            <v>101.128</v>
          </cell>
          <cell r="G74">
            <v>168975</v>
          </cell>
          <cell r="H74">
            <v>104191.17187499997</v>
          </cell>
        </row>
        <row r="75">
          <cell r="B75">
            <v>99.674000000000007</v>
          </cell>
          <cell r="C75">
            <v>88.13300000000001</v>
          </cell>
          <cell r="D75">
            <v>204792.04999999987</v>
          </cell>
          <cell r="E75">
            <v>131944.44444444444</v>
          </cell>
          <cell r="F75">
            <v>100.643</v>
          </cell>
          <cell r="G75">
            <v>132600.00000000006</v>
          </cell>
          <cell r="H75">
            <v>104742.44791666672</v>
          </cell>
        </row>
        <row r="76">
          <cell r="B76">
            <v>102.637</v>
          </cell>
          <cell r="C76">
            <v>91.096000000000004</v>
          </cell>
          <cell r="D76">
            <v>171754.59999999998</v>
          </cell>
          <cell r="E76">
            <v>132638.88888888888</v>
          </cell>
          <cell r="F76">
            <v>100.223</v>
          </cell>
          <cell r="G76">
            <v>101099.99999999993</v>
          </cell>
          <cell r="H76">
            <v>105293.72395833334</v>
          </cell>
        </row>
        <row r="77">
          <cell r="B77">
            <v>102.19199999999999</v>
          </cell>
          <cell r="C77">
            <v>90.650999999999996</v>
          </cell>
          <cell r="D77">
            <v>176716.35000000003</v>
          </cell>
          <cell r="E77">
            <v>134722.22222222222</v>
          </cell>
          <cell r="F77">
            <v>100.30800000000001</v>
          </cell>
          <cell r="G77">
            <v>107475.00000000052</v>
          </cell>
          <cell r="H77">
            <v>106947.55208333331</v>
          </cell>
        </row>
        <row r="78">
          <cell r="B78">
            <v>99.72</v>
          </cell>
          <cell r="C78">
            <v>88.179000000000002</v>
          </cell>
          <cell r="D78">
            <v>204279.14999999997</v>
          </cell>
          <cell r="E78">
            <v>135416.66666666666</v>
          </cell>
          <cell r="F78">
            <v>100.685</v>
          </cell>
          <cell r="G78">
            <v>135750.00000000017</v>
          </cell>
          <cell r="H78">
            <v>107498.82812500006</v>
          </cell>
        </row>
        <row r="79">
          <cell r="B79">
            <v>98.751000000000005</v>
          </cell>
          <cell r="C79">
            <v>87.210000000000008</v>
          </cell>
          <cell r="D79">
            <v>215083.49999999994</v>
          </cell>
          <cell r="E79">
            <v>136111.11111111112</v>
          </cell>
          <cell r="F79">
            <v>100.589</v>
          </cell>
          <cell r="G79">
            <v>128549.99999999988</v>
          </cell>
          <cell r="H79">
            <v>108050.10416666672</v>
          </cell>
        </row>
        <row r="80">
          <cell r="B80">
            <v>104.34699999999999</v>
          </cell>
          <cell r="C80">
            <v>92.805999999999997</v>
          </cell>
          <cell r="D80">
            <v>152688.10000000006</v>
          </cell>
          <cell r="E80">
            <v>136805.55555555556</v>
          </cell>
          <cell r="F80">
            <v>99.88</v>
          </cell>
          <cell r="G80">
            <v>75374.999999999665</v>
          </cell>
          <cell r="H80">
            <v>108601.38020833334</v>
          </cell>
        </row>
        <row r="81">
          <cell r="B81">
            <v>115.64700000000001</v>
          </cell>
          <cell r="C81">
            <v>104.10600000000001</v>
          </cell>
          <cell r="D81">
            <v>26693.0999999999</v>
          </cell>
          <cell r="E81">
            <v>137500</v>
          </cell>
          <cell r="F81">
            <v>99.281000000000006</v>
          </cell>
          <cell r="G81">
            <v>30450.000000000444</v>
          </cell>
          <cell r="H81">
            <v>109152.65625</v>
          </cell>
        </row>
        <row r="82">
          <cell r="B82">
            <v>117.254</v>
          </cell>
          <cell r="C82">
            <v>105.71300000000001</v>
          </cell>
          <cell r="D82">
            <v>8775.0499999999101</v>
          </cell>
          <cell r="E82">
            <v>139583.33333333334</v>
          </cell>
          <cell r="F82">
            <v>98.844999999999999</v>
          </cell>
          <cell r="G82">
            <v>-2250.000000000085</v>
          </cell>
          <cell r="H82">
            <v>110806.48437500003</v>
          </cell>
        </row>
        <row r="83">
          <cell r="B83">
            <v>115.62</v>
          </cell>
          <cell r="C83">
            <v>104.07900000000001</v>
          </cell>
          <cell r="D83">
            <v>26994.149999999914</v>
          </cell>
          <cell r="E83">
            <v>140277.77777777778</v>
          </cell>
          <cell r="F83">
            <v>99.010999999999996</v>
          </cell>
          <cell r="G83">
            <v>10199.999999999676</v>
          </cell>
          <cell r="H83">
            <v>111357.76041666663</v>
          </cell>
        </row>
        <row r="84">
          <cell r="B84">
            <v>112.113</v>
          </cell>
          <cell r="C84">
            <v>100.572</v>
          </cell>
          <cell r="D84">
            <v>66097.199999999968</v>
          </cell>
          <cell r="E84">
            <v>140972.22222222225</v>
          </cell>
          <cell r="F84">
            <v>99.474000000000004</v>
          </cell>
          <cell r="G84">
            <v>44925.000000000284</v>
          </cell>
          <cell r="H84">
            <v>111909.03645833331</v>
          </cell>
        </row>
        <row r="85">
          <cell r="B85">
            <v>115.553</v>
          </cell>
          <cell r="C85">
            <v>104.012</v>
          </cell>
          <cell r="D85">
            <v>27741.200000000001</v>
          </cell>
          <cell r="E85">
            <v>141666.66666666669</v>
          </cell>
          <cell r="F85">
            <v>98.923000000000002</v>
          </cell>
          <cell r="G85">
            <v>3600.0000000001364</v>
          </cell>
          <cell r="H85">
            <v>112460.3125</v>
          </cell>
        </row>
        <row r="86">
          <cell r="B86">
            <v>119.236</v>
          </cell>
          <cell r="C86">
            <v>107.69500000000001</v>
          </cell>
          <cell r="D86">
            <v>-13324.250000000084</v>
          </cell>
          <cell r="E86">
            <v>142361.11111111109</v>
          </cell>
          <cell r="F86">
            <v>98.17</v>
          </cell>
          <cell r="G86">
            <v>-52874.999999999876</v>
          </cell>
          <cell r="H86">
            <v>113011.58854166663</v>
          </cell>
        </row>
        <row r="87">
          <cell r="B87">
            <v>122.227</v>
          </cell>
          <cell r="C87">
            <v>110.68600000000001</v>
          </cell>
          <cell r="D87">
            <v>-46673.900000000081</v>
          </cell>
          <cell r="E87">
            <v>144444.44444444447</v>
          </cell>
          <cell r="F87">
            <v>97.885000000000005</v>
          </cell>
          <cell r="G87">
            <v>-74249.999999999622</v>
          </cell>
          <cell r="H87">
            <v>114665.41666666669</v>
          </cell>
        </row>
        <row r="88">
          <cell r="B88">
            <v>119.14700000000001</v>
          </cell>
          <cell r="C88">
            <v>107.60600000000001</v>
          </cell>
          <cell r="D88">
            <v>-12331.9000000001</v>
          </cell>
          <cell r="E88">
            <v>145138.88888888888</v>
          </cell>
          <cell r="F88">
            <v>98.49</v>
          </cell>
          <cell r="G88">
            <v>-28875.000000000386</v>
          </cell>
          <cell r="H88">
            <v>115216.69270833331</v>
          </cell>
        </row>
        <row r="89">
          <cell r="B89">
            <v>108.98</v>
          </cell>
          <cell r="C89">
            <v>97.439000000000007</v>
          </cell>
          <cell r="D89">
            <v>101030.14999999992</v>
          </cell>
          <cell r="E89">
            <v>145833.33333333334</v>
          </cell>
          <cell r="F89">
            <v>99.551000000000002</v>
          </cell>
          <cell r="G89">
            <v>50700.000000000146</v>
          </cell>
          <cell r="H89">
            <v>115767.96874999997</v>
          </cell>
        </row>
        <row r="90">
          <cell r="B90">
            <v>110.506</v>
          </cell>
          <cell r="C90">
            <v>98.965000000000003</v>
          </cell>
          <cell r="D90">
            <v>84015.249999999971</v>
          </cell>
          <cell r="E90">
            <v>146527.77777777775</v>
          </cell>
          <cell r="F90">
            <v>99.153999999999996</v>
          </cell>
          <cell r="G90">
            <v>20924.999999999727</v>
          </cell>
          <cell r="H90">
            <v>116319.24479166674</v>
          </cell>
        </row>
        <row r="91">
          <cell r="B91">
            <v>107.905</v>
          </cell>
          <cell r="C91">
            <v>96.364000000000004</v>
          </cell>
          <cell r="D91">
            <v>113016.39999999997</v>
          </cell>
          <cell r="E91">
            <v>147222.22222222222</v>
          </cell>
          <cell r="F91">
            <v>99.141000000000005</v>
          </cell>
          <cell r="G91">
            <v>19950.0000000004</v>
          </cell>
          <cell r="H91">
            <v>116870.52083333331</v>
          </cell>
        </row>
        <row r="92">
          <cell r="B92">
            <v>107.997</v>
          </cell>
          <cell r="C92">
            <v>96.456000000000003</v>
          </cell>
          <cell r="D92">
            <v>111990.59999999998</v>
          </cell>
          <cell r="E92">
            <v>149305.55555555553</v>
          </cell>
          <cell r="F92">
            <v>98.957999999999998</v>
          </cell>
          <cell r="G92">
            <v>6224.9999999998809</v>
          </cell>
          <cell r="H92">
            <v>118524.34895833331</v>
          </cell>
        </row>
        <row r="93">
          <cell r="B93">
            <v>105.399</v>
          </cell>
          <cell r="C93">
            <v>93.858000000000004</v>
          </cell>
          <cell r="D93">
            <v>140958.29999999996</v>
          </cell>
          <cell r="E93">
            <v>150000</v>
          </cell>
          <cell r="F93">
            <v>99.263999999999996</v>
          </cell>
          <cell r="G93">
            <v>29174.999999999683</v>
          </cell>
          <cell r="H93">
            <v>119075.62500000006</v>
          </cell>
        </row>
        <row r="94">
          <cell r="B94">
            <v>93.471999999999994</v>
          </cell>
          <cell r="C94">
            <v>81.930999999999997</v>
          </cell>
          <cell r="D94">
            <v>273944.35000000003</v>
          </cell>
          <cell r="E94">
            <v>150694.44444444444</v>
          </cell>
          <cell r="F94">
            <v>101.05200000000001</v>
          </cell>
          <cell r="G94">
            <v>163275.00000000049</v>
          </cell>
          <cell r="H94">
            <v>119626.90104166674</v>
          </cell>
        </row>
        <row r="95">
          <cell r="B95">
            <v>93.86</v>
          </cell>
          <cell r="C95">
            <v>82.319000000000003</v>
          </cell>
          <cell r="D95">
            <v>269618.14999999997</v>
          </cell>
          <cell r="E95">
            <v>151388.88888888891</v>
          </cell>
          <cell r="F95">
            <v>100.836</v>
          </cell>
          <cell r="G95">
            <v>147074.99999999988</v>
          </cell>
          <cell r="H95">
            <v>120178.17708333331</v>
          </cell>
        </row>
        <row r="96">
          <cell r="B96">
            <v>90.274000000000001</v>
          </cell>
          <cell r="C96">
            <v>78.733000000000004</v>
          </cell>
          <cell r="D96">
            <v>309602.04999999993</v>
          </cell>
          <cell r="E96">
            <v>152083.33333333331</v>
          </cell>
          <cell r="F96">
            <v>101.08199999999999</v>
          </cell>
          <cell r="G96">
            <v>165524.99999999953</v>
          </cell>
          <cell r="H96">
            <v>120729.45312499997</v>
          </cell>
        </row>
        <row r="97">
          <cell r="B97">
            <v>90.576999999999998</v>
          </cell>
          <cell r="C97">
            <v>79.036000000000001</v>
          </cell>
          <cell r="D97">
            <v>306223.59999999998</v>
          </cell>
          <cell r="E97">
            <v>154166.66666666669</v>
          </cell>
          <cell r="F97">
            <v>100.89100000000001</v>
          </cell>
          <cell r="G97">
            <v>151200.00000000041</v>
          </cell>
          <cell r="H97">
            <v>122383.28125</v>
          </cell>
        </row>
        <row r="98">
          <cell r="B98">
            <v>87.994</v>
          </cell>
          <cell r="C98">
            <v>76.453000000000003</v>
          </cell>
          <cell r="D98">
            <v>335024.05</v>
          </cell>
          <cell r="E98">
            <v>154861.11111111109</v>
          </cell>
          <cell r="F98">
            <v>101.181</v>
          </cell>
          <cell r="G98">
            <v>172949.9999999998</v>
          </cell>
          <cell r="H98">
            <v>122934.55729166663</v>
          </cell>
        </row>
        <row r="99">
          <cell r="B99">
            <v>87.665999999999997</v>
          </cell>
          <cell r="C99">
            <v>76.125</v>
          </cell>
          <cell r="D99">
            <v>338681.25</v>
          </cell>
          <cell r="E99">
            <v>155555.55555555556</v>
          </cell>
          <cell r="F99">
            <v>101.105</v>
          </cell>
          <cell r="G99">
            <v>167250.00000000029</v>
          </cell>
          <cell r="H99">
            <v>123485.83333333331</v>
          </cell>
        </row>
        <row r="100">
          <cell r="B100">
            <v>86.896000000000001</v>
          </cell>
          <cell r="C100">
            <v>75.355000000000004</v>
          </cell>
          <cell r="D100">
            <v>347266.75</v>
          </cell>
          <cell r="E100">
            <v>156250</v>
          </cell>
          <cell r="F100">
            <v>101.108</v>
          </cell>
          <cell r="G100">
            <v>167475.00000000032</v>
          </cell>
          <cell r="H100">
            <v>124037.109375</v>
          </cell>
        </row>
        <row r="101">
          <cell r="B101">
            <v>87.465999999999994</v>
          </cell>
          <cell r="C101">
            <v>75.924999999999997</v>
          </cell>
          <cell r="D101">
            <v>340911.25000000006</v>
          </cell>
          <cell r="E101">
            <v>156944.44444444447</v>
          </cell>
          <cell r="F101">
            <v>101.53700000000001</v>
          </cell>
          <cell r="G101">
            <v>199650.00000000047</v>
          </cell>
          <cell r="H101">
            <v>124588.38541666669</v>
          </cell>
        </row>
        <row r="102">
          <cell r="B102">
            <v>86.453000000000003</v>
          </cell>
          <cell r="C102">
            <v>74.912000000000006</v>
          </cell>
          <cell r="D102">
            <v>352206.19999999995</v>
          </cell>
          <cell r="E102">
            <v>159027.77777777778</v>
          </cell>
          <cell r="F102">
            <v>101.44199999999999</v>
          </cell>
          <cell r="G102">
            <v>192524.99999999948</v>
          </cell>
          <cell r="H102">
            <v>126242.21354166669</v>
          </cell>
        </row>
        <row r="103">
          <cell r="B103">
            <v>86.744</v>
          </cell>
          <cell r="C103">
            <v>75.203000000000003</v>
          </cell>
          <cell r="D103">
            <v>348961.55</v>
          </cell>
          <cell r="E103">
            <v>159722.22222222222</v>
          </cell>
          <cell r="F103">
            <v>101.416</v>
          </cell>
          <cell r="G103">
            <v>190574.99999999977</v>
          </cell>
          <cell r="H103">
            <v>126793.48958333331</v>
          </cell>
        </row>
        <row r="104">
          <cell r="B104">
            <v>87.319000000000003</v>
          </cell>
          <cell r="C104">
            <v>75.778000000000006</v>
          </cell>
          <cell r="D104">
            <v>342550.3</v>
          </cell>
          <cell r="E104">
            <v>160416.66666666669</v>
          </cell>
          <cell r="F104">
            <v>101.27200000000001</v>
          </cell>
          <cell r="G104">
            <v>179775.00000000044</v>
          </cell>
          <cell r="H104">
            <v>127344.765625</v>
          </cell>
        </row>
        <row r="105">
          <cell r="B105">
            <v>90.153000000000006</v>
          </cell>
          <cell r="C105">
            <v>78.612000000000009</v>
          </cell>
          <cell r="D105">
            <v>310951.1999999999</v>
          </cell>
          <cell r="E105">
            <v>161111.11111111109</v>
          </cell>
          <cell r="F105">
            <v>101.16500000000001</v>
          </cell>
          <cell r="G105">
            <v>171750.00000000047</v>
          </cell>
          <cell r="H105">
            <v>127896.04166666674</v>
          </cell>
        </row>
        <row r="106">
          <cell r="B106">
            <v>89.828000000000003</v>
          </cell>
          <cell r="C106">
            <v>78.287000000000006</v>
          </cell>
          <cell r="D106">
            <v>314574.94999999995</v>
          </cell>
          <cell r="E106">
            <v>161805.55555555556</v>
          </cell>
          <cell r="F106">
            <v>101.099</v>
          </cell>
          <cell r="G106">
            <v>166800.00000000029</v>
          </cell>
          <cell r="H106">
            <v>128447.31770833331</v>
          </cell>
        </row>
        <row r="107">
          <cell r="B107">
            <v>89.350999999999999</v>
          </cell>
          <cell r="C107">
            <v>77.81</v>
          </cell>
          <cell r="D107">
            <v>319893.5</v>
          </cell>
          <cell r="E107">
            <v>163888.88888888888</v>
          </cell>
          <cell r="F107">
            <v>100.988</v>
          </cell>
          <cell r="G107">
            <v>158474.99999999997</v>
          </cell>
          <cell r="H107">
            <v>130101.14583333331</v>
          </cell>
        </row>
        <row r="108">
          <cell r="B108">
            <v>90.63</v>
          </cell>
          <cell r="C108">
            <v>79.088999999999999</v>
          </cell>
          <cell r="D108">
            <v>305632.65000000002</v>
          </cell>
          <cell r="E108">
            <v>164583.33333333334</v>
          </cell>
          <cell r="F108">
            <v>100.839</v>
          </cell>
          <cell r="G108">
            <v>147299.99999999991</v>
          </cell>
          <cell r="H108">
            <v>130652.42187500006</v>
          </cell>
        </row>
        <row r="109">
          <cell r="B109">
            <v>91.156999999999996</v>
          </cell>
          <cell r="C109">
            <v>79.616</v>
          </cell>
          <cell r="D109">
            <v>299756.60000000003</v>
          </cell>
          <cell r="E109">
            <v>165277.77777777778</v>
          </cell>
          <cell r="F109">
            <v>100.765</v>
          </cell>
          <cell r="G109">
            <v>141750.00000000006</v>
          </cell>
          <cell r="H109">
            <v>131203.69791666669</v>
          </cell>
        </row>
        <row r="110">
          <cell r="B110">
            <v>92.947000000000003</v>
          </cell>
          <cell r="C110">
            <v>81.406000000000006</v>
          </cell>
          <cell r="D110">
            <v>279798.09999999998</v>
          </cell>
          <cell r="E110">
            <v>165972.22222222225</v>
          </cell>
          <cell r="F110">
            <v>100.752</v>
          </cell>
          <cell r="G110">
            <v>140774.99999999965</v>
          </cell>
          <cell r="H110">
            <v>131754.97395833331</v>
          </cell>
        </row>
        <row r="111">
          <cell r="B111">
            <v>91.119</v>
          </cell>
          <cell r="C111">
            <v>79.578000000000003</v>
          </cell>
          <cell r="D111">
            <v>300180.29999999993</v>
          </cell>
          <cell r="E111">
            <v>166666.66666666666</v>
          </cell>
          <cell r="F111">
            <v>100.91200000000001</v>
          </cell>
          <cell r="G111">
            <v>152775.00000000047</v>
          </cell>
          <cell r="H111">
            <v>132306.25000000006</v>
          </cell>
        </row>
        <row r="112">
          <cell r="B112">
            <v>90.007000000000005</v>
          </cell>
          <cell r="C112">
            <v>78.466000000000008</v>
          </cell>
          <cell r="D112">
            <v>312579.09999999992</v>
          </cell>
          <cell r="E112">
            <v>168750.00000000003</v>
          </cell>
          <cell r="F112">
            <v>100.947</v>
          </cell>
          <cell r="G112">
            <v>155400.0000000002</v>
          </cell>
          <cell r="H112">
            <v>133960.07812500006</v>
          </cell>
        </row>
        <row r="113">
          <cell r="B113">
            <v>91.569000000000003</v>
          </cell>
          <cell r="C113">
            <v>80.028000000000006</v>
          </cell>
          <cell r="D113">
            <v>295162.79999999993</v>
          </cell>
          <cell r="E113">
            <v>169444.44444444444</v>
          </cell>
          <cell r="F113">
            <v>100.889</v>
          </cell>
          <cell r="G113">
            <v>151049.99999999968</v>
          </cell>
          <cell r="H113">
            <v>134511.35416666674</v>
          </cell>
        </row>
        <row r="114">
          <cell r="B114">
            <v>87.808000000000007</v>
          </cell>
          <cell r="C114">
            <v>76.26700000000001</v>
          </cell>
          <cell r="D114">
            <v>337097.9499999999</v>
          </cell>
          <cell r="E114">
            <v>170138.88888888891</v>
          </cell>
          <cell r="F114">
            <v>101.41200000000001</v>
          </cell>
          <cell r="G114">
            <v>190275.00000000047</v>
          </cell>
          <cell r="H114">
            <v>135062.63020833337</v>
          </cell>
        </row>
        <row r="115">
          <cell r="B115">
            <v>86.117000000000004</v>
          </cell>
          <cell r="C115">
            <v>74.576000000000008</v>
          </cell>
          <cell r="D115">
            <v>355952.59999999992</v>
          </cell>
          <cell r="E115">
            <v>170833.33333333334</v>
          </cell>
          <cell r="F115">
            <v>101.40300000000001</v>
          </cell>
          <cell r="G115">
            <v>189600.00000000044</v>
          </cell>
          <cell r="H115">
            <v>135613.90624999991</v>
          </cell>
        </row>
        <row r="116">
          <cell r="B116">
            <v>86.162999999999997</v>
          </cell>
          <cell r="C116">
            <v>74.622</v>
          </cell>
          <cell r="D116">
            <v>355439.7</v>
          </cell>
          <cell r="E116">
            <v>171527.77777777778</v>
          </cell>
          <cell r="F116">
            <v>101.20399999999999</v>
          </cell>
          <cell r="G116">
            <v>174674.99999999951</v>
          </cell>
          <cell r="H116">
            <v>136165.18229166663</v>
          </cell>
        </row>
        <row r="117">
          <cell r="B117">
            <v>87.177000000000007</v>
          </cell>
          <cell r="C117">
            <v>75.63600000000001</v>
          </cell>
          <cell r="D117">
            <v>344133.59999999986</v>
          </cell>
          <cell r="E117">
            <v>173611.11111111109</v>
          </cell>
          <cell r="F117">
            <v>101.069</v>
          </cell>
          <cell r="G117">
            <v>164550.0000000002</v>
          </cell>
          <cell r="H117">
            <v>137819.01041666669</v>
          </cell>
        </row>
        <row r="118">
          <cell r="B118">
            <v>87.98</v>
          </cell>
          <cell r="C118">
            <v>76.439000000000007</v>
          </cell>
          <cell r="D118">
            <v>335180.14999999997</v>
          </cell>
          <cell r="E118">
            <v>174305.55555555556</v>
          </cell>
          <cell r="F118">
            <v>100.705</v>
          </cell>
          <cell r="G118">
            <v>137249.99999999988</v>
          </cell>
          <cell r="H118">
            <v>138370.28645833331</v>
          </cell>
        </row>
        <row r="119">
          <cell r="B119">
            <v>87.575999999999993</v>
          </cell>
          <cell r="C119">
            <v>76.034999999999997</v>
          </cell>
          <cell r="D119">
            <v>339684.75000000006</v>
          </cell>
          <cell r="E119">
            <v>175000</v>
          </cell>
          <cell r="F119">
            <v>100.639</v>
          </cell>
          <cell r="G119">
            <v>132299.99999999968</v>
          </cell>
          <cell r="H119">
            <v>138921.56250000003</v>
          </cell>
        </row>
        <row r="120">
          <cell r="B120">
            <v>86.063000000000002</v>
          </cell>
          <cell r="C120">
            <v>74.522000000000006</v>
          </cell>
          <cell r="D120">
            <v>356554.69999999995</v>
          </cell>
          <cell r="E120">
            <v>175694.44444444447</v>
          </cell>
          <cell r="F120">
            <v>100.81</v>
          </cell>
          <cell r="G120">
            <v>145125.00000000017</v>
          </cell>
          <cell r="H120">
            <v>139472.83854166669</v>
          </cell>
        </row>
        <row r="121">
          <cell r="B121">
            <v>87.945999999999998</v>
          </cell>
          <cell r="C121">
            <v>76.405000000000001</v>
          </cell>
          <cell r="D121">
            <v>335559.25</v>
          </cell>
          <cell r="E121">
            <v>176388.88888888888</v>
          </cell>
          <cell r="F121">
            <v>100.098</v>
          </cell>
          <cell r="G121">
            <v>91724.999999999913</v>
          </cell>
          <cell r="H121">
            <v>140024.11458333331</v>
          </cell>
        </row>
        <row r="122">
          <cell r="B122">
            <v>87.602000000000004</v>
          </cell>
          <cell r="C122">
            <v>76.061000000000007</v>
          </cell>
          <cell r="D122">
            <v>339394.85</v>
          </cell>
          <cell r="E122">
            <v>178472.22222222222</v>
          </cell>
          <cell r="F122">
            <v>99.85</v>
          </cell>
          <cell r="G122">
            <v>73124.999999999563</v>
          </cell>
          <cell r="H122">
            <v>141677.94270833331</v>
          </cell>
        </row>
        <row r="123">
          <cell r="B123">
            <v>87.668999999999997</v>
          </cell>
          <cell r="C123">
            <v>76.128</v>
          </cell>
          <cell r="D123">
            <v>338647.80000000005</v>
          </cell>
          <cell r="E123">
            <v>179166.66666666666</v>
          </cell>
          <cell r="F123">
            <v>99.528999999999996</v>
          </cell>
          <cell r="G123">
            <v>49049.999999999724</v>
          </cell>
          <cell r="H123">
            <v>142229.21875000003</v>
          </cell>
        </row>
        <row r="124">
          <cell r="B124">
            <v>86.725999999999999</v>
          </cell>
          <cell r="C124">
            <v>75.185000000000002</v>
          </cell>
          <cell r="D124">
            <v>349162.24999999994</v>
          </cell>
          <cell r="E124">
            <v>179861.11111111109</v>
          </cell>
          <cell r="F124">
            <v>99.646000000000001</v>
          </cell>
          <cell r="G124">
            <v>57825.000000000058</v>
          </cell>
          <cell r="H124">
            <v>142780.49479166669</v>
          </cell>
        </row>
        <row r="125">
          <cell r="B125">
            <v>85.403000000000006</v>
          </cell>
          <cell r="C125">
            <v>73.862000000000009</v>
          </cell>
          <cell r="D125">
            <v>363913.69999999995</v>
          </cell>
          <cell r="E125">
            <v>180555.55555555556</v>
          </cell>
          <cell r="F125">
            <v>99.694000000000003</v>
          </cell>
          <cell r="G125">
            <v>61425.000000000189</v>
          </cell>
          <cell r="H125">
            <v>143331.77083333331</v>
          </cell>
        </row>
        <row r="126">
          <cell r="B126">
            <v>84.037000000000006</v>
          </cell>
          <cell r="C126">
            <v>72.496000000000009</v>
          </cell>
          <cell r="D126">
            <v>379144.59999999992</v>
          </cell>
          <cell r="E126">
            <v>181250</v>
          </cell>
          <cell r="F126">
            <v>99.968000000000004</v>
          </cell>
          <cell r="G126">
            <v>81975.000000000262</v>
          </cell>
          <cell r="H126">
            <v>143883.04687500006</v>
          </cell>
        </row>
        <row r="127">
          <cell r="B127">
            <v>82.215999999999994</v>
          </cell>
          <cell r="C127">
            <v>70.674999999999997</v>
          </cell>
          <cell r="D127">
            <v>399448.75000000006</v>
          </cell>
          <cell r="E127">
            <v>184027.77777777778</v>
          </cell>
          <cell r="F127">
            <v>100.405</v>
          </cell>
          <cell r="G127">
            <v>114750.00000000009</v>
          </cell>
          <cell r="H127">
            <v>146088.15104166669</v>
          </cell>
        </row>
        <row r="128">
          <cell r="B128">
            <v>81.616</v>
          </cell>
          <cell r="C128">
            <v>70.075000000000003</v>
          </cell>
          <cell r="D128">
            <v>406138.75</v>
          </cell>
          <cell r="E128">
            <v>184722.22222222222</v>
          </cell>
          <cell r="F128">
            <v>100.456</v>
          </cell>
          <cell r="G128">
            <v>118575.00000000025</v>
          </cell>
          <cell r="H128">
            <v>146639.42708333337</v>
          </cell>
        </row>
        <row r="129">
          <cell r="B129">
            <v>82.15</v>
          </cell>
          <cell r="C129">
            <v>70.609000000000009</v>
          </cell>
          <cell r="D129">
            <v>400184.64999999985</v>
          </cell>
          <cell r="E129">
            <v>185416.66666666669</v>
          </cell>
          <cell r="F129">
            <v>100.33199999999999</v>
          </cell>
          <cell r="G129">
            <v>109274.99999999953</v>
          </cell>
          <cell r="H129">
            <v>147190.70312499991</v>
          </cell>
        </row>
        <row r="130">
          <cell r="B130">
            <v>80.605000000000004</v>
          </cell>
          <cell r="C130">
            <v>69.064000000000007</v>
          </cell>
          <cell r="D130">
            <v>417411.39999999985</v>
          </cell>
          <cell r="E130">
            <v>186111.11111111112</v>
          </cell>
          <cell r="F130">
            <v>100.44499999999999</v>
          </cell>
          <cell r="G130">
            <v>117749.99999999949</v>
          </cell>
          <cell r="H130">
            <v>147741.97916666663</v>
          </cell>
        </row>
        <row r="131">
          <cell r="B131">
            <v>80.811000000000007</v>
          </cell>
          <cell r="C131">
            <v>69.27000000000001</v>
          </cell>
          <cell r="D131">
            <v>415114.49999999994</v>
          </cell>
          <cell r="E131">
            <v>188194.44444444444</v>
          </cell>
          <cell r="F131">
            <v>100.122</v>
          </cell>
          <cell r="G131">
            <v>93524.999999999985</v>
          </cell>
          <cell r="H131">
            <v>149395.80729166663</v>
          </cell>
        </row>
        <row r="132">
          <cell r="B132">
            <v>80.445999999999998</v>
          </cell>
          <cell r="C132">
            <v>68.905000000000001</v>
          </cell>
          <cell r="D132">
            <v>419184.25</v>
          </cell>
          <cell r="E132">
            <v>188888.88888888891</v>
          </cell>
          <cell r="F132">
            <v>100.27800000000001</v>
          </cell>
          <cell r="G132">
            <v>105225.00000000044</v>
          </cell>
          <cell r="H132">
            <v>149947.08333333331</v>
          </cell>
        </row>
        <row r="133">
          <cell r="B133">
            <v>80.825000000000003</v>
          </cell>
          <cell r="C133">
            <v>69.284000000000006</v>
          </cell>
          <cell r="D133">
            <v>414958.39999999997</v>
          </cell>
          <cell r="E133">
            <v>189583.33333333334</v>
          </cell>
          <cell r="F133">
            <v>100.143</v>
          </cell>
          <cell r="G133">
            <v>95100.000000000058</v>
          </cell>
          <cell r="H133">
            <v>150498.35937500006</v>
          </cell>
        </row>
        <row r="134">
          <cell r="B134">
            <v>81.290000000000006</v>
          </cell>
          <cell r="C134">
            <v>69.749000000000009</v>
          </cell>
          <cell r="D134">
            <v>409773.64999999991</v>
          </cell>
          <cell r="E134">
            <v>190277.77777777781</v>
          </cell>
          <cell r="F134">
            <v>100.092</v>
          </cell>
          <cell r="G134">
            <v>91274.999999999913</v>
          </cell>
          <cell r="H134">
            <v>151049.63541666674</v>
          </cell>
        </row>
        <row r="135">
          <cell r="B135">
            <v>80.876000000000005</v>
          </cell>
          <cell r="C135">
            <v>69.335000000000008</v>
          </cell>
          <cell r="D135">
            <v>414389.74999999994</v>
          </cell>
          <cell r="E135">
            <v>190972.22222222222</v>
          </cell>
          <cell r="F135">
            <v>99.968000000000004</v>
          </cell>
          <cell r="G135">
            <v>81975.000000000262</v>
          </cell>
          <cell r="H135">
            <v>151600.91145833331</v>
          </cell>
        </row>
        <row r="136">
          <cell r="B136">
            <v>82.263000000000005</v>
          </cell>
          <cell r="C136">
            <v>70.722000000000008</v>
          </cell>
          <cell r="D136">
            <v>398924.69999999995</v>
          </cell>
          <cell r="E136">
            <v>193055.55555555559</v>
          </cell>
          <cell r="F136">
            <v>99.656999999999996</v>
          </cell>
          <cell r="G136">
            <v>58649.999999999731</v>
          </cell>
          <cell r="H136">
            <v>153254.73958333331</v>
          </cell>
        </row>
        <row r="137">
          <cell r="B137">
            <v>80.555999999999997</v>
          </cell>
          <cell r="C137">
            <v>69.015000000000001</v>
          </cell>
          <cell r="D137">
            <v>417957.75</v>
          </cell>
          <cell r="E137">
            <v>193750</v>
          </cell>
          <cell r="F137">
            <v>99.733999999999995</v>
          </cell>
          <cell r="G137">
            <v>64424.9999999996</v>
          </cell>
          <cell r="H137">
            <v>153806.01562500009</v>
          </cell>
        </row>
        <row r="138">
          <cell r="B138">
            <v>81.403999999999996</v>
          </cell>
          <cell r="C138">
            <v>69.863</v>
          </cell>
          <cell r="D138">
            <v>408502.55000000005</v>
          </cell>
          <cell r="E138">
            <v>194444.44444444447</v>
          </cell>
          <cell r="F138">
            <v>99.510999999999996</v>
          </cell>
          <cell r="G138">
            <v>47699.99999999968</v>
          </cell>
          <cell r="H138">
            <v>154357.29166666669</v>
          </cell>
        </row>
        <row r="139">
          <cell r="B139">
            <v>81.363</v>
          </cell>
          <cell r="C139">
            <v>69.822000000000003</v>
          </cell>
          <cell r="D139">
            <v>408959.69999999995</v>
          </cell>
          <cell r="E139">
            <v>195138.88888888891</v>
          </cell>
          <cell r="F139">
            <v>99.412999999999997</v>
          </cell>
          <cell r="G139">
            <v>40349.999999999753</v>
          </cell>
          <cell r="H139">
            <v>154908.56770833331</v>
          </cell>
        </row>
        <row r="140">
          <cell r="B140">
            <v>79.02</v>
          </cell>
          <cell r="C140">
            <v>67.478999999999999</v>
          </cell>
          <cell r="D140">
            <v>435084.15</v>
          </cell>
          <cell r="E140">
            <v>195833.33333333331</v>
          </cell>
          <cell r="F140">
            <v>99.76</v>
          </cell>
          <cell r="G140">
            <v>66375.000000000378</v>
          </cell>
          <cell r="H140">
            <v>155459.84375000006</v>
          </cell>
        </row>
        <row r="141">
          <cell r="B141">
            <v>76.665000000000006</v>
          </cell>
          <cell r="C141">
            <v>65.124000000000009</v>
          </cell>
          <cell r="D141">
            <v>461342.39999999991</v>
          </cell>
          <cell r="E141">
            <v>197916.66666666669</v>
          </cell>
          <cell r="F141">
            <v>100.119</v>
          </cell>
          <cell r="G141">
            <v>93299.999999999985</v>
          </cell>
          <cell r="H141">
            <v>157113.67187500006</v>
          </cell>
        </row>
        <row r="142">
          <cell r="B142">
            <v>76.837000000000003</v>
          </cell>
          <cell r="C142">
            <v>65.296000000000006</v>
          </cell>
          <cell r="D142">
            <v>459424.6</v>
          </cell>
          <cell r="E142">
            <v>198611.11111111112</v>
          </cell>
          <cell r="F142">
            <v>100.053</v>
          </cell>
          <cell r="G142">
            <v>88349.999999999796</v>
          </cell>
          <cell r="H142">
            <v>157664.94791666669</v>
          </cell>
        </row>
        <row r="143">
          <cell r="B143">
            <v>76.94</v>
          </cell>
          <cell r="C143">
            <v>65.399000000000001</v>
          </cell>
          <cell r="D143">
            <v>458276.15</v>
          </cell>
          <cell r="E143">
            <v>199305.55555555556</v>
          </cell>
          <cell r="F143">
            <v>99.918999999999997</v>
          </cell>
          <cell r="G143">
            <v>78299.999999999782</v>
          </cell>
          <cell r="H143">
            <v>158216.22395833337</v>
          </cell>
        </row>
        <row r="144">
          <cell r="B144">
            <v>77.278999999999996</v>
          </cell>
          <cell r="C144">
            <v>65.738</v>
          </cell>
          <cell r="D144">
            <v>454496.3</v>
          </cell>
          <cell r="E144">
            <v>200000</v>
          </cell>
          <cell r="F144">
            <v>99.75</v>
          </cell>
          <cell r="G144">
            <v>65625</v>
          </cell>
          <cell r="H144">
            <v>158767.49999999991</v>
          </cell>
        </row>
        <row r="145">
          <cell r="B145">
            <v>77.209999999999994</v>
          </cell>
          <cell r="C145">
            <v>65.668999999999997</v>
          </cell>
          <cell r="D145">
            <v>455265.65</v>
          </cell>
          <cell r="E145">
            <v>200694.44444444444</v>
          </cell>
          <cell r="F145">
            <v>99.72</v>
          </cell>
          <cell r="G145">
            <v>63374.999999999913</v>
          </cell>
          <cell r="H145">
            <v>159318.77604166669</v>
          </cell>
        </row>
        <row r="146">
          <cell r="B146">
            <v>77.066999999999993</v>
          </cell>
          <cell r="C146">
            <v>65.525999999999996</v>
          </cell>
          <cell r="D146">
            <v>456860.10000000003</v>
          </cell>
          <cell r="E146">
            <v>202777.77777777775</v>
          </cell>
          <cell r="F146">
            <v>99.722999999999999</v>
          </cell>
          <cell r="G146">
            <v>63599.99999999992</v>
          </cell>
          <cell r="H146">
            <v>160972.60416666663</v>
          </cell>
        </row>
        <row r="147">
          <cell r="B147">
            <v>77.346999999999994</v>
          </cell>
          <cell r="C147">
            <v>65.805999999999997</v>
          </cell>
          <cell r="D147">
            <v>453738.10000000009</v>
          </cell>
          <cell r="E147">
            <v>203472.22222222225</v>
          </cell>
          <cell r="F147">
            <v>99.656000000000006</v>
          </cell>
          <cell r="G147">
            <v>58575.000000000444</v>
          </cell>
          <cell r="H147">
            <v>161523.88020833331</v>
          </cell>
        </row>
        <row r="148">
          <cell r="B148">
            <v>77.504000000000005</v>
          </cell>
          <cell r="C148">
            <v>65.963000000000008</v>
          </cell>
          <cell r="D148">
            <v>451987.54999999993</v>
          </cell>
          <cell r="E148">
            <v>204166.66666666666</v>
          </cell>
          <cell r="F148">
            <v>99.7</v>
          </cell>
          <cell r="G148">
            <v>61875.000000000211</v>
          </cell>
          <cell r="H148">
            <v>162075.15624999997</v>
          </cell>
        </row>
        <row r="149">
          <cell r="B149">
            <v>76.893000000000001</v>
          </cell>
          <cell r="C149">
            <v>65.352000000000004</v>
          </cell>
          <cell r="D149">
            <v>458800.2</v>
          </cell>
          <cell r="E149">
            <v>204861.11111111112</v>
          </cell>
          <cell r="F149">
            <v>100.012</v>
          </cell>
          <cell r="G149">
            <v>85275.000000000044</v>
          </cell>
          <cell r="H149">
            <v>162626.43229166674</v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</row>
        <row r="231">
          <cell r="B231"/>
          <cell r="C231"/>
          <cell r="D231"/>
          <cell r="E231"/>
          <cell r="F231"/>
          <cell r="G231"/>
          <cell r="H231"/>
        </row>
        <row r="232">
          <cell r="B232"/>
          <cell r="C232"/>
          <cell r="D232"/>
          <cell r="E232"/>
          <cell r="F232"/>
          <cell r="G232"/>
          <cell r="H232"/>
        </row>
        <row r="233">
          <cell r="B233"/>
          <cell r="C233"/>
          <cell r="D233"/>
          <cell r="E233"/>
          <cell r="F233"/>
          <cell r="G233"/>
          <cell r="H233"/>
        </row>
        <row r="234">
          <cell r="B234"/>
          <cell r="C234"/>
          <cell r="D234"/>
          <cell r="E234"/>
          <cell r="F234"/>
          <cell r="G234"/>
          <cell r="H234"/>
        </row>
        <row r="235">
          <cell r="B235"/>
          <cell r="C235"/>
          <cell r="D235"/>
          <cell r="E235"/>
          <cell r="F235"/>
          <cell r="G235"/>
          <cell r="H235"/>
        </row>
        <row r="236">
          <cell r="B236"/>
          <cell r="C236"/>
          <cell r="D236"/>
          <cell r="E236"/>
          <cell r="F236"/>
          <cell r="G236"/>
          <cell r="H236"/>
        </row>
        <row r="237">
          <cell r="B237"/>
          <cell r="C237"/>
          <cell r="D237"/>
          <cell r="E237"/>
          <cell r="F237"/>
          <cell r="G237"/>
          <cell r="H237"/>
        </row>
        <row r="238">
          <cell r="B238"/>
          <cell r="C238"/>
          <cell r="D238"/>
          <cell r="E238"/>
          <cell r="F238"/>
          <cell r="G238"/>
          <cell r="H238"/>
        </row>
        <row r="239">
          <cell r="B239"/>
          <cell r="C239"/>
          <cell r="D239"/>
          <cell r="E239"/>
          <cell r="F239"/>
          <cell r="G239"/>
          <cell r="H239"/>
        </row>
        <row r="240">
          <cell r="B240"/>
          <cell r="C240"/>
          <cell r="D240"/>
          <cell r="E240"/>
          <cell r="F240"/>
          <cell r="G240"/>
          <cell r="H240"/>
        </row>
        <row r="241">
          <cell r="B241"/>
          <cell r="C241"/>
          <cell r="D241"/>
          <cell r="E241"/>
          <cell r="F241"/>
          <cell r="G241"/>
          <cell r="H241"/>
        </row>
        <row r="242">
          <cell r="B242"/>
          <cell r="C242"/>
          <cell r="D242"/>
          <cell r="E242"/>
          <cell r="F242"/>
          <cell r="G242"/>
          <cell r="H242"/>
        </row>
        <row r="243">
          <cell r="B243"/>
          <cell r="C243"/>
          <cell r="D243"/>
          <cell r="E243"/>
          <cell r="F243"/>
          <cell r="G243"/>
          <cell r="H243"/>
        </row>
        <row r="244">
          <cell r="B244"/>
          <cell r="C244"/>
          <cell r="D244"/>
          <cell r="E244"/>
          <cell r="F244"/>
          <cell r="G244"/>
          <cell r="H244"/>
        </row>
        <row r="245">
          <cell r="B245"/>
          <cell r="C245"/>
          <cell r="D245"/>
          <cell r="E245"/>
          <cell r="F245"/>
          <cell r="G245"/>
          <cell r="H245"/>
        </row>
        <row r="246">
          <cell r="B246"/>
          <cell r="C246"/>
          <cell r="D246"/>
          <cell r="E246"/>
          <cell r="F246"/>
          <cell r="G246"/>
          <cell r="H246"/>
        </row>
        <row r="247">
          <cell r="B247"/>
          <cell r="C247"/>
          <cell r="D247"/>
          <cell r="E247"/>
          <cell r="F247"/>
          <cell r="G247"/>
          <cell r="H247"/>
        </row>
        <row r="248">
          <cell r="B248"/>
          <cell r="C248"/>
          <cell r="D248"/>
          <cell r="E248"/>
          <cell r="F248"/>
          <cell r="G248"/>
          <cell r="H248"/>
        </row>
        <row r="249">
          <cell r="B249"/>
          <cell r="C249"/>
          <cell r="D249"/>
          <cell r="E249"/>
          <cell r="F249"/>
          <cell r="G249"/>
          <cell r="H249"/>
        </row>
        <row r="250">
          <cell r="B250"/>
          <cell r="C250"/>
          <cell r="D250"/>
          <cell r="E250"/>
          <cell r="F250"/>
          <cell r="G250"/>
          <cell r="H250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ZK885444@BGN%20Corp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ZK885444@BGN%20Cor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ZK885444@BGN%20Cor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ZK885444@BGN%20Cor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D5E3-B053-4F3D-AA9A-B087FCEFDD74}">
  <dimension ref="A1:J200"/>
  <sheetViews>
    <sheetView workbookViewId="0">
      <selection activeCell="I22" sqref="I22"/>
    </sheetView>
  </sheetViews>
  <sheetFormatPr defaultRowHeight="15" x14ac:dyDescent="0.25"/>
  <cols>
    <col min="1" max="1" width="16.140625" customWidth="1"/>
    <col min="2" max="2" width="14.28515625" customWidth="1"/>
    <col min="3" max="4" width="15.28515625" customWidth="1"/>
    <col min="5" max="5" width="17.140625" customWidth="1"/>
    <col min="6" max="8" width="16.7109375" customWidth="1"/>
  </cols>
  <sheetData>
    <row r="1" spans="1:10" ht="15.75" x14ac:dyDescent="0.25">
      <c r="A1" s="47" t="s">
        <v>40</v>
      </c>
    </row>
    <row r="3" spans="1:10" x14ac:dyDescent="0.25">
      <c r="A3" s="48" t="s">
        <v>41</v>
      </c>
      <c r="D3" s="48" t="s">
        <v>42</v>
      </c>
      <c r="G3" s="48" t="s">
        <v>7</v>
      </c>
    </row>
    <row r="4" spans="1:10" x14ac:dyDescent="0.25">
      <c r="A4" s="49" t="s">
        <v>43</v>
      </c>
      <c r="D4" s="49" t="s">
        <v>44</v>
      </c>
      <c r="G4" s="49" t="s">
        <v>13</v>
      </c>
    </row>
    <row r="5" spans="1:10" x14ac:dyDescent="0.25">
      <c r="A5" s="50" t="s">
        <v>45</v>
      </c>
      <c r="B5" s="50" t="s">
        <v>46</v>
      </c>
      <c r="D5" s="50" t="s">
        <v>45</v>
      </c>
      <c r="E5" s="50" t="s">
        <v>46</v>
      </c>
      <c r="G5" s="50" t="s">
        <v>45</v>
      </c>
      <c r="H5" s="50" t="s">
        <v>46</v>
      </c>
    </row>
    <row r="6" spans="1:10" x14ac:dyDescent="0.25">
      <c r="A6" s="51" cm="1">
        <f t="array" ref="A6:B35">_xlfn.CHOOSECOLS(_xll.BDS($A$4,"DVD_HIST_ALL","DVD_START_DT=20240101","DVD_END_DT=20351231","HEADERS=N"),2,5)</f>
        <v>46174</v>
      </c>
      <c r="B6" s="52">
        <v>0.40704099999999999</v>
      </c>
      <c r="C6" s="51"/>
      <c r="D6" s="51" cm="1">
        <f t="array" ref="D6:E34">_xlfn.CHOOSECOLS(_xll.BDS($D$4,"DVD_HIST_ALL","DVD_START_DT=20240101","DVD_END_DT=20351231","HEADERS=N"),2,5)</f>
        <v>46174</v>
      </c>
      <c r="E6" s="52">
        <v>0.3412</v>
      </c>
      <c r="F6" s="51"/>
      <c r="G6" s="51" cm="1">
        <f t="array" ref="G6:H11">_xlfn.CHOOSECOLS(_xll.BDS($G$4,"DVD_HIST_ALL","DVD_START_DT=20240101","DVD_END_DT=20351231","HEADERS=N"),2,5)</f>
        <v>46191</v>
      </c>
      <c r="H6" s="52">
        <v>1.1646000000000001</v>
      </c>
      <c r="I6" s="51"/>
      <c r="J6" s="51"/>
    </row>
    <row r="7" spans="1:10" x14ac:dyDescent="0.25">
      <c r="A7" s="51">
        <v>46143</v>
      </c>
      <c r="B7" s="52">
        <v>0.410076</v>
      </c>
      <c r="C7" s="51"/>
      <c r="D7" s="51">
        <v>46143</v>
      </c>
      <c r="E7" s="52">
        <v>0.32619999999999999</v>
      </c>
      <c r="F7" s="51"/>
      <c r="G7" s="51">
        <v>46100</v>
      </c>
      <c r="H7" s="52">
        <v>2.3302999999999998</v>
      </c>
      <c r="I7" s="51"/>
      <c r="J7" s="51"/>
    </row>
    <row r="8" spans="1:10" x14ac:dyDescent="0.25">
      <c r="A8" s="51">
        <v>46113</v>
      </c>
      <c r="B8" s="52">
        <v>0.455397</v>
      </c>
      <c r="C8" s="51"/>
      <c r="D8" s="51">
        <v>46113</v>
      </c>
      <c r="E8" s="52">
        <v>0.34379999999999999</v>
      </c>
      <c r="F8" s="51"/>
      <c r="G8" s="51">
        <v>45911</v>
      </c>
      <c r="H8" s="52">
        <v>2.4173</v>
      </c>
      <c r="I8" s="51"/>
      <c r="J8" s="51"/>
    </row>
    <row r="9" spans="1:10" x14ac:dyDescent="0.25">
      <c r="A9" s="51">
        <v>46083</v>
      </c>
      <c r="B9" s="52">
        <v>0.40296300000000002</v>
      </c>
      <c r="C9" s="51"/>
      <c r="D9" s="51">
        <v>46083</v>
      </c>
      <c r="E9" s="52">
        <v>0.30259999999999998</v>
      </c>
      <c r="F9" s="51"/>
      <c r="G9" s="51">
        <v>45729</v>
      </c>
      <c r="H9" s="52">
        <v>2.6722000000000001</v>
      </c>
      <c r="I9" s="51"/>
      <c r="J9" s="51"/>
    </row>
    <row r="10" spans="1:10" x14ac:dyDescent="0.25">
      <c r="A10" s="51">
        <v>46055</v>
      </c>
      <c r="B10" s="52">
        <v>0.41458</v>
      </c>
      <c r="C10" s="51"/>
      <c r="D10" s="51">
        <v>46055</v>
      </c>
      <c r="E10" s="52">
        <v>0.33</v>
      </c>
      <c r="F10" s="51"/>
      <c r="G10" s="51">
        <v>45547</v>
      </c>
      <c r="H10" s="52">
        <v>2.8229000000000002</v>
      </c>
      <c r="I10" s="51"/>
      <c r="J10" s="51"/>
    </row>
    <row r="11" spans="1:10" x14ac:dyDescent="0.25">
      <c r="A11" s="51">
        <v>46010</v>
      </c>
      <c r="B11" s="52">
        <v>0.38289299999999998</v>
      </c>
      <c r="C11" s="51"/>
      <c r="D11" s="51">
        <v>46009</v>
      </c>
      <c r="E11" s="52">
        <v>0.33579999999999999</v>
      </c>
      <c r="F11" s="51"/>
      <c r="G11" s="51">
        <v>45365</v>
      </c>
      <c r="H11" s="52">
        <v>2.9</v>
      </c>
      <c r="I11" s="51"/>
      <c r="J11" s="51"/>
    </row>
    <row r="12" spans="1:10" x14ac:dyDescent="0.25">
      <c r="A12" s="51">
        <v>45992</v>
      </c>
      <c r="B12" s="52">
        <v>0.37220199999999998</v>
      </c>
      <c r="C12" s="51"/>
      <c r="D12" s="51">
        <v>45992</v>
      </c>
      <c r="E12" s="52">
        <v>0.32229999999999998</v>
      </c>
      <c r="F12" s="51"/>
      <c r="G12" s="51"/>
      <c r="H12" s="52"/>
      <c r="I12" s="51"/>
      <c r="J12" s="51"/>
    </row>
    <row r="13" spans="1:10" x14ac:dyDescent="0.25">
      <c r="A13" s="51">
        <v>45964</v>
      </c>
      <c r="B13" s="52">
        <v>0.41755799999999998</v>
      </c>
      <c r="C13" s="51"/>
      <c r="D13" s="51">
        <v>45964</v>
      </c>
      <c r="E13" s="52">
        <v>0.33400000000000002</v>
      </c>
      <c r="F13" s="51"/>
      <c r="G13" s="51"/>
      <c r="H13" s="52"/>
      <c r="I13" s="51"/>
      <c r="J13" s="51"/>
    </row>
    <row r="14" spans="1:10" x14ac:dyDescent="0.25">
      <c r="A14" s="51">
        <v>45931</v>
      </c>
      <c r="B14" s="52">
        <v>0.39252900000000002</v>
      </c>
      <c r="C14" s="51"/>
      <c r="D14" s="51">
        <v>45931</v>
      </c>
      <c r="E14" s="52">
        <v>0.32600000000000001</v>
      </c>
      <c r="F14" s="51"/>
      <c r="G14" s="51"/>
      <c r="H14" s="52"/>
      <c r="I14" s="51"/>
      <c r="J14" s="51"/>
    </row>
    <row r="15" spans="1:10" x14ac:dyDescent="0.25">
      <c r="A15" s="51">
        <v>45902</v>
      </c>
      <c r="B15" s="52">
        <v>0.40192099999999997</v>
      </c>
      <c r="C15" s="51"/>
      <c r="D15" s="51">
        <v>45902</v>
      </c>
      <c r="E15" s="52">
        <v>0.32790000000000002</v>
      </c>
      <c r="F15" s="51"/>
      <c r="G15" s="51"/>
      <c r="H15" s="52"/>
      <c r="I15" s="51"/>
      <c r="J15" s="51"/>
    </row>
    <row r="16" spans="1:10" x14ac:dyDescent="0.25">
      <c r="A16" s="51">
        <v>45870</v>
      </c>
      <c r="B16" s="52">
        <v>0.41103499999999998</v>
      </c>
      <c r="C16" s="51"/>
      <c r="D16" s="51">
        <v>45870</v>
      </c>
      <c r="E16" s="52">
        <v>0.34079999999999999</v>
      </c>
      <c r="F16" s="51"/>
      <c r="G16" s="51"/>
      <c r="H16" s="52"/>
      <c r="I16" s="51"/>
      <c r="J16" s="51"/>
    </row>
    <row r="17" spans="1:10" x14ac:dyDescent="0.25">
      <c r="A17" s="51">
        <v>45839</v>
      </c>
      <c r="B17" s="52">
        <v>0.379909</v>
      </c>
      <c r="C17" s="51"/>
      <c r="D17" s="51">
        <v>45839</v>
      </c>
      <c r="E17" s="52">
        <v>0.32069999999999999</v>
      </c>
      <c r="F17" s="51"/>
      <c r="G17" s="51"/>
      <c r="H17" s="52"/>
      <c r="I17" s="51"/>
      <c r="J17" s="51"/>
    </row>
    <row r="18" spans="1:10" x14ac:dyDescent="0.25">
      <c r="A18" s="51">
        <v>45810</v>
      </c>
      <c r="B18" s="52">
        <v>0.40538299999999999</v>
      </c>
      <c r="C18" s="51"/>
      <c r="D18" s="51">
        <v>45810</v>
      </c>
      <c r="E18" s="52">
        <v>0.32800000000000001</v>
      </c>
      <c r="F18" s="51"/>
      <c r="G18" s="51"/>
      <c r="H18" s="52"/>
      <c r="I18" s="51"/>
      <c r="J18" s="51"/>
    </row>
    <row r="19" spans="1:10" x14ac:dyDescent="0.25">
      <c r="A19" s="51">
        <v>45778</v>
      </c>
      <c r="B19" s="52">
        <v>0.40228799999999998</v>
      </c>
      <c r="C19" s="51"/>
      <c r="D19" s="51">
        <v>45778</v>
      </c>
      <c r="E19" s="52">
        <v>0.31509999999999999</v>
      </c>
      <c r="F19" s="51"/>
      <c r="G19" s="51"/>
      <c r="H19" s="52"/>
      <c r="I19" s="51"/>
      <c r="J19" s="51"/>
    </row>
    <row r="20" spans="1:10" x14ac:dyDescent="0.25">
      <c r="A20" s="51">
        <v>45748</v>
      </c>
      <c r="B20" s="52">
        <v>0.39990399999999998</v>
      </c>
      <c r="C20" s="51"/>
      <c r="D20" s="51">
        <v>45748</v>
      </c>
      <c r="E20" s="52">
        <v>0.31890000000000002</v>
      </c>
      <c r="F20" s="51"/>
      <c r="G20" s="51"/>
      <c r="H20" s="52"/>
      <c r="I20" s="51"/>
      <c r="J20" s="51"/>
    </row>
    <row r="21" spans="1:10" x14ac:dyDescent="0.25">
      <c r="A21" s="51">
        <v>45719</v>
      </c>
      <c r="B21" s="52">
        <v>0.38556400000000002</v>
      </c>
      <c r="C21" s="51"/>
      <c r="D21" s="51">
        <v>45719</v>
      </c>
      <c r="E21" s="52">
        <v>0.28649999999999998</v>
      </c>
      <c r="F21" s="51"/>
      <c r="G21" s="51"/>
      <c r="H21" s="52"/>
      <c r="I21" s="51"/>
      <c r="J21" s="51"/>
    </row>
    <row r="22" spans="1:10" x14ac:dyDescent="0.25">
      <c r="A22" s="51">
        <v>45691</v>
      </c>
      <c r="B22" s="52">
        <v>0.44092900000000002</v>
      </c>
      <c r="C22" s="51"/>
      <c r="D22" s="51">
        <v>45691</v>
      </c>
      <c r="E22" s="52">
        <v>0.31290000000000001</v>
      </c>
      <c r="F22" s="51"/>
      <c r="G22" s="51"/>
      <c r="H22" s="52"/>
      <c r="I22" s="51"/>
      <c r="J22" s="51"/>
    </row>
    <row r="23" spans="1:10" x14ac:dyDescent="0.25">
      <c r="A23" s="51">
        <v>45656</v>
      </c>
      <c r="B23" s="52">
        <v>0.25451499999999999</v>
      </c>
      <c r="C23" s="51"/>
      <c r="D23" s="51">
        <v>45650</v>
      </c>
      <c r="E23" s="52">
        <v>0.31190000000000001</v>
      </c>
      <c r="F23" s="51"/>
      <c r="G23" s="51"/>
      <c r="H23" s="52"/>
      <c r="I23" s="51"/>
      <c r="J23" s="51"/>
    </row>
    <row r="24" spans="1:10" x14ac:dyDescent="0.25">
      <c r="A24" s="51">
        <v>45644</v>
      </c>
      <c r="B24" s="52">
        <v>0.42885600000000001</v>
      </c>
      <c r="C24" s="51"/>
      <c r="D24" s="51">
        <v>45628</v>
      </c>
      <c r="E24" s="52">
        <v>0.29920000000000002</v>
      </c>
      <c r="F24" s="51"/>
      <c r="G24" s="51"/>
      <c r="H24" s="52"/>
      <c r="I24" s="51"/>
      <c r="J24" s="51"/>
    </row>
    <row r="25" spans="1:10" x14ac:dyDescent="0.25">
      <c r="A25" s="51">
        <v>45628</v>
      </c>
      <c r="B25" s="52">
        <v>0.38796399999999998</v>
      </c>
      <c r="C25" s="51"/>
      <c r="D25" s="51">
        <v>45597</v>
      </c>
      <c r="E25" s="52">
        <v>0.31659999999999999</v>
      </c>
      <c r="F25" s="51"/>
      <c r="G25" s="51"/>
      <c r="H25" s="52"/>
      <c r="I25" s="51"/>
      <c r="J25" s="51"/>
    </row>
    <row r="26" spans="1:10" x14ac:dyDescent="0.25">
      <c r="A26" s="51">
        <v>45597</v>
      </c>
      <c r="B26" s="52">
        <v>0.42215799999999998</v>
      </c>
      <c r="C26" s="51"/>
      <c r="D26" s="51">
        <v>45566</v>
      </c>
      <c r="E26" s="52">
        <v>0.29699999999999999</v>
      </c>
      <c r="F26" s="51"/>
      <c r="G26" s="51"/>
      <c r="H26" s="52"/>
      <c r="I26" s="51"/>
      <c r="J26" s="51"/>
    </row>
    <row r="27" spans="1:10" x14ac:dyDescent="0.25">
      <c r="A27" s="51">
        <v>45566</v>
      </c>
      <c r="B27" s="52">
        <v>0.38549099999999997</v>
      </c>
      <c r="C27" s="51"/>
      <c r="D27" s="51">
        <v>45538</v>
      </c>
      <c r="E27" s="52">
        <v>0.30099999999999999</v>
      </c>
      <c r="F27" s="51"/>
      <c r="G27" s="51"/>
      <c r="H27" s="52"/>
      <c r="I27" s="51"/>
      <c r="J27" s="51"/>
    </row>
    <row r="28" spans="1:10" x14ac:dyDescent="0.25">
      <c r="A28" s="51">
        <v>45538</v>
      </c>
      <c r="B28" s="52">
        <v>0.36824299999999999</v>
      </c>
      <c r="C28" s="51"/>
      <c r="D28" s="51">
        <v>45505</v>
      </c>
      <c r="E28" s="52">
        <v>0.30109999999999998</v>
      </c>
      <c r="F28" s="51"/>
      <c r="G28" s="51"/>
      <c r="H28" s="52"/>
      <c r="I28" s="51"/>
      <c r="J28" s="51"/>
    </row>
    <row r="29" spans="1:10" x14ac:dyDescent="0.25">
      <c r="A29" s="51">
        <v>45505</v>
      </c>
      <c r="B29" s="52">
        <v>0.39086799999999999</v>
      </c>
      <c r="C29" s="51"/>
      <c r="D29" s="51">
        <v>45474</v>
      </c>
      <c r="E29" s="52">
        <v>0.28870000000000001</v>
      </c>
      <c r="F29" s="51"/>
      <c r="G29" s="51"/>
      <c r="H29" s="52"/>
      <c r="I29" s="51"/>
      <c r="J29" s="51"/>
    </row>
    <row r="30" spans="1:10" x14ac:dyDescent="0.25">
      <c r="A30" s="51">
        <v>45474</v>
      </c>
      <c r="B30" s="52">
        <v>0.38128499999999999</v>
      </c>
      <c r="C30" s="51"/>
      <c r="D30" s="51">
        <v>45446</v>
      </c>
      <c r="E30" s="52">
        <v>0.29920000000000002</v>
      </c>
      <c r="F30" s="51"/>
      <c r="G30" s="51"/>
      <c r="H30" s="52"/>
      <c r="I30" s="51"/>
      <c r="J30" s="51"/>
    </row>
    <row r="31" spans="1:10" x14ac:dyDescent="0.25">
      <c r="A31" s="51">
        <v>45446</v>
      </c>
      <c r="B31" s="52">
        <v>0.36274299999999998</v>
      </c>
      <c r="C31" s="51"/>
      <c r="D31" s="51">
        <v>45413</v>
      </c>
      <c r="E31" s="52">
        <v>0.29189999999999999</v>
      </c>
      <c r="F31" s="51"/>
      <c r="G31" s="51"/>
      <c r="H31" s="52"/>
      <c r="I31" s="51"/>
      <c r="J31" s="51"/>
    </row>
    <row r="32" spans="1:10" x14ac:dyDescent="0.25">
      <c r="A32" s="51">
        <v>45413</v>
      </c>
      <c r="B32" s="52">
        <v>0.36057699999999998</v>
      </c>
      <c r="C32" s="51"/>
      <c r="D32" s="51">
        <v>45383</v>
      </c>
      <c r="E32" s="52">
        <v>0.2944</v>
      </c>
      <c r="F32" s="51"/>
      <c r="G32" s="51"/>
      <c r="H32" s="52"/>
      <c r="I32" s="51"/>
      <c r="J32" s="51"/>
    </row>
    <row r="33" spans="1:10" x14ac:dyDescent="0.25">
      <c r="A33" s="51">
        <v>45383</v>
      </c>
      <c r="B33" s="52">
        <v>0.36555399999999999</v>
      </c>
      <c r="C33" s="51"/>
      <c r="D33" s="51">
        <v>45352</v>
      </c>
      <c r="E33" s="52">
        <v>0.2732</v>
      </c>
      <c r="F33" s="51"/>
      <c r="G33" s="51"/>
      <c r="H33" s="52"/>
      <c r="I33" s="51"/>
      <c r="J33" s="51"/>
    </row>
    <row r="34" spans="1:10" x14ac:dyDescent="0.25">
      <c r="A34" s="51">
        <v>45352</v>
      </c>
      <c r="B34" s="52">
        <v>0.38571299999999997</v>
      </c>
      <c r="C34" s="51"/>
      <c r="D34" s="51">
        <v>45323</v>
      </c>
      <c r="E34" s="52">
        <v>0.28100000000000003</v>
      </c>
      <c r="F34" s="51"/>
      <c r="G34" s="51"/>
      <c r="H34" s="52"/>
      <c r="I34" s="51"/>
      <c r="J34" s="51"/>
    </row>
    <row r="35" spans="1:10" x14ac:dyDescent="0.25">
      <c r="A35" s="51">
        <v>45323</v>
      </c>
      <c r="B35" s="52">
        <v>0.36726199999999998</v>
      </c>
      <c r="C35" s="51"/>
      <c r="D35" s="51"/>
      <c r="E35" s="52"/>
      <c r="G35" s="51"/>
      <c r="H35" s="52"/>
      <c r="I35" s="51"/>
      <c r="J35" s="51"/>
    </row>
    <row r="36" spans="1:10" x14ac:dyDescent="0.25">
      <c r="A36" s="51"/>
      <c r="B36" s="52"/>
      <c r="D36" s="51"/>
      <c r="E36" s="52"/>
      <c r="G36" s="51"/>
      <c r="H36" s="52"/>
    </row>
    <row r="37" spans="1:10" x14ac:dyDescent="0.25">
      <c r="A37" s="51"/>
      <c r="B37" s="52"/>
      <c r="D37" s="51"/>
      <c r="E37" s="52"/>
      <c r="G37" s="51"/>
      <c r="H37" s="52"/>
    </row>
    <row r="38" spans="1:10" x14ac:dyDescent="0.25">
      <c r="A38" s="51"/>
      <c r="B38" s="52"/>
      <c r="D38" s="51"/>
      <c r="E38" s="52"/>
      <c r="G38" s="51"/>
      <c r="H38" s="52"/>
    </row>
    <row r="39" spans="1:10" x14ac:dyDescent="0.25">
      <c r="A39" s="51"/>
      <c r="B39" s="52"/>
      <c r="D39" s="51"/>
      <c r="E39" s="52"/>
      <c r="G39" s="51"/>
      <c r="H39" s="52"/>
    </row>
    <row r="40" spans="1:10" x14ac:dyDescent="0.25">
      <c r="A40" s="51"/>
      <c r="B40" s="52"/>
      <c r="D40" s="51"/>
      <c r="E40" s="52"/>
      <c r="G40" s="51"/>
      <c r="H40" s="52"/>
    </row>
    <row r="41" spans="1:10" x14ac:dyDescent="0.25">
      <c r="A41" s="51"/>
      <c r="B41" s="52"/>
      <c r="D41" s="51"/>
      <c r="E41" s="52"/>
      <c r="G41" s="51"/>
      <c r="H41" s="52"/>
    </row>
    <row r="42" spans="1:10" x14ac:dyDescent="0.25">
      <c r="A42" s="51"/>
      <c r="B42" s="52"/>
      <c r="D42" s="51"/>
      <c r="E42" s="52"/>
      <c r="G42" s="51"/>
      <c r="H42" s="52"/>
    </row>
    <row r="43" spans="1:10" x14ac:dyDescent="0.25">
      <c r="A43" s="51"/>
      <c r="B43" s="52"/>
      <c r="D43" s="51"/>
      <c r="E43" s="52"/>
      <c r="G43" s="51"/>
      <c r="H43" s="52"/>
    </row>
    <row r="44" spans="1:10" x14ac:dyDescent="0.25">
      <c r="A44" s="51"/>
      <c r="B44" s="52"/>
      <c r="D44" s="51"/>
      <c r="E44" s="52"/>
      <c r="G44" s="51"/>
      <c r="H44" s="52"/>
    </row>
    <row r="45" spans="1:10" x14ac:dyDescent="0.25">
      <c r="A45" s="51"/>
      <c r="B45" s="52"/>
      <c r="D45" s="51"/>
      <c r="E45" s="52"/>
      <c r="G45" s="51"/>
      <c r="H45" s="52"/>
    </row>
    <row r="46" spans="1:10" x14ac:dyDescent="0.25">
      <c r="A46" s="51"/>
      <c r="B46" s="52"/>
      <c r="D46" s="51"/>
      <c r="E46" s="52"/>
      <c r="G46" s="51"/>
      <c r="H46" s="52"/>
    </row>
    <row r="47" spans="1:10" x14ac:dyDescent="0.25">
      <c r="A47" s="51"/>
      <c r="B47" s="52"/>
      <c r="D47" s="51"/>
      <c r="E47" s="52"/>
      <c r="G47" s="51"/>
      <c r="H47" s="52"/>
    </row>
    <row r="48" spans="1:10" x14ac:dyDescent="0.25">
      <c r="A48" s="51"/>
      <c r="B48" s="52"/>
      <c r="D48" s="51"/>
      <c r="E48" s="52"/>
      <c r="G48" s="51"/>
      <c r="H48" s="52"/>
    </row>
    <row r="49" spans="1:8" x14ac:dyDescent="0.25">
      <c r="A49" s="51"/>
      <c r="B49" s="52"/>
      <c r="D49" s="51"/>
      <c r="E49" s="52"/>
      <c r="G49" s="51"/>
      <c r="H49" s="52"/>
    </row>
    <row r="50" spans="1:8" x14ac:dyDescent="0.25">
      <c r="A50" s="51"/>
      <c r="B50" s="52"/>
      <c r="D50" s="51"/>
      <c r="E50" s="52"/>
      <c r="G50" s="51"/>
      <c r="H50" s="52"/>
    </row>
    <row r="51" spans="1:8" x14ac:dyDescent="0.25">
      <c r="A51" s="51"/>
      <c r="B51" s="52"/>
      <c r="D51" s="51"/>
      <c r="E51" s="52"/>
      <c r="G51" s="51"/>
      <c r="H51" s="52"/>
    </row>
    <row r="52" spans="1:8" x14ac:dyDescent="0.25">
      <c r="A52" s="51"/>
      <c r="B52" s="52"/>
      <c r="D52" s="51"/>
      <c r="E52" s="52"/>
      <c r="G52" s="51"/>
      <c r="H52" s="52"/>
    </row>
    <row r="53" spans="1:8" x14ac:dyDescent="0.25">
      <c r="A53" s="51"/>
      <c r="B53" s="52"/>
      <c r="D53" s="51"/>
      <c r="E53" s="52"/>
      <c r="G53" s="51"/>
      <c r="H53" s="52"/>
    </row>
    <row r="54" spans="1:8" x14ac:dyDescent="0.25">
      <c r="A54" s="51"/>
      <c r="B54" s="52"/>
      <c r="D54" s="51"/>
      <c r="E54" s="52"/>
      <c r="G54" s="51"/>
      <c r="H54" s="52"/>
    </row>
    <row r="55" spans="1:8" x14ac:dyDescent="0.25">
      <c r="A55" s="51"/>
      <c r="B55" s="52"/>
      <c r="D55" s="51"/>
      <c r="E55" s="52"/>
      <c r="G55" s="51"/>
      <c r="H55" s="52"/>
    </row>
    <row r="56" spans="1:8" x14ac:dyDescent="0.25">
      <c r="A56" s="51"/>
      <c r="B56" s="52"/>
      <c r="D56" s="51"/>
      <c r="E56" s="52"/>
      <c r="G56" s="51"/>
      <c r="H56" s="52"/>
    </row>
    <row r="57" spans="1:8" x14ac:dyDescent="0.25">
      <c r="A57" s="51"/>
      <c r="B57" s="52"/>
      <c r="D57" s="51"/>
      <c r="E57" s="52"/>
      <c r="G57" s="51"/>
      <c r="H57" s="52"/>
    </row>
    <row r="58" spans="1:8" x14ac:dyDescent="0.25">
      <c r="A58" s="51"/>
      <c r="B58" s="52"/>
      <c r="D58" s="51"/>
      <c r="E58" s="52"/>
      <c r="G58" s="51"/>
      <c r="H58" s="52"/>
    </row>
    <row r="59" spans="1:8" x14ac:dyDescent="0.25">
      <c r="A59" s="51"/>
      <c r="B59" s="52"/>
      <c r="D59" s="51"/>
      <c r="E59" s="52"/>
      <c r="G59" s="51"/>
      <c r="H59" s="52"/>
    </row>
    <row r="60" spans="1:8" x14ac:dyDescent="0.25">
      <c r="A60" s="51"/>
      <c r="B60" s="52"/>
      <c r="D60" s="51"/>
      <c r="E60" s="52"/>
      <c r="G60" s="51"/>
      <c r="H60" s="52"/>
    </row>
    <row r="61" spans="1:8" x14ac:dyDescent="0.25">
      <c r="A61" s="51"/>
      <c r="B61" s="52"/>
      <c r="D61" s="51"/>
      <c r="E61" s="52"/>
      <c r="G61" s="51"/>
      <c r="H61" s="52"/>
    </row>
    <row r="62" spans="1:8" x14ac:dyDescent="0.25">
      <c r="A62" s="51"/>
      <c r="B62" s="52"/>
      <c r="D62" s="51"/>
      <c r="E62" s="52"/>
      <c r="G62" s="51"/>
      <c r="H62" s="52"/>
    </row>
    <row r="63" spans="1:8" x14ac:dyDescent="0.25">
      <c r="A63" s="51"/>
      <c r="B63" s="52"/>
      <c r="D63" s="51"/>
      <c r="E63" s="52"/>
      <c r="G63" s="51"/>
      <c r="H63" s="52"/>
    </row>
    <row r="64" spans="1:8" x14ac:dyDescent="0.25">
      <c r="A64" s="51"/>
      <c r="B64" s="52"/>
      <c r="D64" s="51"/>
      <c r="E64" s="52"/>
      <c r="G64" s="51"/>
      <c r="H64" s="52"/>
    </row>
    <row r="65" spans="1:8" x14ac:dyDescent="0.25">
      <c r="A65" s="51"/>
      <c r="B65" s="52"/>
      <c r="D65" s="51"/>
      <c r="E65" s="52"/>
      <c r="G65" s="51"/>
      <c r="H65" s="52"/>
    </row>
    <row r="66" spans="1:8" x14ac:dyDescent="0.25">
      <c r="A66" s="51"/>
      <c r="B66" s="52"/>
      <c r="D66" s="51"/>
      <c r="E66" s="52"/>
      <c r="G66" s="51"/>
      <c r="H66" s="52"/>
    </row>
    <row r="67" spans="1:8" x14ac:dyDescent="0.25">
      <c r="A67" s="51"/>
      <c r="B67" s="52"/>
      <c r="D67" s="51"/>
      <c r="E67" s="52"/>
      <c r="G67" s="51"/>
      <c r="H67" s="52"/>
    </row>
    <row r="68" spans="1:8" x14ac:dyDescent="0.25">
      <c r="A68" s="51"/>
      <c r="B68" s="52"/>
      <c r="D68" s="51"/>
      <c r="E68" s="52"/>
      <c r="G68" s="51"/>
      <c r="H68" s="52"/>
    </row>
    <row r="69" spans="1:8" x14ac:dyDescent="0.25">
      <c r="A69" s="51"/>
      <c r="B69" s="52"/>
      <c r="D69" s="51"/>
      <c r="E69" s="52"/>
      <c r="G69" s="51"/>
      <c r="H69" s="52"/>
    </row>
    <row r="70" spans="1:8" x14ac:dyDescent="0.25">
      <c r="A70" s="51"/>
      <c r="B70" s="52"/>
      <c r="D70" s="51"/>
      <c r="E70" s="52"/>
      <c r="G70" s="51"/>
      <c r="H70" s="52"/>
    </row>
    <row r="71" spans="1:8" x14ac:dyDescent="0.25">
      <c r="A71" s="51"/>
      <c r="B71" s="52"/>
      <c r="D71" s="51"/>
      <c r="E71" s="52"/>
      <c r="G71" s="51"/>
      <c r="H71" s="52"/>
    </row>
    <row r="72" spans="1:8" x14ac:dyDescent="0.25">
      <c r="A72" s="51"/>
      <c r="B72" s="52"/>
      <c r="D72" s="51"/>
      <c r="E72" s="52"/>
      <c r="G72" s="51"/>
      <c r="H72" s="52"/>
    </row>
    <row r="73" spans="1:8" x14ac:dyDescent="0.25">
      <c r="A73" s="51"/>
      <c r="B73" s="52"/>
      <c r="D73" s="51"/>
      <c r="E73" s="52"/>
      <c r="G73" s="51"/>
      <c r="H73" s="52"/>
    </row>
    <row r="74" spans="1:8" x14ac:dyDescent="0.25">
      <c r="A74" s="51"/>
      <c r="B74" s="52"/>
      <c r="D74" s="51"/>
      <c r="E74" s="52"/>
      <c r="G74" s="51"/>
      <c r="H74" s="52"/>
    </row>
    <row r="75" spans="1:8" x14ac:dyDescent="0.25">
      <c r="A75" s="51"/>
      <c r="B75" s="52"/>
      <c r="D75" s="51"/>
      <c r="E75" s="52"/>
      <c r="G75" s="51"/>
      <c r="H75" s="52"/>
    </row>
    <row r="76" spans="1:8" x14ac:dyDescent="0.25">
      <c r="A76" s="51"/>
      <c r="B76" s="52"/>
      <c r="D76" s="51"/>
      <c r="E76" s="52"/>
      <c r="G76" s="51"/>
      <c r="H76" s="52"/>
    </row>
    <row r="77" spans="1:8" x14ac:dyDescent="0.25">
      <c r="A77" s="51"/>
      <c r="B77" s="52"/>
      <c r="D77" s="51"/>
      <c r="E77" s="52"/>
      <c r="G77" s="51"/>
      <c r="H77" s="52"/>
    </row>
    <row r="78" spans="1:8" x14ac:dyDescent="0.25">
      <c r="A78" s="51"/>
      <c r="B78" s="52"/>
      <c r="D78" s="51"/>
      <c r="E78" s="52"/>
      <c r="G78" s="51"/>
      <c r="H78" s="52"/>
    </row>
    <row r="79" spans="1:8" x14ac:dyDescent="0.25">
      <c r="A79" s="51"/>
      <c r="B79" s="52"/>
      <c r="D79" s="51"/>
      <c r="E79" s="52"/>
      <c r="G79" s="51"/>
      <c r="H79" s="52"/>
    </row>
    <row r="80" spans="1:8" x14ac:dyDescent="0.25">
      <c r="A80" s="51"/>
      <c r="B80" s="52"/>
      <c r="D80" s="51"/>
      <c r="E80" s="52"/>
      <c r="G80" s="51"/>
      <c r="H80" s="52"/>
    </row>
    <row r="81" spans="1:8" x14ac:dyDescent="0.25">
      <c r="A81" s="51"/>
      <c r="B81" s="52"/>
      <c r="D81" s="51"/>
      <c r="E81" s="52"/>
      <c r="G81" s="51"/>
      <c r="H81" s="52"/>
    </row>
    <row r="82" spans="1:8" x14ac:dyDescent="0.25">
      <c r="A82" s="51"/>
      <c r="B82" s="52"/>
      <c r="D82" s="51"/>
      <c r="E82" s="52"/>
      <c r="G82" s="51"/>
      <c r="H82" s="52"/>
    </row>
    <row r="83" spans="1:8" x14ac:dyDescent="0.25">
      <c r="A83" s="51"/>
      <c r="B83" s="52"/>
      <c r="D83" s="51"/>
      <c r="E83" s="52"/>
      <c r="G83" s="51"/>
      <c r="H83" s="52"/>
    </row>
    <row r="84" spans="1:8" x14ac:dyDescent="0.25">
      <c r="A84" s="51"/>
      <c r="B84" s="52"/>
      <c r="D84" s="51"/>
      <c r="E84" s="52"/>
      <c r="G84" s="51"/>
      <c r="H84" s="52"/>
    </row>
    <row r="85" spans="1:8" x14ac:dyDescent="0.25">
      <c r="A85" s="51"/>
      <c r="B85" s="52"/>
      <c r="D85" s="51"/>
      <c r="E85" s="52"/>
      <c r="G85" s="51"/>
      <c r="H85" s="52"/>
    </row>
    <row r="86" spans="1:8" x14ac:dyDescent="0.25">
      <c r="A86" s="51"/>
      <c r="B86" s="52"/>
      <c r="D86" s="51"/>
      <c r="E86" s="52"/>
      <c r="G86" s="51"/>
      <c r="H86" s="52"/>
    </row>
    <row r="87" spans="1:8" x14ac:dyDescent="0.25">
      <c r="A87" s="51"/>
      <c r="B87" s="52"/>
      <c r="D87" s="51"/>
      <c r="E87" s="52"/>
      <c r="G87" s="51"/>
      <c r="H87" s="52"/>
    </row>
    <row r="88" spans="1:8" x14ac:dyDescent="0.25">
      <c r="A88" s="51"/>
      <c r="B88" s="52"/>
      <c r="D88" s="51"/>
      <c r="E88" s="52"/>
      <c r="G88" s="51"/>
      <c r="H88" s="52"/>
    </row>
    <row r="89" spans="1:8" x14ac:dyDescent="0.25">
      <c r="A89" s="51"/>
      <c r="B89" s="52"/>
      <c r="D89" s="51"/>
      <c r="E89" s="52"/>
      <c r="G89" s="51"/>
      <c r="H89" s="52"/>
    </row>
    <row r="90" spans="1:8" x14ac:dyDescent="0.25">
      <c r="A90" s="51"/>
      <c r="B90" s="52"/>
      <c r="D90" s="51"/>
      <c r="E90" s="52"/>
      <c r="G90" s="51"/>
      <c r="H90" s="52"/>
    </row>
    <row r="91" spans="1:8" x14ac:dyDescent="0.25">
      <c r="A91" s="51"/>
      <c r="B91" s="52"/>
      <c r="D91" s="51"/>
      <c r="E91" s="52"/>
      <c r="G91" s="51"/>
      <c r="H91" s="52"/>
    </row>
    <row r="92" spans="1:8" x14ac:dyDescent="0.25">
      <c r="A92" s="51"/>
      <c r="B92" s="52"/>
      <c r="D92" s="51"/>
      <c r="E92" s="52"/>
      <c r="G92" s="51"/>
      <c r="H92" s="52"/>
    </row>
    <row r="93" spans="1:8" x14ac:dyDescent="0.25">
      <c r="A93" s="51"/>
      <c r="B93" s="52"/>
      <c r="D93" s="51"/>
      <c r="E93" s="52"/>
      <c r="G93" s="51"/>
      <c r="H93" s="52"/>
    </row>
    <row r="94" spans="1:8" x14ac:dyDescent="0.25">
      <c r="A94" s="51"/>
      <c r="B94" s="52"/>
      <c r="D94" s="51"/>
      <c r="E94" s="52"/>
      <c r="G94" s="51"/>
      <c r="H94" s="52"/>
    </row>
    <row r="95" spans="1:8" x14ac:dyDescent="0.25">
      <c r="A95" s="51"/>
      <c r="B95" s="52"/>
      <c r="D95" s="51"/>
      <c r="E95" s="52"/>
      <c r="G95" s="51"/>
      <c r="H95" s="52"/>
    </row>
    <row r="96" spans="1:8" x14ac:dyDescent="0.25">
      <c r="A96" s="51"/>
      <c r="B96" s="52"/>
      <c r="D96" s="51"/>
      <c r="E96" s="52"/>
      <c r="G96" s="51"/>
      <c r="H96" s="52"/>
    </row>
    <row r="97" spans="1:8" x14ac:dyDescent="0.25">
      <c r="A97" s="51"/>
      <c r="B97" s="52"/>
      <c r="D97" s="51"/>
      <c r="E97" s="52"/>
      <c r="G97" s="51"/>
      <c r="H97" s="52"/>
    </row>
    <row r="98" spans="1:8" x14ac:dyDescent="0.25">
      <c r="A98" s="51"/>
      <c r="B98" s="52"/>
      <c r="D98" s="51"/>
      <c r="E98" s="52"/>
      <c r="G98" s="51"/>
      <c r="H98" s="52"/>
    </row>
    <row r="99" spans="1:8" x14ac:dyDescent="0.25">
      <c r="A99" s="51"/>
      <c r="B99" s="52"/>
      <c r="D99" s="51"/>
      <c r="E99" s="52"/>
      <c r="G99" s="51"/>
      <c r="H99" s="52"/>
    </row>
    <row r="100" spans="1:8" x14ac:dyDescent="0.25">
      <c r="A100" s="51"/>
      <c r="B100" s="52"/>
      <c r="D100" s="51"/>
      <c r="E100" s="52"/>
      <c r="G100" s="51"/>
      <c r="H100" s="52"/>
    </row>
    <row r="101" spans="1:8" x14ac:dyDescent="0.25">
      <c r="A101" s="51"/>
      <c r="B101" s="52"/>
      <c r="D101" s="51"/>
      <c r="E101" s="52"/>
      <c r="G101" s="51"/>
      <c r="H101" s="52"/>
    </row>
    <row r="102" spans="1:8" x14ac:dyDescent="0.25">
      <c r="A102" s="51"/>
      <c r="B102" s="52"/>
      <c r="D102" s="51"/>
      <c r="E102" s="52"/>
      <c r="G102" s="51"/>
      <c r="H102" s="52"/>
    </row>
    <row r="103" spans="1:8" x14ac:dyDescent="0.25">
      <c r="A103" s="51"/>
      <c r="B103" s="52"/>
      <c r="D103" s="51"/>
      <c r="E103" s="52"/>
      <c r="G103" s="51"/>
      <c r="H103" s="52"/>
    </row>
    <row r="104" spans="1:8" x14ac:dyDescent="0.25">
      <c r="A104" s="51"/>
      <c r="B104" s="52"/>
      <c r="D104" s="51"/>
      <c r="E104" s="52"/>
      <c r="G104" s="51"/>
      <c r="H104" s="52"/>
    </row>
    <row r="105" spans="1:8" x14ac:dyDescent="0.25">
      <c r="A105" s="51"/>
      <c r="B105" s="52"/>
      <c r="D105" s="51"/>
      <c r="E105" s="52"/>
      <c r="G105" s="51"/>
      <c r="H105" s="52"/>
    </row>
    <row r="106" spans="1:8" x14ac:dyDescent="0.25">
      <c r="A106" s="51"/>
      <c r="B106" s="52"/>
      <c r="D106" s="51"/>
      <c r="E106" s="52"/>
      <c r="G106" s="51"/>
      <c r="H106" s="52"/>
    </row>
    <row r="107" spans="1:8" x14ac:dyDescent="0.25">
      <c r="A107" s="51"/>
      <c r="B107" s="52"/>
      <c r="D107" s="51"/>
      <c r="E107" s="52"/>
      <c r="G107" s="51"/>
      <c r="H107" s="52"/>
    </row>
    <row r="108" spans="1:8" x14ac:dyDescent="0.25">
      <c r="A108" s="51"/>
      <c r="B108" s="52"/>
      <c r="D108" s="51"/>
      <c r="E108" s="52"/>
      <c r="G108" s="51"/>
      <c r="H108" s="52"/>
    </row>
    <row r="109" spans="1:8" x14ac:dyDescent="0.25">
      <c r="A109" s="51"/>
      <c r="B109" s="52"/>
      <c r="D109" s="51"/>
      <c r="E109" s="52"/>
      <c r="G109" s="51"/>
      <c r="H109" s="52"/>
    </row>
    <row r="110" spans="1:8" x14ac:dyDescent="0.25">
      <c r="A110" s="51"/>
      <c r="B110" s="52"/>
      <c r="D110" s="51"/>
      <c r="E110" s="52"/>
      <c r="G110" s="51"/>
      <c r="H110" s="52"/>
    </row>
    <row r="111" spans="1:8" x14ac:dyDescent="0.25">
      <c r="A111" s="51"/>
      <c r="B111" s="52"/>
      <c r="D111" s="51"/>
      <c r="E111" s="52"/>
      <c r="G111" s="51"/>
      <c r="H111" s="52"/>
    </row>
    <row r="112" spans="1:8" x14ac:dyDescent="0.25">
      <c r="A112" s="51"/>
      <c r="B112" s="52"/>
      <c r="D112" s="51"/>
      <c r="E112" s="52"/>
      <c r="G112" s="51"/>
      <c r="H112" s="52"/>
    </row>
    <row r="113" spans="1:8" x14ac:dyDescent="0.25">
      <c r="A113" s="51"/>
      <c r="B113" s="52"/>
      <c r="D113" s="51"/>
      <c r="E113" s="52"/>
      <c r="G113" s="51"/>
      <c r="H113" s="52"/>
    </row>
    <row r="114" spans="1:8" x14ac:dyDescent="0.25">
      <c r="A114" s="51"/>
      <c r="B114" s="52"/>
      <c r="D114" s="51"/>
      <c r="E114" s="52"/>
      <c r="G114" s="51"/>
      <c r="H114" s="52"/>
    </row>
    <row r="115" spans="1:8" x14ac:dyDescent="0.25">
      <c r="A115" s="51"/>
      <c r="B115" s="52"/>
      <c r="D115" s="51"/>
      <c r="E115" s="52"/>
      <c r="G115" s="51"/>
      <c r="H115" s="52"/>
    </row>
    <row r="116" spans="1:8" x14ac:dyDescent="0.25">
      <c r="A116" s="51"/>
      <c r="B116" s="52"/>
      <c r="D116" s="51"/>
      <c r="E116" s="52"/>
      <c r="G116" s="51"/>
      <c r="H116" s="52"/>
    </row>
    <row r="117" spans="1:8" x14ac:dyDescent="0.25">
      <c r="A117" s="51"/>
      <c r="B117" s="52"/>
      <c r="D117" s="51"/>
      <c r="E117" s="52"/>
      <c r="G117" s="51"/>
      <c r="H117" s="52"/>
    </row>
    <row r="118" spans="1:8" x14ac:dyDescent="0.25">
      <c r="A118" s="51"/>
      <c r="B118" s="52"/>
      <c r="D118" s="51"/>
      <c r="E118" s="52"/>
      <c r="G118" s="51"/>
      <c r="H118" s="52"/>
    </row>
    <row r="119" spans="1:8" x14ac:dyDescent="0.25">
      <c r="A119" s="51"/>
      <c r="B119" s="52"/>
      <c r="D119" s="51"/>
      <c r="E119" s="52"/>
      <c r="G119" s="51"/>
      <c r="H119" s="52"/>
    </row>
    <row r="120" spans="1:8" x14ac:dyDescent="0.25">
      <c r="A120" s="51"/>
      <c r="B120" s="52"/>
      <c r="D120" s="51"/>
      <c r="E120" s="52"/>
      <c r="G120" s="51"/>
      <c r="H120" s="52"/>
    </row>
    <row r="121" spans="1:8" x14ac:dyDescent="0.25">
      <c r="A121" s="51"/>
      <c r="B121" s="52"/>
      <c r="D121" s="51"/>
      <c r="E121" s="52"/>
      <c r="G121" s="51"/>
      <c r="H121" s="52"/>
    </row>
    <row r="122" spans="1:8" x14ac:dyDescent="0.25">
      <c r="A122" s="51"/>
      <c r="B122" s="52"/>
      <c r="D122" s="51"/>
      <c r="E122" s="52"/>
      <c r="G122" s="51"/>
      <c r="H122" s="52"/>
    </row>
    <row r="123" spans="1:8" x14ac:dyDescent="0.25">
      <c r="A123" s="51"/>
      <c r="B123" s="52"/>
      <c r="D123" s="51"/>
      <c r="E123" s="52"/>
      <c r="G123" s="51"/>
      <c r="H123" s="52"/>
    </row>
    <row r="124" spans="1:8" x14ac:dyDescent="0.25">
      <c r="A124" s="51"/>
      <c r="B124" s="52"/>
      <c r="D124" s="51"/>
      <c r="E124" s="52"/>
      <c r="G124" s="51"/>
      <c r="H124" s="52"/>
    </row>
    <row r="125" spans="1:8" x14ac:dyDescent="0.25">
      <c r="A125" s="51"/>
      <c r="B125" s="52"/>
      <c r="D125" s="51"/>
      <c r="E125" s="52"/>
      <c r="G125" s="51"/>
      <c r="H125" s="52"/>
    </row>
    <row r="126" spans="1:8" x14ac:dyDescent="0.25">
      <c r="A126" s="51"/>
      <c r="B126" s="52"/>
      <c r="D126" s="51"/>
      <c r="E126" s="52"/>
      <c r="G126" s="51"/>
      <c r="H126" s="52"/>
    </row>
    <row r="127" spans="1:8" x14ac:dyDescent="0.25">
      <c r="A127" s="51"/>
      <c r="B127" s="52"/>
      <c r="D127" s="51"/>
      <c r="E127" s="52"/>
      <c r="G127" s="51"/>
      <c r="H127" s="52"/>
    </row>
    <row r="128" spans="1:8" x14ac:dyDescent="0.25">
      <c r="A128" s="51"/>
      <c r="B128" s="52"/>
      <c r="D128" s="51"/>
      <c r="E128" s="52"/>
      <c r="G128" s="51"/>
      <c r="H128" s="52"/>
    </row>
    <row r="129" spans="1:8" x14ac:dyDescent="0.25">
      <c r="A129" s="51"/>
      <c r="B129" s="52"/>
      <c r="D129" s="51"/>
      <c r="E129" s="52"/>
      <c r="G129" s="51"/>
      <c r="H129" s="52"/>
    </row>
    <row r="130" spans="1:8" x14ac:dyDescent="0.25">
      <c r="A130" s="51"/>
      <c r="B130" s="52"/>
      <c r="D130" s="51"/>
      <c r="E130" s="52"/>
      <c r="G130" s="51"/>
      <c r="H130" s="52"/>
    </row>
    <row r="131" spans="1:8" x14ac:dyDescent="0.25">
      <c r="A131" s="51"/>
      <c r="B131" s="52"/>
      <c r="D131" s="51"/>
      <c r="E131" s="52"/>
      <c r="G131" s="51"/>
      <c r="H131" s="52"/>
    </row>
    <row r="132" spans="1:8" x14ac:dyDescent="0.25">
      <c r="A132" s="51"/>
      <c r="B132" s="52"/>
      <c r="D132" s="51"/>
      <c r="E132" s="52"/>
      <c r="G132" s="51"/>
      <c r="H132" s="52"/>
    </row>
    <row r="133" spans="1:8" x14ac:dyDescent="0.25">
      <c r="A133" s="51"/>
      <c r="B133" s="52"/>
      <c r="D133" s="51"/>
      <c r="E133" s="52"/>
      <c r="G133" s="51"/>
      <c r="H133" s="52"/>
    </row>
    <row r="134" spans="1:8" x14ac:dyDescent="0.25">
      <c r="A134" s="51"/>
      <c r="B134" s="52"/>
      <c r="D134" s="51"/>
      <c r="E134" s="52"/>
      <c r="G134" s="51"/>
      <c r="H134" s="52"/>
    </row>
    <row r="135" spans="1:8" x14ac:dyDescent="0.25">
      <c r="A135" s="51"/>
      <c r="B135" s="52"/>
      <c r="D135" s="51"/>
      <c r="E135" s="52"/>
      <c r="G135" s="51"/>
      <c r="H135" s="52"/>
    </row>
    <row r="136" spans="1:8" x14ac:dyDescent="0.25">
      <c r="A136" s="51"/>
      <c r="B136" s="52"/>
      <c r="D136" s="51"/>
      <c r="E136" s="52"/>
      <c r="G136" s="51"/>
      <c r="H136" s="52"/>
    </row>
    <row r="137" spans="1:8" x14ac:dyDescent="0.25">
      <c r="A137" s="51"/>
      <c r="B137" s="52"/>
      <c r="D137" s="51"/>
      <c r="E137" s="52"/>
      <c r="G137" s="51"/>
      <c r="H137" s="52"/>
    </row>
    <row r="138" spans="1:8" x14ac:dyDescent="0.25">
      <c r="A138" s="51"/>
      <c r="B138" s="52"/>
      <c r="D138" s="51"/>
      <c r="E138" s="52"/>
      <c r="G138" s="51"/>
      <c r="H138" s="52"/>
    </row>
    <row r="139" spans="1:8" x14ac:dyDescent="0.25">
      <c r="A139" s="51"/>
      <c r="B139" s="52"/>
      <c r="D139" s="51"/>
      <c r="E139" s="52"/>
      <c r="G139" s="51"/>
      <c r="H139" s="52"/>
    </row>
    <row r="140" spans="1:8" x14ac:dyDescent="0.25">
      <c r="A140" s="51"/>
      <c r="B140" s="52"/>
      <c r="D140" s="51"/>
      <c r="E140" s="52"/>
      <c r="G140" s="51"/>
      <c r="H140" s="52"/>
    </row>
    <row r="141" spans="1:8" x14ac:dyDescent="0.25">
      <c r="A141" s="51"/>
      <c r="B141" s="52"/>
      <c r="D141" s="51"/>
      <c r="E141" s="52"/>
      <c r="G141" s="51"/>
      <c r="H141" s="52"/>
    </row>
    <row r="142" spans="1:8" x14ac:dyDescent="0.25">
      <c r="A142" s="51"/>
      <c r="B142" s="52"/>
      <c r="D142" s="51"/>
      <c r="E142" s="52"/>
      <c r="G142" s="51"/>
      <c r="H142" s="52"/>
    </row>
    <row r="143" spans="1:8" x14ac:dyDescent="0.25">
      <c r="A143" s="51"/>
      <c r="B143" s="52"/>
      <c r="D143" s="51"/>
      <c r="E143" s="52"/>
      <c r="G143" s="51"/>
      <c r="H143" s="52"/>
    </row>
    <row r="144" spans="1:8" x14ac:dyDescent="0.25">
      <c r="A144" s="51"/>
      <c r="B144" s="52"/>
      <c r="D144" s="51"/>
      <c r="E144" s="52"/>
      <c r="G144" s="51"/>
      <c r="H144" s="52"/>
    </row>
    <row r="145" spans="1:8" x14ac:dyDescent="0.25">
      <c r="A145" s="51"/>
      <c r="B145" s="52"/>
      <c r="D145" s="51"/>
      <c r="E145" s="52"/>
      <c r="G145" s="51"/>
      <c r="H145" s="52"/>
    </row>
    <row r="146" spans="1:8" x14ac:dyDescent="0.25">
      <c r="A146" s="51"/>
      <c r="B146" s="52"/>
      <c r="D146" s="51"/>
      <c r="E146" s="52"/>
      <c r="G146" s="51"/>
      <c r="H146" s="52"/>
    </row>
    <row r="147" spans="1:8" x14ac:dyDescent="0.25">
      <c r="A147" s="51"/>
      <c r="B147" s="52"/>
      <c r="D147" s="51"/>
      <c r="E147" s="52"/>
      <c r="G147" s="51"/>
      <c r="H147" s="52"/>
    </row>
    <row r="148" spans="1:8" x14ac:dyDescent="0.25">
      <c r="A148" s="51"/>
      <c r="B148" s="52"/>
      <c r="D148" s="51"/>
      <c r="E148" s="52"/>
      <c r="G148" s="51"/>
      <c r="H148" s="52"/>
    </row>
    <row r="149" spans="1:8" x14ac:dyDescent="0.25">
      <c r="A149" s="51"/>
      <c r="B149" s="52"/>
      <c r="D149" s="51"/>
      <c r="E149" s="52"/>
      <c r="G149" s="51"/>
      <c r="H149" s="52"/>
    </row>
    <row r="150" spans="1:8" x14ac:dyDescent="0.25">
      <c r="A150" s="51"/>
      <c r="B150" s="52"/>
      <c r="D150" s="51"/>
      <c r="E150" s="52"/>
      <c r="G150" s="51"/>
      <c r="H150" s="52"/>
    </row>
    <row r="151" spans="1:8" x14ac:dyDescent="0.25">
      <c r="A151" s="51"/>
      <c r="B151" s="52"/>
      <c r="D151" s="51"/>
      <c r="E151" s="52"/>
      <c r="G151" s="51"/>
      <c r="H151" s="52"/>
    </row>
    <row r="152" spans="1:8" x14ac:dyDescent="0.25">
      <c r="A152" s="51"/>
      <c r="B152" s="52"/>
      <c r="D152" s="51"/>
      <c r="E152" s="52"/>
      <c r="G152" s="51"/>
      <c r="H152" s="52"/>
    </row>
    <row r="153" spans="1:8" x14ac:dyDescent="0.25">
      <c r="A153" s="51"/>
      <c r="B153" s="52"/>
      <c r="D153" s="51"/>
      <c r="E153" s="52"/>
      <c r="G153" s="51"/>
      <c r="H153" s="52"/>
    </row>
    <row r="154" spans="1:8" x14ac:dyDescent="0.25">
      <c r="A154" s="51"/>
      <c r="B154" s="52"/>
      <c r="D154" s="51"/>
      <c r="E154" s="52"/>
      <c r="G154" s="51"/>
      <c r="H154" s="52"/>
    </row>
    <row r="155" spans="1:8" x14ac:dyDescent="0.25">
      <c r="A155" s="51"/>
      <c r="B155" s="52"/>
      <c r="D155" s="51"/>
      <c r="E155" s="52"/>
      <c r="G155" s="51"/>
      <c r="H155" s="52"/>
    </row>
    <row r="156" spans="1:8" x14ac:dyDescent="0.25">
      <c r="A156" s="51"/>
      <c r="B156" s="52"/>
      <c r="D156" s="51"/>
      <c r="E156" s="52"/>
      <c r="G156" s="51"/>
      <c r="H156" s="52"/>
    </row>
    <row r="157" spans="1:8" x14ac:dyDescent="0.25">
      <c r="A157" s="51"/>
      <c r="B157" s="52"/>
      <c r="D157" s="51"/>
      <c r="E157" s="52"/>
      <c r="G157" s="51"/>
      <c r="H157" s="52"/>
    </row>
    <row r="158" spans="1:8" x14ac:dyDescent="0.25">
      <c r="A158" s="51"/>
      <c r="B158" s="52"/>
      <c r="D158" s="51"/>
      <c r="E158" s="52"/>
      <c r="G158" s="51"/>
      <c r="H158" s="52"/>
    </row>
    <row r="159" spans="1:8" x14ac:dyDescent="0.25">
      <c r="A159" s="51"/>
      <c r="B159" s="52"/>
      <c r="D159" s="51"/>
      <c r="E159" s="52"/>
      <c r="G159" s="51"/>
      <c r="H159" s="52"/>
    </row>
    <row r="160" spans="1:8" x14ac:dyDescent="0.25">
      <c r="A160" s="51"/>
      <c r="B160" s="52"/>
      <c r="D160" s="51"/>
      <c r="E160" s="52"/>
      <c r="G160" s="51"/>
      <c r="H160" s="52"/>
    </row>
    <row r="161" spans="1:8" x14ac:dyDescent="0.25">
      <c r="A161" s="51"/>
      <c r="B161" s="52"/>
      <c r="D161" s="51"/>
      <c r="E161" s="52"/>
      <c r="G161" s="51"/>
      <c r="H161" s="52"/>
    </row>
    <row r="162" spans="1:8" x14ac:dyDescent="0.25">
      <c r="A162" s="51"/>
      <c r="B162" s="52"/>
      <c r="D162" s="51"/>
      <c r="E162" s="52"/>
      <c r="G162" s="51"/>
      <c r="H162" s="52"/>
    </row>
    <row r="163" spans="1:8" x14ac:dyDescent="0.25">
      <c r="A163" s="51"/>
      <c r="B163" s="52"/>
      <c r="D163" s="51"/>
      <c r="E163" s="52"/>
      <c r="G163" s="51"/>
      <c r="H163" s="52"/>
    </row>
    <row r="164" spans="1:8" x14ac:dyDescent="0.25">
      <c r="A164" s="51"/>
      <c r="B164" s="52"/>
      <c r="D164" s="51"/>
      <c r="E164" s="52"/>
      <c r="G164" s="51"/>
      <c r="H164" s="52"/>
    </row>
    <row r="165" spans="1:8" x14ac:dyDescent="0.25">
      <c r="A165" s="51"/>
      <c r="B165" s="52"/>
      <c r="D165" s="51"/>
      <c r="E165" s="52"/>
      <c r="G165" s="51"/>
      <c r="H165" s="52"/>
    </row>
    <row r="166" spans="1:8" x14ac:dyDescent="0.25">
      <c r="A166" s="51"/>
      <c r="B166" s="52"/>
      <c r="D166" s="51"/>
      <c r="E166" s="52"/>
      <c r="G166" s="51"/>
      <c r="H166" s="52"/>
    </row>
    <row r="167" spans="1:8" x14ac:dyDescent="0.25">
      <c r="A167" s="51"/>
      <c r="B167" s="52"/>
      <c r="D167" s="51"/>
      <c r="E167" s="52"/>
      <c r="G167" s="51"/>
      <c r="H167" s="52"/>
    </row>
    <row r="168" spans="1:8" x14ac:dyDescent="0.25">
      <c r="A168" s="51"/>
      <c r="B168" s="52"/>
      <c r="D168" s="51"/>
      <c r="E168" s="52"/>
      <c r="G168" s="51"/>
      <c r="H168" s="52"/>
    </row>
    <row r="169" spans="1:8" x14ac:dyDescent="0.25">
      <c r="A169" s="51"/>
      <c r="B169" s="52"/>
      <c r="D169" s="51"/>
      <c r="E169" s="52"/>
      <c r="G169" s="51"/>
      <c r="H169" s="52"/>
    </row>
    <row r="170" spans="1:8" x14ac:dyDescent="0.25">
      <c r="A170" s="51"/>
      <c r="B170" s="52"/>
      <c r="D170" s="51"/>
      <c r="E170" s="52"/>
      <c r="G170" s="51"/>
      <c r="H170" s="52"/>
    </row>
    <row r="171" spans="1:8" x14ac:dyDescent="0.25">
      <c r="A171" s="51"/>
      <c r="B171" s="52"/>
      <c r="D171" s="51"/>
      <c r="E171" s="52"/>
      <c r="G171" s="51"/>
      <c r="H171" s="52"/>
    </row>
    <row r="172" spans="1:8" x14ac:dyDescent="0.25">
      <c r="A172" s="51"/>
      <c r="B172" s="52"/>
      <c r="D172" s="51"/>
      <c r="E172" s="52"/>
      <c r="G172" s="51"/>
      <c r="H172" s="52"/>
    </row>
    <row r="173" spans="1:8" x14ac:dyDescent="0.25">
      <c r="A173" s="51"/>
      <c r="B173" s="52"/>
      <c r="D173" s="51"/>
      <c r="E173" s="52"/>
      <c r="G173" s="51"/>
      <c r="H173" s="52"/>
    </row>
    <row r="174" spans="1:8" x14ac:dyDescent="0.25">
      <c r="A174" s="51"/>
      <c r="B174" s="52"/>
      <c r="D174" s="51"/>
      <c r="E174" s="52"/>
      <c r="G174" s="51"/>
      <c r="H174" s="52"/>
    </row>
    <row r="175" spans="1:8" x14ac:dyDescent="0.25">
      <c r="A175" s="51"/>
      <c r="B175" s="52"/>
      <c r="D175" s="51"/>
      <c r="E175" s="52"/>
      <c r="G175" s="51"/>
      <c r="H175" s="52"/>
    </row>
    <row r="176" spans="1:8" x14ac:dyDescent="0.25">
      <c r="A176" s="51"/>
      <c r="B176" s="52"/>
      <c r="D176" s="51"/>
      <c r="E176" s="52"/>
      <c r="G176" s="51"/>
      <c r="H176" s="52"/>
    </row>
    <row r="177" spans="1:8" x14ac:dyDescent="0.25">
      <c r="A177" s="51"/>
      <c r="B177" s="52"/>
      <c r="D177" s="51"/>
      <c r="E177" s="52"/>
      <c r="G177" s="51"/>
      <c r="H177" s="52"/>
    </row>
    <row r="178" spans="1:8" x14ac:dyDescent="0.25">
      <c r="A178" s="51"/>
      <c r="B178" s="52"/>
      <c r="D178" s="51"/>
      <c r="E178" s="52"/>
      <c r="G178" s="51"/>
      <c r="H178" s="52"/>
    </row>
    <row r="179" spans="1:8" x14ac:dyDescent="0.25">
      <c r="A179" s="51"/>
      <c r="B179" s="52"/>
      <c r="D179" s="51"/>
      <c r="E179" s="52"/>
      <c r="G179" s="51"/>
      <c r="H179" s="52"/>
    </row>
    <row r="180" spans="1:8" x14ac:dyDescent="0.25">
      <c r="A180" s="51"/>
      <c r="B180" s="52"/>
      <c r="D180" s="51"/>
      <c r="E180" s="52"/>
      <c r="G180" s="51"/>
      <c r="H180" s="52"/>
    </row>
    <row r="181" spans="1:8" x14ac:dyDescent="0.25">
      <c r="A181" s="51"/>
      <c r="B181" s="52"/>
      <c r="D181" s="51"/>
      <c r="E181" s="52"/>
      <c r="G181" s="51"/>
      <c r="H181" s="52"/>
    </row>
    <row r="182" spans="1:8" x14ac:dyDescent="0.25">
      <c r="A182" s="51"/>
      <c r="B182" s="52"/>
      <c r="D182" s="51"/>
      <c r="E182" s="52"/>
      <c r="G182" s="51"/>
      <c r="H182" s="52"/>
    </row>
    <row r="183" spans="1:8" x14ac:dyDescent="0.25">
      <c r="A183" s="51"/>
      <c r="B183" s="52"/>
      <c r="D183" s="51"/>
      <c r="E183" s="52"/>
      <c r="G183" s="51"/>
      <c r="H183" s="52"/>
    </row>
    <row r="184" spans="1:8" x14ac:dyDescent="0.25">
      <c r="A184" s="51"/>
      <c r="B184" s="52"/>
      <c r="D184" s="51"/>
      <c r="E184" s="52"/>
      <c r="G184" s="51"/>
      <c r="H184" s="52"/>
    </row>
    <row r="185" spans="1:8" x14ac:dyDescent="0.25">
      <c r="A185" s="51"/>
      <c r="B185" s="52"/>
      <c r="D185" s="51"/>
      <c r="E185" s="52"/>
      <c r="G185" s="51"/>
      <c r="H185" s="52"/>
    </row>
    <row r="186" spans="1:8" x14ac:dyDescent="0.25">
      <c r="A186" s="51"/>
      <c r="B186" s="52"/>
      <c r="D186" s="51"/>
      <c r="E186" s="52"/>
      <c r="G186" s="51"/>
      <c r="H186" s="52"/>
    </row>
    <row r="187" spans="1:8" x14ac:dyDescent="0.25">
      <c r="A187" s="51"/>
      <c r="B187" s="52"/>
      <c r="D187" s="51"/>
      <c r="E187" s="52"/>
      <c r="G187" s="51"/>
      <c r="H187" s="52"/>
    </row>
    <row r="188" spans="1:8" x14ac:dyDescent="0.25">
      <c r="A188" s="51"/>
      <c r="B188" s="52"/>
      <c r="D188" s="51"/>
      <c r="E188" s="52"/>
      <c r="G188" s="51"/>
      <c r="H188" s="52"/>
    </row>
    <row r="189" spans="1:8" x14ac:dyDescent="0.25">
      <c r="A189" s="51"/>
      <c r="B189" s="52"/>
      <c r="D189" s="51"/>
      <c r="E189" s="52"/>
      <c r="G189" s="51"/>
      <c r="H189" s="52"/>
    </row>
    <row r="190" spans="1:8" x14ac:dyDescent="0.25">
      <c r="A190" s="51"/>
      <c r="B190" s="52"/>
      <c r="D190" s="51"/>
      <c r="E190" s="52"/>
      <c r="G190" s="51"/>
      <c r="H190" s="52"/>
    </row>
    <row r="191" spans="1:8" x14ac:dyDescent="0.25">
      <c r="A191" s="51"/>
      <c r="B191" s="52"/>
      <c r="D191" s="51"/>
      <c r="E191" s="52"/>
      <c r="G191" s="51"/>
      <c r="H191" s="52"/>
    </row>
    <row r="192" spans="1:8" x14ac:dyDescent="0.25">
      <c r="A192" s="51"/>
      <c r="B192" s="52"/>
      <c r="D192" s="51"/>
      <c r="E192" s="52"/>
      <c r="G192" s="51"/>
      <c r="H192" s="52"/>
    </row>
    <row r="193" spans="1:8" x14ac:dyDescent="0.25">
      <c r="A193" s="51"/>
      <c r="B193" s="52"/>
      <c r="D193" s="51"/>
      <c r="E193" s="52"/>
      <c r="G193" s="51"/>
      <c r="H193" s="52"/>
    </row>
    <row r="194" spans="1:8" x14ac:dyDescent="0.25">
      <c r="A194" s="51"/>
      <c r="B194" s="52"/>
      <c r="D194" s="51"/>
      <c r="E194" s="52"/>
      <c r="G194" s="51"/>
      <c r="H194" s="52"/>
    </row>
    <row r="195" spans="1:8" x14ac:dyDescent="0.25">
      <c r="A195" s="51"/>
      <c r="B195" s="52"/>
      <c r="D195" s="51"/>
      <c r="E195" s="52"/>
      <c r="G195" s="51"/>
      <c r="H195" s="52"/>
    </row>
    <row r="196" spans="1:8" x14ac:dyDescent="0.25">
      <c r="A196" s="51"/>
      <c r="B196" s="52"/>
      <c r="D196" s="51"/>
      <c r="E196" s="52"/>
      <c r="G196" s="51"/>
      <c r="H196" s="52"/>
    </row>
    <row r="197" spans="1:8" x14ac:dyDescent="0.25">
      <c r="A197" s="51"/>
      <c r="B197" s="52"/>
      <c r="D197" s="51"/>
      <c r="E197" s="52"/>
      <c r="G197" s="51"/>
      <c r="H197" s="52"/>
    </row>
    <row r="198" spans="1:8" x14ac:dyDescent="0.25">
      <c r="A198" s="51"/>
      <c r="B198" s="52"/>
      <c r="D198" s="51"/>
      <c r="E198" s="52"/>
      <c r="G198" s="51"/>
      <c r="H198" s="52"/>
    </row>
    <row r="199" spans="1:8" x14ac:dyDescent="0.25">
      <c r="A199" s="51"/>
      <c r="B199" s="52"/>
      <c r="D199" s="51"/>
      <c r="E199" s="52"/>
      <c r="G199" s="51"/>
      <c r="H199" s="52"/>
    </row>
    <row r="200" spans="1:8" x14ac:dyDescent="0.25">
      <c r="A200" s="51"/>
      <c r="B200" s="52"/>
      <c r="D200" s="51"/>
      <c r="E200" s="52"/>
      <c r="G200" s="51"/>
      <c r="H200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35BE-1F9A-46E1-994A-2372D2E4F12F}">
  <dimension ref="A1:AI569"/>
  <sheetViews>
    <sheetView zoomScale="90" zoomScaleNormal="90" workbookViewId="0">
      <selection activeCell="H3" sqref="H3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14.28515625" style="4" bestFit="1" customWidth="1"/>
    <col min="7" max="7" width="10.5703125" style="4" bestFit="1" customWidth="1"/>
    <col min="8" max="8" width="18" style="4" bestFit="1" customWidth="1"/>
    <col min="9" max="9" width="12.8554687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3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46190.625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G2" s="1" t="s">
        <v>34</v>
      </c>
      <c r="H2" s="4" t="s">
        <v>35</v>
      </c>
      <c r="I2" s="1" t="s">
        <v>36</v>
      </c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52">_xlfn._xlws.SORT(_xlfn.UNIQUE(_xlfn._xlws.FILTER(V:V, ISNUMBER(V:V))))</f>
        <v>46094.625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37</v>
      </c>
      <c r="C3" s="18" t="s">
        <v>8</v>
      </c>
      <c r="D3" s="8" t="s">
        <v>9</v>
      </c>
      <c r="F3" s="4" t="s">
        <v>38</v>
      </c>
      <c r="G3" s="1">
        <v>200</v>
      </c>
      <c r="H3" s="4">
        <f>200*B14</f>
        <v>62752</v>
      </c>
      <c r="I3" s="2">
        <f>INT(B5/H3)</f>
        <v>478</v>
      </c>
      <c r="N3" s="4"/>
      <c r="O3" s="3" cm="1">
        <f t="array" ref="O3:P55">_xll.BDH(B4, "LAST_PRICE", "01/26/2026 15:00:00", "01/26/2035 16:00:00", "BarSize=60", "BarType=T", "RecurDaily=True", "TZ=London")</f>
        <v>46094.625</v>
      </c>
      <c r="P3" s="4">
        <v>306.42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46094.625</v>
      </c>
      <c r="V3" s="3">
        <f>IF(U3&gt;$A$14,U3,"")</f>
        <v>46094.625</v>
      </c>
      <c r="W3" s="3">
        <v>46097.625</v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3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3" t="s">
        <v>39</v>
      </c>
      <c r="C4" s="24" t="s">
        <v>14</v>
      </c>
      <c r="D4" s="23" t="s">
        <v>15</v>
      </c>
      <c r="G4" s="1"/>
      <c r="I4" s="2"/>
      <c r="N4" s="4"/>
      <c r="O4" s="3">
        <v>46097.625</v>
      </c>
      <c r="P4" s="4">
        <v>306.38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46097.625</v>
      </c>
      <c r="V4" s="3">
        <f t="shared" ref="V4:V67" si="1">IF(U4&gt;$A$14,U4,"")</f>
        <v>46097.625</v>
      </c>
      <c r="W4" s="3">
        <v>46098.625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0</v>
      </c>
    </row>
    <row r="5" spans="1:32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F5"/>
      <c r="N5" s="4"/>
      <c r="O5" s="3">
        <v>46098.625</v>
      </c>
      <c r="P5" s="4">
        <v>307.76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46098.625</v>
      </c>
      <c r="V5" s="3">
        <f t="shared" si="1"/>
        <v>46098.625</v>
      </c>
      <c r="W5" s="3">
        <v>46099.625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46099.625</v>
      </c>
      <c r="P6" s="4">
        <v>307.33999999999997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46099.625</v>
      </c>
      <c r="V6" s="3">
        <f t="shared" si="1"/>
        <v>46099.625</v>
      </c>
      <c r="W6" s="3">
        <v>46100.625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8">
        <v>0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46100.625</v>
      </c>
      <c r="P7" s="4">
        <v>306.06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46100.625</v>
      </c>
      <c r="V7" s="3">
        <f t="shared" si="1"/>
        <v>46100.625</v>
      </c>
      <c r="W7" s="3">
        <v>46101.625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46101.625</v>
      </c>
      <c r="P8" s="4">
        <v>304.02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46101.625</v>
      </c>
      <c r="V8" s="3">
        <f t="shared" si="1"/>
        <v>46101.625</v>
      </c>
      <c r="W8" s="3">
        <v>46104.625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30" cm="1">
        <f t="array" ref="B9">_xll.BDP(B4,"PX_LAST")</f>
        <v>313.66000000000003</v>
      </c>
      <c r="C9" s="30" cm="1">
        <f t="array" ref="C9">_xll.BDP(C4,"PX_LAST")</f>
        <v>99.747</v>
      </c>
      <c r="D9" s="30" cm="1">
        <f t="array" ref="D9">_xll.BDP(D4,"PX_LAST")</f>
        <v>247.30670000000001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46104.625</v>
      </c>
      <c r="P9" s="4">
        <v>305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46104.625</v>
      </c>
      <c r="V9" s="3">
        <f t="shared" si="1"/>
        <v>46104.625</v>
      </c>
      <c r="W9" s="3">
        <v>46105.625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46105.625</v>
      </c>
      <c r="P10" s="4">
        <v>304.52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46105.625</v>
      </c>
      <c r="V10" s="3">
        <f t="shared" si="1"/>
        <v>46105.625</v>
      </c>
      <c r="W10" s="3">
        <v>46106.625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46106.625</v>
      </c>
      <c r="P11" s="4">
        <v>306.12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46106.625</v>
      </c>
      <c r="V11" s="3">
        <f t="shared" si="1"/>
        <v>46106.625</v>
      </c>
      <c r="W11" s="3">
        <v>46107.625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5" t="s">
        <v>24</v>
      </c>
      <c r="B12" s="53" t="s">
        <v>2</v>
      </c>
      <c r="C12" s="54"/>
      <c r="D12" s="55"/>
      <c r="E12" s="56" t="s">
        <v>3</v>
      </c>
      <c r="F12" s="57"/>
      <c r="G12" s="58"/>
      <c r="H12" s="59" t="s">
        <v>3</v>
      </c>
      <c r="I12" s="60"/>
      <c r="J12" s="60"/>
      <c r="K12" s="61"/>
      <c r="L12" s="11" t="s">
        <v>25</v>
      </c>
      <c r="M12" s="35" t="s">
        <v>26</v>
      </c>
      <c r="O12" s="3">
        <v>46107.625</v>
      </c>
      <c r="P12" s="4">
        <v>304.82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46107.625</v>
      </c>
      <c r="V12" s="3">
        <f t="shared" si="1"/>
        <v>46107.625</v>
      </c>
      <c r="W12" s="3">
        <v>46108.625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46108.625</v>
      </c>
      <c r="P13" s="4">
        <v>303.5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46108.625</v>
      </c>
      <c r="V13" s="3">
        <f t="shared" si="1"/>
        <v>46108.625</v>
      </c>
      <c r="W13" s="3">
        <v>46111.625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2" x14ac:dyDescent="0.25">
      <c r="A14" s="39">
        <v>46049.625</v>
      </c>
      <c r="B14" s="40">
        <v>313.76</v>
      </c>
      <c r="C14" s="2"/>
      <c r="D14" s="18"/>
      <c r="E14" s="40">
        <f>IF(COUNTIF($W$2:W999,A14)=1,VLOOKUP(A14,Q:R,2), IF(COUNTIF($W$2:W999,A14)=0,$C$9,""))</f>
        <v>99.747</v>
      </c>
      <c r="F14" s="1"/>
      <c r="G14" s="18"/>
      <c r="H14" s="40">
        <v>241.37200000000001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46111.625</v>
      </c>
      <c r="P14" s="4">
        <v>302.92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46111.625</v>
      </c>
      <c r="V14" s="3">
        <f t="shared" si="1"/>
        <v>46111.625</v>
      </c>
      <c r="W14" s="3">
        <v>46112.625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2" x14ac:dyDescent="0.25">
      <c r="A15" s="39">
        <f t="shared" ref="A15:A78" ca="1" si="3">IF(AND(ISBLANK(W4), A14 = $W$1),NOW(),IF(ISBLANK(W4),"",W4))</f>
        <v>46098.625</v>
      </c>
      <c r="B15" s="40">
        <f ca="1">IF(COUNTIF($W$2:W1000,A15)=1,VLOOKUP(A15,O:P,2), IF(COUNTIF($W$2:W1000,A15)=0,$B$9,""))</f>
        <v>307.76</v>
      </c>
      <c r="C15" s="2">
        <f ca="1">IF(ISERROR(B15-2),"",(B15-$B$14)*$G$3*$I$3)</f>
        <v>-573600</v>
      </c>
      <c r="D15" s="43"/>
      <c r="E15" s="40">
        <f ca="1">IF(COUNTIF($W$2:W1000,A15)=1,VLOOKUP(A15,Q:R,2), IF(COUNTIF($W$2:W1000,A15)=0,$C$9,""))</f>
        <v>99.992999999999995</v>
      </c>
      <c r="F15" s="2">
        <f ca="1">IF(ISERROR(B15-2),"",(E15-$E$14)/100*$C$5)</f>
        <v>63959.999999998727</v>
      </c>
      <c r="G15" s="43">
        <f ca="1">IF(ISERROR(B15-2),"",(INT(A15)-INT($A$14))/360*$C$6*$C$5-(INT(A15)-INT($A$14))/360*$C$7*$C$5*$E$14/100)</f>
        <v>214.88133333333826</v>
      </c>
      <c r="H15" s="40">
        <f ca="1">IF(COUNTIF($W$2:W1000,A15)=1,VLOOKUP(A15,S:T,2), IF(COUNTIF($W$2:W1000,A15)=0,$D$9,""))</f>
        <v>294.98399999999998</v>
      </c>
      <c r="I15" s="41">
        <f ca="1">IF(COUNTIF($X$2:X1000,INT(A15))=1,VLOOKUP(INT(A15),X:Y,2), IF(ISERROR(H15-2),"",I14*(1-$D$8*(H15-H14)*0.0001)))</f>
        <v>258.83109999999999</v>
      </c>
      <c r="J15" s="41">
        <f ca="1">IF(ISERROR(H15-2),"",I15)</f>
        <v>258.83109999999999</v>
      </c>
      <c r="K15" s="43">
        <f ca="1">IF(ISERROR(H15-2),"",(J15/$J$14-1)*$D$5)</f>
        <v>-378622.26512226602</v>
      </c>
      <c r="L15" s="43"/>
      <c r="M15" s="44">
        <f ca="1">IF(ISERROR(B15-2),"",C15+D15-F15-G15-K15+SUM($L$14:L15))</f>
        <v>-259152.61621106602</v>
      </c>
      <c r="O15" s="3">
        <v>46112.625</v>
      </c>
      <c r="P15" s="4">
        <v>304.16000000000003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46112.625</v>
      </c>
      <c r="V15" s="3">
        <f t="shared" si="1"/>
        <v>46112.625</v>
      </c>
      <c r="W15" s="3">
        <v>46113.625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2" x14ac:dyDescent="0.25">
      <c r="A16" s="39">
        <f t="shared" ca="1" si="3"/>
        <v>46099.625</v>
      </c>
      <c r="B16" s="40">
        <f ca="1">IF(COUNTIF($W$2:W1001,A16)=1,VLOOKUP(A16,O:P,2), IF(COUNTIF($W$2:W1001,A16)=0,$B$9,""))</f>
        <v>307.33999999999997</v>
      </c>
      <c r="C16" s="2">
        <f t="shared" ref="C16:C79" ca="1" si="4">IF(ISERROR(B16-2),"",(B16-$B$14)*$G$3*$I$3)</f>
        <v>-613752.00000000151</v>
      </c>
      <c r="D16" s="43"/>
      <c r="E16" s="40">
        <f ca="1">IF(COUNTIF($W$2:W1001,A16)=1,VLOOKUP(A16,Q:R,2), IF(COUNTIF($W$2:W1001,A16)=0,$C$9,""))</f>
        <v>99.841999999999999</v>
      </c>
      <c r="F16" s="2">
        <f t="shared" ref="F16:F79" ca="1" si="5">IF(ISERROR(B16-2),"",(E16-$E$14)/100*$C$5)</f>
        <v>24699.999999999705</v>
      </c>
      <c r="G16" s="43">
        <f t="shared" ref="G16:G79" ca="1" si="6">IF(ISERROR(B16-2),"",(INT(A16)-INT($A$14))/360*$C$6*$C$5-(INT(A16)-INT($A$14))/360*$C$7*$C$5*$E$14/100)</f>
        <v>219.26666666667734</v>
      </c>
      <c r="H16" s="40">
        <f ca="1">IF(COUNTIF($W$2:W1001,A16)=1,VLOOKUP(A16,S:T,2), IF(COUNTIF($W$2:W1001,A16)=0,$D$9,""))</f>
        <v>298.827</v>
      </c>
      <c r="I16" s="41">
        <f ca="1">IF(COUNTIF($X$2:X1001,INT(A16))=1,VLOOKUP(INT(A16),X:Y,2), IF(ISERROR(H16-2),"",I15*(1-$D$8*(H16-H15)*0.0001)))</f>
        <v>258.3931</v>
      </c>
      <c r="J16" s="41">
        <f t="shared" ref="J16:J79" ca="1" si="7">IF(ISERROR(H16-2),"",I16)</f>
        <v>258.3931</v>
      </c>
      <c r="K16" s="43">
        <f t="shared" ref="K16:K79" ca="1" si="8">IF(ISERROR(H16-2),"",(J16/$J$14-1)*$D$5)</f>
        <v>-409626.1261261254</v>
      </c>
      <c r="L16" s="43"/>
      <c r="M16" s="44">
        <f ca="1">IF(ISERROR(B16-2),"",C16+D16-F16-G16-K16+SUM($L$14:L16))</f>
        <v>-229045.14054054249</v>
      </c>
      <c r="O16" s="3">
        <v>46113.625</v>
      </c>
      <c r="P16" s="4">
        <v>306.24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46113.625</v>
      </c>
      <c r="V16" s="3">
        <f t="shared" si="1"/>
        <v>46113.625</v>
      </c>
      <c r="W16" s="3">
        <v>46114.625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46100.625</v>
      </c>
      <c r="B17" s="40">
        <f ca="1">IF(COUNTIF($W$2:W1002,A17)=1,VLOOKUP(A17,O:P,2), IF(COUNTIF($W$2:W1002,A17)=0,$B$9,""))</f>
        <v>306.06</v>
      </c>
      <c r="C17" s="2">
        <f t="shared" ca="1" si="4"/>
        <v>-736119.99999999895</v>
      </c>
      <c r="D17" s="43"/>
      <c r="E17" s="40">
        <f ca="1">IF(COUNTIF($W$2:W1002,A17)=1,VLOOKUP(A17,Q:R,2), IF(COUNTIF($W$2:W1002,A17)=0,$C$9,""))</f>
        <v>99.638999999999996</v>
      </c>
      <c r="F17" s="2">
        <f t="shared" ca="1" si="5"/>
        <v>-28080.000000001066</v>
      </c>
      <c r="G17" s="43">
        <f t="shared" ca="1" si="6"/>
        <v>223.65199999998731</v>
      </c>
      <c r="H17" s="40">
        <f ca="1">IF(COUNTIF($W$2:W1002,A17)=1,VLOOKUP(A17,S:T,2), IF(COUNTIF($W$2:W1002,A17)=0,$D$9,""))</f>
        <v>309.03899999999999</v>
      </c>
      <c r="I17" s="41">
        <f ca="1">IF(COUNTIF($X$2:X1002,INT(A17))=1,VLOOKUP(INT(A17),X:Y,2), IF(ISERROR(H17-2),"",I16*(1-$D$8*(H17-H16)*0.0001)))</f>
        <v>257.0634</v>
      </c>
      <c r="J17" s="41">
        <f t="shared" ca="1" si="7"/>
        <v>257.0634</v>
      </c>
      <c r="K17" s="43">
        <f t="shared" ca="1" si="8"/>
        <v>-503749.03474903549</v>
      </c>
      <c r="L17" s="43"/>
      <c r="M17" s="44">
        <f ca="1">IF(ISERROR(B17-2),"",C17+D17-F17-G17-K17+SUM($L$14:L17))</f>
        <v>-204514.61725096242</v>
      </c>
      <c r="O17" s="3">
        <v>46114.625</v>
      </c>
      <c r="P17" s="4">
        <v>306.5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46114.625</v>
      </c>
      <c r="V17" s="3">
        <f t="shared" si="1"/>
        <v>46114.625</v>
      </c>
      <c r="W17" s="3">
        <v>46119.625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46101.625</v>
      </c>
      <c r="B18" s="40">
        <f ca="1">IF(COUNTIF($W$2:W1003,A18)=1,VLOOKUP(A18,O:P,2), IF(COUNTIF($W$2:W1003,A18)=0,$B$9,""))</f>
        <v>304.02</v>
      </c>
      <c r="C18" s="2">
        <f t="shared" ca="1" si="4"/>
        <v>-931144.00000000081</v>
      </c>
      <c r="D18" s="43"/>
      <c r="E18" s="40">
        <f ca="1">IF(COUNTIF($W$2:W1003,A18)=1,VLOOKUP(A18,Q:R,2), IF(COUNTIF($W$2:W1003,A18)=0,$C$9,""))</f>
        <v>99.41</v>
      </c>
      <c r="F18" s="2">
        <f t="shared" ca="1" si="5"/>
        <v>-87620.000000000859</v>
      </c>
      <c r="G18" s="43">
        <f t="shared" ca="1" si="6"/>
        <v>228.03733333332639</v>
      </c>
      <c r="H18" s="40">
        <f ca="1">IF(COUNTIF($W$2:W1003,A18)=1,VLOOKUP(A18,S:T,2), IF(COUNTIF($W$2:W1003,A18)=0,$D$9,""))</f>
        <v>350.86599999999999</v>
      </c>
      <c r="I18" s="41">
        <f ca="1">IF(COUNTIF($X$2:X1003,INT(A18))=1,VLOOKUP(INT(A18),X:Y,2), IF(ISERROR(H18-2),"",I17*(1-$D$8*(H18-H17)*0.0001)))</f>
        <v>255.87119999999999</v>
      </c>
      <c r="J18" s="41">
        <f t="shared" ca="1" si="7"/>
        <v>255.87119999999999</v>
      </c>
      <c r="K18" s="43">
        <f t="shared" ca="1" si="8"/>
        <v>-588138.99613899842</v>
      </c>
      <c r="L18" s="43"/>
      <c r="M18" s="44">
        <f ca="1">IF(ISERROR(B18-2),"",C18+D18-F18-G18-K18+SUM($L$14:L18))</f>
        <v>-255613.04119433486</v>
      </c>
      <c r="O18" s="3">
        <v>46119.625</v>
      </c>
      <c r="P18" s="4">
        <v>305.86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46119.625</v>
      </c>
      <c r="V18" s="3">
        <f t="shared" si="1"/>
        <v>46119.625</v>
      </c>
      <c r="W18" s="3">
        <v>46120.625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46104.625</v>
      </c>
      <c r="B19" s="40">
        <f ca="1">IF(COUNTIF($W$2:W1004,A19)=1,VLOOKUP(A19,O:P,2), IF(COUNTIF($W$2:W1004,A19)=0,$B$9,""))</f>
        <v>305</v>
      </c>
      <c r="C19" s="2">
        <f t="shared" ca="1" si="4"/>
        <v>-837455.99999999919</v>
      </c>
      <c r="D19" s="43"/>
      <c r="E19" s="40">
        <f ca="1">IF(COUNTIF($W$2:W1004,A19)=1,VLOOKUP(A19,Q:R,2), IF(COUNTIF($W$2:W1004,A19)=0,$C$9,""))</f>
        <v>99.53</v>
      </c>
      <c r="F19" s="2">
        <f t="shared" ca="1" si="5"/>
        <v>-56419.999999999673</v>
      </c>
      <c r="G19" s="43">
        <f t="shared" ca="1" si="6"/>
        <v>241.19333333332906</v>
      </c>
      <c r="H19" s="40">
        <f ca="1">IF(COUNTIF($W$2:W1004,A19)=1,VLOOKUP(A19,S:T,2), IF(COUNTIF($W$2:W1004,A19)=0,$D$9,""))</f>
        <v>341.82299999999998</v>
      </c>
      <c r="I19" s="41">
        <f ca="1">IF(COUNTIF($X$2:X1004,INT(A19))=1,VLOOKUP(INT(A19),X:Y,2), IF(ISERROR(H19-2),"",I18*(1-$D$8*(H19-H18)*0.0001)))</f>
        <v>256.74209999999999</v>
      </c>
      <c r="J19" s="41">
        <f t="shared" ca="1" si="7"/>
        <v>256.74209999999999</v>
      </c>
      <c r="K19" s="43">
        <f t="shared" ca="1" si="8"/>
        <v>-526492.27799227962</v>
      </c>
      <c r="L19" s="43"/>
      <c r="M19" s="44">
        <f ca="1">IF(ISERROR(B19-2),"",C19+D19-F19-G19-K19+SUM($L$14:L19))</f>
        <v>-254784.91534105327</v>
      </c>
      <c r="O19" s="3">
        <v>46120.625</v>
      </c>
      <c r="P19" s="4">
        <v>309.58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46120.625</v>
      </c>
      <c r="V19" s="3">
        <f t="shared" si="1"/>
        <v>46120.625</v>
      </c>
      <c r="W19" s="3">
        <v>46122.625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46105.625</v>
      </c>
      <c r="B20" s="40">
        <f ca="1">IF(COUNTIF($W$2:W1005,A20)=1,VLOOKUP(A20,O:P,2), IF(COUNTIF($W$2:W1005,A20)=0,$B$9,""))</f>
        <v>304.52</v>
      </c>
      <c r="C20" s="2">
        <f t="shared" ca="1" si="4"/>
        <v>-883344.00000000081</v>
      </c>
      <c r="D20" s="43"/>
      <c r="E20" s="40">
        <f ca="1">IF(COUNTIF($W$2:W1005,A20)=1,VLOOKUP(A20,Q:R,2), IF(COUNTIF($W$2:W1005,A20)=0,$C$9,""))</f>
        <v>99.400999999999996</v>
      </c>
      <c r="F20" s="2">
        <f t="shared" ca="1" si="5"/>
        <v>-89960.000000000946</v>
      </c>
      <c r="G20" s="43">
        <f t="shared" ca="1" si="6"/>
        <v>245.57866666666814</v>
      </c>
      <c r="H20" s="40">
        <f ca="1">IF(COUNTIF($W$2:W1005,A20)=1,VLOOKUP(A20,S:T,2), IF(COUNTIF($W$2:W1005,A20)=0,$D$9,""))</f>
        <v>342.43400000000003</v>
      </c>
      <c r="I20" s="41">
        <f ca="1">IF(COUNTIF($X$2:X1005,INT(A20))=1,VLOOKUP(INT(A20),X:Y,2), IF(ISERROR(H20-2),"",I19*(1-$D$8*(H20-H19)*0.0001)))</f>
        <v>256.9957</v>
      </c>
      <c r="J20" s="41">
        <f t="shared" ca="1" si="7"/>
        <v>256.9957</v>
      </c>
      <c r="K20" s="43">
        <f t="shared" ca="1" si="8"/>
        <v>-508541.1840411856</v>
      </c>
      <c r="L20" s="43"/>
      <c r="M20" s="44">
        <f ca="1">IF(ISERROR(B20-2),"",C20+D20-F20-G20-K20+SUM($L$14:L20))</f>
        <v>-285088.39462548093</v>
      </c>
      <c r="O20" s="3">
        <v>46122.625</v>
      </c>
      <c r="P20" s="4">
        <v>309.45999999999998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46122.625</v>
      </c>
      <c r="V20" s="3">
        <f t="shared" si="1"/>
        <v>46122.625</v>
      </c>
      <c r="W20" s="3">
        <v>46126.625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46106.625</v>
      </c>
      <c r="B21" s="40">
        <f ca="1">IF(COUNTIF($W$2:W1006,A21)=1,VLOOKUP(A21,O:P,2), IF(COUNTIF($W$2:W1006,A21)=0,$B$9,""))</f>
        <v>306.12</v>
      </c>
      <c r="C21" s="2">
        <f t="shared" ca="1" si="4"/>
        <v>-730383.99999999872</v>
      </c>
      <c r="D21" s="43"/>
      <c r="E21" s="40">
        <f ca="1">IF(COUNTIF($W$2:W1006,A21)=1,VLOOKUP(A21,Q:R,2), IF(COUNTIF($W$2:W1006,A21)=0,$C$9,""))</f>
        <v>99.501000000000005</v>
      </c>
      <c r="F21" s="2">
        <f t="shared" ca="1" si="5"/>
        <v>-63959.999999998727</v>
      </c>
      <c r="G21" s="43">
        <f t="shared" ca="1" si="6"/>
        <v>249.96400000000722</v>
      </c>
      <c r="H21" s="40">
        <f ca="1">IF(COUNTIF($W$2:W1006,A21)=1,VLOOKUP(A21,S:T,2), IF(COUNTIF($W$2:W1006,A21)=0,$D$9,""))</f>
        <v>334.50400000000002</v>
      </c>
      <c r="I21" s="41">
        <f ca="1">IF(COUNTIF($X$2:X1006,INT(A21))=1,VLOOKUP(INT(A21),X:Y,2), IF(ISERROR(H21-2),"",I20*(1-$D$8*(H21-H20)*0.0001)))</f>
        <v>258.20859999999999</v>
      </c>
      <c r="J21" s="41">
        <f t="shared" ca="1" si="7"/>
        <v>258.20859999999999</v>
      </c>
      <c r="K21" s="43">
        <f t="shared" ca="1" si="8"/>
        <v>-422685.9716859734</v>
      </c>
      <c r="L21" s="43"/>
      <c r="M21" s="44">
        <f ca="1">IF(ISERROR(B21-2),"",C21+D21-F21-G21-K21+SUM($L$14:L21))</f>
        <v>-243987.99231402663</v>
      </c>
      <c r="O21" s="3">
        <v>46126.625</v>
      </c>
      <c r="P21" s="4">
        <v>309.89999999999998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46126.625</v>
      </c>
      <c r="V21" s="3">
        <f t="shared" si="1"/>
        <v>46126.625</v>
      </c>
      <c r="W21" s="3">
        <v>46127.625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46107.625</v>
      </c>
      <c r="B22" s="40">
        <f ca="1">IF(COUNTIF($W$2:W1007,A22)=1,VLOOKUP(A22,O:P,2), IF(COUNTIF($W$2:W1007,A22)=0,$B$9,""))</f>
        <v>304.82</v>
      </c>
      <c r="C22" s="2">
        <f t="shared" ca="1" si="4"/>
        <v>-854663.99999999977</v>
      </c>
      <c r="D22" s="43"/>
      <c r="E22" s="40">
        <f ca="1">IF(COUNTIF($W$2:W1007,A22)=1,VLOOKUP(A22,Q:R,2), IF(COUNTIF($W$2:W1007,A22)=0,$C$9,""))</f>
        <v>99.313000000000002</v>
      </c>
      <c r="F22" s="2">
        <f t="shared" ca="1" si="5"/>
        <v>-112839.99999999935</v>
      </c>
      <c r="G22" s="43">
        <f t="shared" ca="1" si="6"/>
        <v>254.34933333334629</v>
      </c>
      <c r="H22" s="40">
        <f ca="1">IF(COUNTIF($W$2:W1007,A22)=1,VLOOKUP(A22,S:T,2), IF(COUNTIF($W$2:W1007,A22)=0,$D$9,""))</f>
        <v>344.47199999999998</v>
      </c>
      <c r="I22" s="41">
        <f ca="1">IF(COUNTIF($X$2:X1007,INT(A22))=1,VLOOKUP(INT(A22),X:Y,2), IF(ISERROR(H22-2),"",I21*(1-$D$8*(H22-H21)*0.0001)))</f>
        <v>255.99350000000001</v>
      </c>
      <c r="J22" s="41">
        <f t="shared" ca="1" si="7"/>
        <v>255.99350000000001</v>
      </c>
      <c r="K22" s="43">
        <f t="shared" ca="1" si="8"/>
        <v>-579481.98198198073</v>
      </c>
      <c r="L22" s="43"/>
      <c r="M22" s="44">
        <f ca="1">IF(ISERROR(B22-2),"",C22+D22-F22-G22-K22+SUM($L$14:L22))</f>
        <v>-162596.36735135305</v>
      </c>
      <c r="O22" s="3">
        <v>46127.625</v>
      </c>
      <c r="P22" s="4">
        <v>310.42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46127.625</v>
      </c>
      <c r="V22" s="3">
        <f t="shared" si="1"/>
        <v>46127.625</v>
      </c>
      <c r="W22" s="3">
        <v>46128.625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46108.625</v>
      </c>
      <c r="B23" s="40">
        <f ca="1">IF(COUNTIF($W$2:W1008,A23)=1,VLOOKUP(A23,O:P,2), IF(COUNTIF($W$2:W1008,A23)=0,$B$9,""))</f>
        <v>303.5</v>
      </c>
      <c r="C23" s="2">
        <f t="shared" ca="1" si="4"/>
        <v>-980855.99999999919</v>
      </c>
      <c r="D23" s="43"/>
      <c r="E23" s="40">
        <f ca="1">IF(COUNTIF($W$2:W1008,A23)=1,VLOOKUP(A23,Q:R,2), IF(COUNTIF($W$2:W1008,A23)=0,$C$9,""))</f>
        <v>99.304000000000002</v>
      </c>
      <c r="F23" s="2">
        <f t="shared" ca="1" si="5"/>
        <v>-115179.99999999943</v>
      </c>
      <c r="G23" s="43">
        <f t="shared" ca="1" si="6"/>
        <v>258.73466666667082</v>
      </c>
      <c r="H23" s="40">
        <f ca="1">IF(COUNTIF($W$2:W1008,A23)=1,VLOOKUP(A23,S:T,2), IF(COUNTIF($W$2:W1008,A23)=0,$D$9,""))</f>
        <v>361.33</v>
      </c>
      <c r="I23" s="41">
        <f ca="1">IF(COUNTIF($X$2:X1008,INT(A23))=1,VLOOKUP(INT(A23),X:Y,2), IF(ISERROR(H23-2),"",I22*(1-$D$8*(H23-H22)*0.0001)))</f>
        <v>254.57159999999999</v>
      </c>
      <c r="J23" s="41">
        <f t="shared" ca="1" si="7"/>
        <v>254.57159999999999</v>
      </c>
      <c r="K23" s="43">
        <f t="shared" ca="1" si="8"/>
        <v>-680131.27413127455</v>
      </c>
      <c r="L23" s="43"/>
      <c r="M23" s="44">
        <f ca="1">IF(ISERROR(B23-2),"",C23+D23-F23-G23-K23+SUM($L$14:L23))</f>
        <v>-185803.46053539193</v>
      </c>
      <c r="O23" s="3">
        <v>46128.625</v>
      </c>
      <c r="P23" s="4">
        <v>310.64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46128.625</v>
      </c>
      <c r="V23" s="3">
        <f t="shared" si="1"/>
        <v>46128.625</v>
      </c>
      <c r="W23" s="3">
        <v>46129.625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46111.625</v>
      </c>
      <c r="B24" s="40">
        <f ca="1">IF(COUNTIF($W$2:W1009,A24)=1,VLOOKUP(A24,O:P,2), IF(COUNTIF($W$2:W1009,A24)=0,$B$9,""))</f>
        <v>302.92</v>
      </c>
      <c r="C24" s="2">
        <f t="shared" ca="1" si="4"/>
        <v>-1036303.9999999976</v>
      </c>
      <c r="D24" s="43"/>
      <c r="E24" s="40">
        <f ca="1">IF(COUNTIF($W$2:W1009,A24)=1,VLOOKUP(A24,Q:R,2), IF(COUNTIF($W$2:W1009,A24)=0,$C$9,""))</f>
        <v>99.466999999999999</v>
      </c>
      <c r="F24" s="2">
        <f t="shared" ca="1" si="5"/>
        <v>-72800.000000000291</v>
      </c>
      <c r="G24" s="43">
        <f t="shared" ca="1" si="6"/>
        <v>271.8906666666735</v>
      </c>
      <c r="H24" s="40">
        <f ca="1">IF(COUNTIF($W$2:W1009,A24)=1,VLOOKUP(A24,S:T,2), IF(COUNTIF($W$2:W1009,A24)=0,$D$9,""))</f>
        <v>364.03399999999999</v>
      </c>
      <c r="I24" s="41">
        <f ca="1">IF(COUNTIF($X$2:X1009,INT(A24))=1,VLOOKUP(INT(A24),X:Y,2), IF(ISERROR(H24-2),"",I23*(1-$D$8*(H24-H23)*0.0001)))</f>
        <v>254.6893</v>
      </c>
      <c r="J24" s="41">
        <f t="shared" ca="1" si="7"/>
        <v>254.6893</v>
      </c>
      <c r="K24" s="43">
        <f t="shared" ca="1" si="8"/>
        <v>-671799.87129987078</v>
      </c>
      <c r="L24" s="43"/>
      <c r="M24" s="44">
        <f ca="1">IF(ISERROR(B24-2),"",C24+D24-F24-G24-K24+SUM($L$14:L24))</f>
        <v>-291976.0193667931</v>
      </c>
      <c r="O24" s="3">
        <v>46129.625</v>
      </c>
      <c r="P24" s="4">
        <v>312.38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46129.625</v>
      </c>
      <c r="V24" s="3">
        <f t="shared" si="1"/>
        <v>46129.625</v>
      </c>
      <c r="W24" s="3">
        <v>46132.625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46112.625</v>
      </c>
      <c r="B25" s="40">
        <f ca="1">IF(COUNTIF($W$2:W1010,A25)=1,VLOOKUP(A25,O:P,2), IF(COUNTIF($W$2:W1010,A25)=0,$B$9,""))</f>
        <v>304.16000000000003</v>
      </c>
      <c r="C25" s="2">
        <f t="shared" ca="1" si="4"/>
        <v>-917759.99999999674</v>
      </c>
      <c r="D25" s="43"/>
      <c r="E25" s="40">
        <f ca="1">IF(COUNTIF($W$2:W1010,A25)=1,VLOOKUP(A25,Q:R,2), IF(COUNTIF($W$2:W1010,A25)=0,$C$9,""))</f>
        <v>99.444000000000003</v>
      </c>
      <c r="F25" s="2">
        <f t="shared" ca="1" si="5"/>
        <v>-78779.999999999287</v>
      </c>
      <c r="G25" s="43">
        <f t="shared" ca="1" si="6"/>
        <v>276.27599999999802</v>
      </c>
      <c r="H25" s="40">
        <f ca="1">IF(COUNTIF($W$2:W1010,A25)=1,VLOOKUP(A25,S:T,2), IF(COUNTIF($W$2:W1010,A25)=0,$D$9,""))</f>
        <v>355.63</v>
      </c>
      <c r="I25" s="41">
        <f ca="1">IF(COUNTIF($X$2:X1010,INT(A25))=1,VLOOKUP(INT(A25),X:Y,2), IF(ISERROR(H25-2),"",I24*(1-$D$8*(H25-H24)*0.0001)))</f>
        <v>255.8124</v>
      </c>
      <c r="J25" s="41">
        <f t="shared" ca="1" si="7"/>
        <v>255.8124</v>
      </c>
      <c r="K25" s="43">
        <f t="shared" ca="1" si="8"/>
        <v>-592301.15830115799</v>
      </c>
      <c r="L25" s="43"/>
      <c r="M25" s="44">
        <f ca="1">IF(ISERROR(B25-2),"",C25+D25-F25-G25-K25+SUM($L$14:L25))</f>
        <v>-246955.1176988394</v>
      </c>
      <c r="O25" s="3">
        <v>46132.625</v>
      </c>
      <c r="P25" s="4">
        <v>311.66000000000003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46132.625</v>
      </c>
      <c r="V25" s="3">
        <f t="shared" si="1"/>
        <v>46132.625</v>
      </c>
      <c r="W25" s="3">
        <v>46133.625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46113.625</v>
      </c>
      <c r="B26" s="40">
        <f ca="1">IF(COUNTIF($W$2:W1011,A26)=1,VLOOKUP(A26,O:P,2), IF(COUNTIF($W$2:W1011,A26)=0,$B$9,""))</f>
        <v>306.24</v>
      </c>
      <c r="C26" s="2">
        <f t="shared" ca="1" si="4"/>
        <v>-718911.99999999825</v>
      </c>
      <c r="D26" s="43"/>
      <c r="E26" s="40">
        <f ca="1">IF(COUNTIF($W$2:W1011,A26)=1,VLOOKUP(A26,Q:R,2), IF(COUNTIF($W$2:W1011,A26)=0,$C$9,""))</f>
        <v>99.510999999999996</v>
      </c>
      <c r="F26" s="2">
        <f t="shared" ca="1" si="5"/>
        <v>-61360.000000001099</v>
      </c>
      <c r="G26" s="43">
        <f t="shared" ca="1" si="6"/>
        <v>280.6613333333371</v>
      </c>
      <c r="H26" s="40">
        <f ca="1">IF(COUNTIF($W$2:W1011,A26)=1,VLOOKUP(A26,S:T,2), IF(COUNTIF($W$2:W1011,A26)=0,$D$9,""))</f>
        <v>329.10599999999999</v>
      </c>
      <c r="I26" s="41">
        <f ca="1">IF(COUNTIF($X$2:X1011,INT(A26))=1,VLOOKUP(INT(A26),X:Y,2), IF(ISERROR(H26-2),"",I25*(1-$D$8*(H26-H25)*0.0001)))</f>
        <v>258.79109999999997</v>
      </c>
      <c r="J26" s="41">
        <f t="shared" ca="1" si="7"/>
        <v>258.79109999999997</v>
      </c>
      <c r="K26" s="43">
        <f t="shared" ca="1" si="8"/>
        <v>-381453.66795367067</v>
      </c>
      <c r="L26" s="43"/>
      <c r="M26" s="44">
        <f ca="1">IF(ISERROR(B26-2),"",C26+D26-F26-G26-K26+SUM($L$14:L26))</f>
        <v>-276378.99337965989</v>
      </c>
      <c r="O26" s="3">
        <v>46133.625</v>
      </c>
      <c r="P26" s="4">
        <v>311.39999999999998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46133.625</v>
      </c>
      <c r="V26" s="3">
        <f t="shared" si="1"/>
        <v>46133.625</v>
      </c>
      <c r="W26" s="3">
        <v>46134.625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46114.625</v>
      </c>
      <c r="B27" s="40">
        <f ca="1">IF(COUNTIF($W$2:W1012,A27)=1,VLOOKUP(A27,O:P,2), IF(COUNTIF($W$2:W1012,A27)=0,$B$9,""))</f>
        <v>306.5</v>
      </c>
      <c r="C27" s="2">
        <f t="shared" ca="1" si="4"/>
        <v>-694055.99999999919</v>
      </c>
      <c r="D27" s="43"/>
      <c r="E27" s="40">
        <f ca="1">IF(COUNTIF($W$2:W1012,A27)=1,VLOOKUP(A27,Q:R,2), IF(COUNTIF($W$2:W1012,A27)=0,$C$9,""))</f>
        <v>99.484999999999999</v>
      </c>
      <c r="F27" s="2">
        <f t="shared" ca="1" si="5"/>
        <v>-68120.000000000116</v>
      </c>
      <c r="G27" s="43">
        <f t="shared" ca="1" si="6"/>
        <v>285.04666666667617</v>
      </c>
      <c r="H27" s="40">
        <f ca="1">IF(COUNTIF($W$2:W1012,A27)=1,VLOOKUP(A27,S:T,2), IF(COUNTIF($W$2:W1012,A27)=0,$D$9,""))</f>
        <v>326.72000000000003</v>
      </c>
      <c r="I27" s="41">
        <f ca="1">IF(COUNTIF($X$2:X1012,INT(A27))=1,VLOOKUP(INT(A27),X:Y,2), IF(ISERROR(H27-2),"",I26*(1-$D$8*(H27-H26)*0.0001)))</f>
        <v>259.01429999999999</v>
      </c>
      <c r="J27" s="41">
        <f t="shared" ca="1" si="7"/>
        <v>259.01429999999999</v>
      </c>
      <c r="K27" s="43">
        <f t="shared" ca="1" si="8"/>
        <v>-365654.44015444181</v>
      </c>
      <c r="L27" s="43"/>
      <c r="M27" s="44">
        <f ca="1">IF(ISERROR(B27-2),"",C27+D27-F27-G27-K27+SUM($L$14:L27))</f>
        <v>-260566.60651222389</v>
      </c>
      <c r="O27" s="3">
        <v>46134.625</v>
      </c>
      <c r="P27" s="4">
        <v>310.62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46134.625</v>
      </c>
      <c r="V27" s="3">
        <f t="shared" si="1"/>
        <v>46134.625</v>
      </c>
      <c r="W27" s="3">
        <v>46136.625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46119.625</v>
      </c>
      <c r="B28" s="40">
        <f ca="1">IF(COUNTIF($W$2:W1013,A28)=1,VLOOKUP(A28,O:P,2), IF(COUNTIF($W$2:W1013,A28)=0,$B$9,""))</f>
        <v>305.86</v>
      </c>
      <c r="C28" s="2">
        <f t="shared" ca="1" si="4"/>
        <v>-755239.99999999779</v>
      </c>
      <c r="D28" s="43"/>
      <c r="E28" s="40">
        <f ca="1">IF(COUNTIF($W$2:W1013,A28)=1,VLOOKUP(A28,Q:R,2), IF(COUNTIF($W$2:W1013,A28)=0,$C$9,""))</f>
        <v>99.212999999999994</v>
      </c>
      <c r="F28" s="2">
        <f t="shared" ca="1" si="5"/>
        <v>-138840.00000000157</v>
      </c>
      <c r="G28" s="43">
        <f t="shared" ca="1" si="6"/>
        <v>306.9733333333279</v>
      </c>
      <c r="H28" s="40">
        <f ca="1">IF(COUNTIF($W$2:W1013,A28)=1,VLOOKUP(A28,S:T,2), IF(COUNTIF($W$2:W1013,A28)=0,$D$9,""))</f>
        <v>333.96699999999998</v>
      </c>
      <c r="I28" s="41">
        <f ca="1">IF(COUNTIF($X$2:X1013,INT(A28))=1,VLOOKUP(INT(A28),X:Y,2), IF(ISERROR(H28-2),"",I27*(1-$D$8*(H28-H27)*0.0001)))</f>
        <v>258.06200000000001</v>
      </c>
      <c r="J28" s="41">
        <f t="shared" ca="1" si="7"/>
        <v>258.06200000000001</v>
      </c>
      <c r="K28" s="43">
        <f t="shared" ca="1" si="8"/>
        <v>-433063.06306306168</v>
      </c>
      <c r="L28" s="43"/>
      <c r="M28" s="44">
        <f ca="1">IF(ISERROR(B28-2),"",C28+D28-F28-G28-K28+SUM($L$14:L28))</f>
        <v>-183643.91027026798</v>
      </c>
      <c r="O28" s="3">
        <v>46136.625</v>
      </c>
      <c r="P28" s="4">
        <v>310.48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46136.625</v>
      </c>
      <c r="V28" s="3">
        <f t="shared" si="1"/>
        <v>46136.625</v>
      </c>
      <c r="W28" s="3">
        <v>46139.625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46120.625</v>
      </c>
      <c r="B29" s="40">
        <f ca="1">IF(COUNTIF($W$2:W1014,A29)=1,VLOOKUP(A29,O:P,2), IF(COUNTIF($W$2:W1014,A29)=0,$B$9,""))</f>
        <v>309.58</v>
      </c>
      <c r="C29" s="2">
        <f t="shared" ca="1" si="4"/>
        <v>-399608.00000000064</v>
      </c>
      <c r="D29" s="43"/>
      <c r="E29" s="40">
        <f ca="1">IF(COUNTIF($W$2:W1014,A29)=1,VLOOKUP(A29,Q:R,2), IF(COUNTIF($W$2:W1014,A29)=0,$C$9,""))</f>
        <v>99.777000000000001</v>
      </c>
      <c r="F29" s="2">
        <f t="shared" ca="1" si="5"/>
        <v>7800.0000000002956</v>
      </c>
      <c r="G29" s="43">
        <f t="shared" ca="1" si="6"/>
        <v>311.35866666666698</v>
      </c>
      <c r="H29" s="40">
        <f ca="1">IF(COUNTIF($W$2:W1014,A29)=1,VLOOKUP(A29,S:T,2), IF(COUNTIF($W$2:W1014,A29)=0,$D$9,""))</f>
        <v>301.61900000000003</v>
      </c>
      <c r="I29" s="41">
        <f ca="1">IF(COUNTIF($X$2:X1014,INT(A29))=1,VLOOKUP(INT(A29),X:Y,2), IF(ISERROR(H29-2),"",I28*(1-$D$8*(H29-H28)*0.0001)))</f>
        <v>262.38350000000003</v>
      </c>
      <c r="J29" s="41">
        <f t="shared" ca="1" si="7"/>
        <v>262.38350000000003</v>
      </c>
      <c r="K29" s="43">
        <f t="shared" ca="1" si="8"/>
        <v>-127165.37966537764</v>
      </c>
      <c r="L29" s="43"/>
      <c r="M29" s="44">
        <f ca="1">IF(ISERROR(B29-2),"",C29+D29-F29-G29-K29+SUM($L$14:L29))</f>
        <v>-280553.97900128993</v>
      </c>
      <c r="O29" s="3">
        <v>46139.625</v>
      </c>
      <c r="P29" s="4">
        <v>310.7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46139.625</v>
      </c>
      <c r="V29" s="3">
        <f t="shared" si="1"/>
        <v>46139.625</v>
      </c>
      <c r="W29" s="3">
        <v>46140.625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46122.625</v>
      </c>
      <c r="B30" s="40">
        <f ca="1">IF(COUNTIF($W$2:W1015,A30)=1,VLOOKUP(A30,O:P,2), IF(COUNTIF($W$2:W1015,A30)=0,$B$9,""))</f>
        <v>309.45999999999998</v>
      </c>
      <c r="C30" s="2">
        <f t="shared" ca="1" si="4"/>
        <v>-411080.00000000111</v>
      </c>
      <c r="D30" s="43"/>
      <c r="E30" s="40">
        <f ca="1">IF(COUNTIF($W$2:W1015,A30)=1,VLOOKUP(A30,Q:R,2), IF(COUNTIF($W$2:W1015,A30)=0,$C$9,""))</f>
        <v>99.55</v>
      </c>
      <c r="F30" s="2">
        <f t="shared" ca="1" si="5"/>
        <v>-51220.000000000713</v>
      </c>
      <c r="G30" s="43">
        <f t="shared" ca="1" si="6"/>
        <v>320.12933333333058</v>
      </c>
      <c r="H30" s="40">
        <f ca="1">IF(COUNTIF($W$2:W1015,A30)=1,VLOOKUP(A30,S:T,2), IF(COUNTIF($W$2:W1015,A30)=0,$D$9,""))</f>
        <v>291.34300000000002</v>
      </c>
      <c r="I30" s="41">
        <f ca="1">IF(COUNTIF($X$2:X1015,INT(A30))=1,VLOOKUP(INT(A30),X:Y,2), IF(ISERROR(H30-2),"",I29*(1-$D$8*(H30-H29)*0.0001)))</f>
        <v>263.29309999999998</v>
      </c>
      <c r="J30" s="41">
        <f t="shared" ca="1" si="7"/>
        <v>263.29309999999998</v>
      </c>
      <c r="K30" s="43">
        <f t="shared" ca="1" si="8"/>
        <v>-62779.279279281996</v>
      </c>
      <c r="L30" s="43"/>
      <c r="M30" s="44">
        <f ca="1">IF(ISERROR(B30-2),"",C30+D30-F30-G30-K30+SUM($L$14:L30))</f>
        <v>-297400.85005405173</v>
      </c>
      <c r="O30" s="3">
        <v>46140.625</v>
      </c>
      <c r="P30" s="4">
        <v>309.88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46140.625</v>
      </c>
      <c r="V30" s="3">
        <f t="shared" si="1"/>
        <v>46140.625</v>
      </c>
      <c r="W30" s="3">
        <v>46141.625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46126.625</v>
      </c>
      <c r="B31" s="40">
        <f ca="1">IF(COUNTIF($W$2:W1016,A31)=1,VLOOKUP(A31,O:P,2), IF(COUNTIF($W$2:W1016,A31)=0,$B$9,""))</f>
        <v>309.89999999999998</v>
      </c>
      <c r="C31" s="2">
        <f t="shared" ca="1" si="4"/>
        <v>-369016.00000000128</v>
      </c>
      <c r="D31" s="43"/>
      <c r="E31" s="40">
        <f ca="1">IF(COUNTIF($W$2:W1016,A31)=1,VLOOKUP(A31,Q:R,2), IF(COUNTIF($W$2:W1016,A31)=0,$C$9,""))</f>
        <v>99.619</v>
      </c>
      <c r="F31" s="2">
        <f t="shared" ca="1" si="5"/>
        <v>-33280.000000000029</v>
      </c>
      <c r="G31" s="43">
        <f t="shared" ca="1" si="6"/>
        <v>337.67066666667233</v>
      </c>
      <c r="H31" s="40">
        <f ca="1">IF(COUNTIF($W$2:W1016,A31)=1,VLOOKUP(A31,S:T,2), IF(COUNTIF($W$2:W1016,A31)=0,$D$9,""))</f>
        <v>282.697</v>
      </c>
      <c r="I31" s="41">
        <f ca="1">IF(COUNTIF($X$2:X1016,INT(A31))=1,VLOOKUP(INT(A31),X:Y,2), IF(ISERROR(H31-2),"",I30*(1-$D$8*(H31-H30)*0.0001)))</f>
        <v>264.6927</v>
      </c>
      <c r="J31" s="41">
        <f t="shared" ca="1" si="7"/>
        <v>264.6927</v>
      </c>
      <c r="K31" s="43">
        <f t="shared" ca="1" si="8"/>
        <v>36291.505791503594</v>
      </c>
      <c r="L31" s="43"/>
      <c r="M31" s="44">
        <f ca="1">IF(ISERROR(B31-2),"",C31+D31-F31-G31-K31+SUM($L$14:L31))</f>
        <v>-372365.17645817157</v>
      </c>
      <c r="O31" s="3">
        <v>46141.625</v>
      </c>
      <c r="P31" s="4">
        <v>309.58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46141.625</v>
      </c>
      <c r="V31" s="3">
        <f t="shared" si="1"/>
        <v>46141.625</v>
      </c>
      <c r="W31" s="3">
        <v>46142.625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46127.625</v>
      </c>
      <c r="B32" s="40">
        <f ca="1">IF(COUNTIF($W$2:W1017,A32)=1,VLOOKUP(A32,O:P,2), IF(COUNTIF($W$2:W1017,A32)=0,$B$9,""))</f>
        <v>310.42</v>
      </c>
      <c r="C32" s="2">
        <f t="shared" ca="1" si="4"/>
        <v>-319303.99999999761</v>
      </c>
      <c r="D32" s="43"/>
      <c r="E32" s="40">
        <f ca="1">IF(COUNTIF($W$2:W1017,A32)=1,VLOOKUP(A32,Q:R,2), IF(COUNTIF($W$2:W1017,A32)=0,$C$9,""))</f>
        <v>99.653999999999996</v>
      </c>
      <c r="F32" s="2">
        <f t="shared" ca="1" si="5"/>
        <v>-24180.000000000917</v>
      </c>
      <c r="G32" s="43">
        <f t="shared" ca="1" si="6"/>
        <v>342.05600000001141</v>
      </c>
      <c r="H32" s="40">
        <f ca="1">IF(COUNTIF($W$2:W1017,A32)=1,VLOOKUP(A32,S:T,2), IF(COUNTIF($W$2:W1017,A32)=0,$D$9,""))</f>
        <v>282.51900000000001</v>
      </c>
      <c r="I32" s="41">
        <f ca="1">IF(COUNTIF($X$2:X1017,INT(A32))=1,VLOOKUP(INT(A32),X:Y,2), IF(ISERROR(H32-2),"",I31*(1-$D$8*(H32-H31)*0.0001)))</f>
        <v>264.62900000000002</v>
      </c>
      <c r="J32" s="41">
        <f t="shared" ca="1" si="7"/>
        <v>264.62900000000002</v>
      </c>
      <c r="K32" s="43">
        <f t="shared" ca="1" si="8"/>
        <v>31782.496782496895</v>
      </c>
      <c r="L32" s="43"/>
      <c r="M32" s="44">
        <f ca="1">IF(ISERROR(B32-2),"",C32+D32-F32-G32-K32+SUM($L$14:L32))</f>
        <v>-327248.55278249364</v>
      </c>
      <c r="O32" s="3">
        <v>46142.625</v>
      </c>
      <c r="P32" s="4">
        <v>310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46142.625</v>
      </c>
      <c r="V32" s="3">
        <f t="shared" si="1"/>
        <v>46142.625</v>
      </c>
      <c r="W32" s="3">
        <v>46147.625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46128.625</v>
      </c>
      <c r="B33" s="40">
        <f ca="1">IF(COUNTIF($W$2:W1018,A33)=1,VLOOKUP(A33,O:P,2), IF(COUNTIF($W$2:W1018,A33)=0,$B$9,""))</f>
        <v>310.64</v>
      </c>
      <c r="C33" s="2">
        <f t="shared" ca="1" si="4"/>
        <v>-298272.00000000041</v>
      </c>
      <c r="D33" s="43"/>
      <c r="E33" s="40">
        <f ca="1">IF(COUNTIF($W$2:W1018,A33)=1,VLOOKUP(A33,Q:R,2), IF(COUNTIF($W$2:W1018,A33)=0,$C$9,""))</f>
        <v>99.677000000000007</v>
      </c>
      <c r="F33" s="2">
        <f t="shared" ca="1" si="5"/>
        <v>-18199.999999998228</v>
      </c>
      <c r="G33" s="43">
        <f t="shared" ca="1" si="6"/>
        <v>346.44133333332138</v>
      </c>
      <c r="H33" s="40">
        <f ca="1">IF(COUNTIF($W$2:W1018,A33)=1,VLOOKUP(A33,S:T,2), IF(COUNTIF($W$2:W1018,A33)=0,$D$9,""))</f>
        <v>286.733</v>
      </c>
      <c r="I33" s="41">
        <f ca="1">IF(COUNTIF($X$2:X1018,INT(A33))=1,VLOOKUP(INT(A33),X:Y,2), IF(ISERROR(H33-2),"",I32*(1-$D$8*(H33-H32)*0.0001)))</f>
        <v>264.24419999999998</v>
      </c>
      <c r="J33" s="41">
        <f t="shared" ca="1" si="7"/>
        <v>264.24419999999998</v>
      </c>
      <c r="K33" s="43">
        <f t="shared" ca="1" si="8"/>
        <v>4544.4015444009219</v>
      </c>
      <c r="L33" s="43"/>
      <c r="M33" s="44">
        <f ca="1">IF(ISERROR(B33-2),"",C33+D33-F33-G33-K33+SUM($L$14:L33))</f>
        <v>-284962.84287773637</v>
      </c>
      <c r="O33" s="3">
        <v>46146.625</v>
      </c>
      <c r="P33" s="4">
        <v>310.38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 t="str">
        <f t="shared" si="0"/>
        <v/>
      </c>
      <c r="V33" s="3" t="str">
        <f t="shared" si="1"/>
        <v/>
      </c>
      <c r="W33" s="3">
        <v>46148.625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46129.625</v>
      </c>
      <c r="B34" s="40">
        <f ca="1">IF(COUNTIF($W$2:W1019,A34)=1,VLOOKUP(A34,O:P,2), IF(COUNTIF($W$2:W1019,A34)=0,$B$9,""))</f>
        <v>312.38</v>
      </c>
      <c r="C34" s="2">
        <f t="shared" ca="1" si="4"/>
        <v>-131927.99999999956</v>
      </c>
      <c r="D34" s="43"/>
      <c r="E34" s="40">
        <f ca="1">IF(COUNTIF($W$2:W1019,A34)=1,VLOOKUP(A34,Q:R,2), IF(COUNTIF($W$2:W1019,A34)=0,$C$9,""))</f>
        <v>99.953999999999994</v>
      </c>
      <c r="F34" s="2">
        <f t="shared" ca="1" si="5"/>
        <v>53819.999999998348</v>
      </c>
      <c r="G34" s="43">
        <f t="shared" ca="1" si="6"/>
        <v>350.82666666668956</v>
      </c>
      <c r="H34" s="40">
        <f ca="1">IF(COUNTIF($W$2:W1019,A34)=1,VLOOKUP(A34,S:T,2), IF(COUNTIF($W$2:W1019,A34)=0,$D$9,""))</f>
        <v>275.16800000000001</v>
      </c>
      <c r="I34" s="41">
        <f ca="1">IF(COUNTIF($X$2:X1019,INT(A34))=1,VLOOKUP(INT(A34),X:Y,2), IF(ISERROR(H34-2),"",I33*(1-$D$8*(H34-H33)*0.0001)))</f>
        <v>265.60180000000003</v>
      </c>
      <c r="J34" s="41">
        <f t="shared" ca="1" si="7"/>
        <v>265.60180000000003</v>
      </c>
      <c r="K34" s="43">
        <f t="shared" ca="1" si="8"/>
        <v>100642.21364221333</v>
      </c>
      <c r="L34" s="43"/>
      <c r="M34" s="44">
        <f ca="1">IF(ISERROR(B34-2),"",C34+D34-F34-G34-K34+SUM($L$14:L34))</f>
        <v>-286741.04030887794</v>
      </c>
      <c r="O34" s="3">
        <v>46147.625</v>
      </c>
      <c r="P34" s="4">
        <v>310.38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46147.625</v>
      </c>
      <c r="V34" s="3">
        <f t="shared" si="1"/>
        <v>46147.625</v>
      </c>
      <c r="W34" s="3">
        <v>46149.625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46132.625</v>
      </c>
      <c r="B35" s="40">
        <f ca="1">IF(COUNTIF($W$2:W1020,A35)=1,VLOOKUP(A35,O:P,2), IF(COUNTIF($W$2:W1020,A35)=0,$B$9,""))</f>
        <v>311.66000000000003</v>
      </c>
      <c r="C35" s="2">
        <f t="shared" ca="1" si="4"/>
        <v>-200759.99999999674</v>
      </c>
      <c r="D35" s="43"/>
      <c r="E35" s="40">
        <f ca="1">IF(COUNTIF($W$2:W1020,A35)=1,VLOOKUP(A35,Q:R,2), IF(COUNTIF($W$2:W1020,A35)=0,$C$9,""))</f>
        <v>99.831000000000003</v>
      </c>
      <c r="F35" s="2">
        <f t="shared" ca="1" si="5"/>
        <v>21840.000000000826</v>
      </c>
      <c r="G35" s="43">
        <f t="shared" ca="1" si="6"/>
        <v>363.98266666667769</v>
      </c>
      <c r="H35" s="40">
        <f ca="1">IF(COUNTIF($W$2:W1020,A35)=1,VLOOKUP(A35,S:T,2), IF(COUNTIF($W$2:W1020,A35)=0,$D$9,""))</f>
        <v>280.36399999999998</v>
      </c>
      <c r="I35" s="41">
        <f ca="1">IF(COUNTIF($X$2:X1020,INT(A35))=1,VLOOKUP(INT(A35),X:Y,2), IF(ISERROR(H35-2),"",I34*(1-$D$8*(H35-H34)*0.0001)))</f>
        <v>265.2414</v>
      </c>
      <c r="J35" s="41">
        <f t="shared" ca="1" si="7"/>
        <v>265.2414</v>
      </c>
      <c r="K35" s="43">
        <f t="shared" ca="1" si="8"/>
        <v>75131.274131274666</v>
      </c>
      <c r="L35" s="43"/>
      <c r="M35" s="44">
        <f ca="1">IF(ISERROR(B35-2),"",C35+D35-F35-G35-K35+SUM($L$14:L35))</f>
        <v>-298095.2567979389</v>
      </c>
      <c r="O35" s="3">
        <v>46148.625</v>
      </c>
      <c r="P35" s="4">
        <v>311.94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46148.625</v>
      </c>
      <c r="V35" s="3">
        <f t="shared" si="1"/>
        <v>46148.625</v>
      </c>
      <c r="W35" s="3">
        <v>46150.625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46133.625</v>
      </c>
      <c r="B36" s="40">
        <f ca="1">IF(COUNTIF($W$2:W1021,A36)=1,VLOOKUP(A36,O:P,2), IF(COUNTIF($W$2:W1021,A36)=0,$B$9,""))</f>
        <v>311.39999999999998</v>
      </c>
      <c r="C36" s="2">
        <f t="shared" ca="1" si="4"/>
        <v>-225616.00000000131</v>
      </c>
      <c r="D36" s="43"/>
      <c r="E36" s="40">
        <f ca="1">IF(COUNTIF($W$2:W1021,A36)=1,VLOOKUP(A36,Q:R,2), IF(COUNTIF($W$2:W1021,A36)=0,$C$9,""))</f>
        <v>99.707999999999998</v>
      </c>
      <c r="F36" s="2">
        <f t="shared" ca="1" si="5"/>
        <v>-10140.000000000384</v>
      </c>
      <c r="G36" s="43">
        <f t="shared" ca="1" si="6"/>
        <v>368.36800000001676</v>
      </c>
      <c r="H36" s="40">
        <f ca="1">IF(COUNTIF($W$2:W1021,A36)=1,VLOOKUP(A36,S:T,2), IF(COUNTIF($W$2:W1021,A36)=0,$D$9,""))</f>
        <v>285.44799999999998</v>
      </c>
      <c r="I36" s="41">
        <f ca="1">IF(COUNTIF($X$2:X1021,INT(A36))=1,VLOOKUP(INT(A36),X:Y,2), IF(ISERROR(H36-2),"",I35*(1-$D$8*(H36-H35)*0.0001)))</f>
        <v>264.60359999999997</v>
      </c>
      <c r="J36" s="41">
        <f t="shared" ca="1" si="7"/>
        <v>264.60359999999997</v>
      </c>
      <c r="K36" s="43">
        <f t="shared" ca="1" si="8"/>
        <v>29984.555984555296</v>
      </c>
      <c r="L36" s="43"/>
      <c r="M36" s="44">
        <f ca="1">IF(ISERROR(B36-2),"",C36+D36-F36-G36-K36+SUM($L$14:L36))</f>
        <v>-245828.92398455626</v>
      </c>
      <c r="O36" s="3">
        <v>46149.625</v>
      </c>
      <c r="P36" s="4">
        <v>312.06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46149.625</v>
      </c>
      <c r="V36" s="3">
        <f t="shared" si="1"/>
        <v>46149.625</v>
      </c>
      <c r="W36" s="3">
        <v>46154.625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46134.625</v>
      </c>
      <c r="B37" s="40">
        <f ca="1">IF(COUNTIF($W$2:W1022,A37)=1,VLOOKUP(A37,O:P,2), IF(COUNTIF($W$2:W1022,A37)=0,$B$9,""))</f>
        <v>310.62</v>
      </c>
      <c r="C37" s="2">
        <f t="shared" ca="1" si="4"/>
        <v>-300183.99999999872</v>
      </c>
      <c r="D37" s="43"/>
      <c r="E37" s="40">
        <f ca="1">IF(COUNTIF($W$2:W1022,A37)=1,VLOOKUP(A37,Q:R,2), IF(COUNTIF($W$2:W1022,A37)=0,$C$9,""))</f>
        <v>99.655000000000001</v>
      </c>
      <c r="F37" s="2">
        <f t="shared" ca="1" si="5"/>
        <v>-23919.999999999673</v>
      </c>
      <c r="G37" s="43">
        <f t="shared" ca="1" si="6"/>
        <v>372.75333333332674</v>
      </c>
      <c r="H37" s="40">
        <f ca="1">IF(COUNTIF($W$2:W1022,A37)=1,VLOOKUP(A37,S:T,2), IF(COUNTIF($W$2:W1022,A37)=0,$D$9,""))</f>
        <v>285.53500000000003</v>
      </c>
      <c r="I37" s="41">
        <f ca="1">IF(COUNTIF($X$2:X1022,INT(A37))=1,VLOOKUP(INT(A37),X:Y,2), IF(ISERROR(H37-2),"",I36*(1-$D$8*(H37-H36)*0.0001)))</f>
        <v>264.55340000000001</v>
      </c>
      <c r="J37" s="41">
        <f t="shared" ca="1" si="7"/>
        <v>264.55340000000001</v>
      </c>
      <c r="K37" s="43">
        <f t="shared" ca="1" si="8"/>
        <v>26431.145431146819</v>
      </c>
      <c r="L37" s="43"/>
      <c r="M37" s="44">
        <f ca="1">IF(ISERROR(B37-2),"",C37+D37-F37-G37-K37+SUM($L$14:L37))</f>
        <v>-303067.89876447921</v>
      </c>
      <c r="O37" s="3">
        <v>46150.625</v>
      </c>
      <c r="P37" s="4">
        <v>312.38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46150.625</v>
      </c>
      <c r="V37" s="3">
        <f t="shared" si="1"/>
        <v>46150.625</v>
      </c>
      <c r="W37" s="3">
        <v>46155.625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46136.625</v>
      </c>
      <c r="B38" s="40">
        <f ca="1">IF(COUNTIF($W$2:W1023,A38)=1,VLOOKUP(A38,O:P,2), IF(COUNTIF($W$2:W1023,A38)=0,$B$9,""))</f>
        <v>310.48</v>
      </c>
      <c r="C38" s="2">
        <f t="shared" ca="1" si="4"/>
        <v>-313567.99999999738</v>
      </c>
      <c r="D38" s="43"/>
      <c r="E38" s="40">
        <f ca="1">IF(COUNTIF($W$2:W1023,A38)=1,VLOOKUP(A38,Q:R,2), IF(COUNTIF($W$2:W1023,A38)=0,$C$9,""))</f>
        <v>99.637</v>
      </c>
      <c r="F38" s="2">
        <f t="shared" ca="1" si="5"/>
        <v>-28599.999999999851</v>
      </c>
      <c r="G38" s="43">
        <f t="shared" ca="1" si="6"/>
        <v>381.52400000000489</v>
      </c>
      <c r="H38" s="40">
        <f ca="1">IF(COUNTIF($W$2:W1023,A38)=1,VLOOKUP(A38,S:T,2), IF(COUNTIF($W$2:W1023,A38)=0,$D$9,""))</f>
        <v>288.863</v>
      </c>
      <c r="I38" s="41">
        <f ca="1">IF(COUNTIF($X$2:X1023,INT(A38))=1,VLOOKUP(INT(A38),X:Y,2), IF(ISERROR(H38-2),"",I37*(1-$D$8*(H38-H37)*0.0001)))</f>
        <v>264.2679</v>
      </c>
      <c r="J38" s="41">
        <f t="shared" ca="1" si="7"/>
        <v>264.2679</v>
      </c>
      <c r="K38" s="43">
        <f t="shared" ca="1" si="8"/>
        <v>6222.0077220071616</v>
      </c>
      <c r="L38" s="43"/>
      <c r="M38" s="44">
        <f ca="1">IF(ISERROR(B38-2),"",C38+D38-F38-G38-K38+SUM($L$14:L38))</f>
        <v>-291571.5317220047</v>
      </c>
      <c r="O38" s="3">
        <v>46154.625</v>
      </c>
      <c r="P38" s="4">
        <v>311.7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46154.625</v>
      </c>
      <c r="V38" s="3">
        <f t="shared" si="1"/>
        <v>46154.625</v>
      </c>
      <c r="W38" s="3">
        <v>46157.625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46139.625</v>
      </c>
      <c r="B39" s="40">
        <f ca="1">IF(COUNTIF($W$2:W1024,A39)=1,VLOOKUP(A39,O:P,2), IF(COUNTIF($W$2:W1024,A39)=0,$B$9,""))</f>
        <v>310.7</v>
      </c>
      <c r="C39" s="2">
        <f t="shared" ca="1" si="4"/>
        <v>-292536.00000000023</v>
      </c>
      <c r="D39" s="43"/>
      <c r="E39" s="40">
        <f ca="1">IF(COUNTIF($W$2:W1024,A39)=1,VLOOKUP(A39,Q:R,2), IF(COUNTIF($W$2:W1024,A39)=0,$C$9,""))</f>
        <v>99.608000000000004</v>
      </c>
      <c r="F39" s="2">
        <f t="shared" ca="1" si="5"/>
        <v>-36139.999999998909</v>
      </c>
      <c r="G39" s="43">
        <f t="shared" ca="1" si="6"/>
        <v>394.67999999999302</v>
      </c>
      <c r="H39" s="40">
        <f ca="1">IF(COUNTIF($W$2:W1024,A39)=1,VLOOKUP(A39,S:T,2), IF(COUNTIF($W$2:W1024,A39)=0,$D$9,""))</f>
        <v>289.209</v>
      </c>
      <c r="I39" s="41">
        <f ca="1">IF(COUNTIF($X$2:X1024,INT(A39))=1,VLOOKUP(INT(A39),X:Y,2), IF(ISERROR(H39-2),"",I38*(1-$D$8*(H39-H38)*0.0001)))</f>
        <v>264.16750000000002</v>
      </c>
      <c r="J39" s="41">
        <f t="shared" ca="1" si="7"/>
        <v>264.16750000000002</v>
      </c>
      <c r="K39" s="43">
        <f t="shared" ca="1" si="8"/>
        <v>-884.81338481186663</v>
      </c>
      <c r="L39" s="43"/>
      <c r="M39" s="44">
        <f ca="1">IF(ISERROR(B39-2),"",C39+D39-F39-G39-K39+SUM($L$14:L39))</f>
        <v>-255905.86661518947</v>
      </c>
      <c r="O39" s="3">
        <v>46155.625</v>
      </c>
      <c r="P39" s="4">
        <v>311.88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46155.625</v>
      </c>
      <c r="V39" s="3">
        <f t="shared" si="1"/>
        <v>46155.625</v>
      </c>
      <c r="W39" s="3">
        <v>46161.625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46140.625</v>
      </c>
      <c r="B40" s="40">
        <f ca="1">IF(COUNTIF($W$2:W1025,A40)=1,VLOOKUP(A40,O:P,2), IF(COUNTIF($W$2:W1025,A40)=0,$B$9,""))</f>
        <v>309.88</v>
      </c>
      <c r="C40" s="2">
        <f t="shared" ca="1" si="4"/>
        <v>-370927.99999999959</v>
      </c>
      <c r="D40" s="43"/>
      <c r="E40" s="40">
        <f ca="1">IF(COUNTIF($W$2:W1025,A40)=1,VLOOKUP(A40,Q:R,2), IF(COUNTIF($W$2:W1025,A40)=0,$C$9,""))</f>
        <v>99.456000000000003</v>
      </c>
      <c r="F40" s="2">
        <f t="shared" ca="1" si="5"/>
        <v>-75659.999999999171</v>
      </c>
      <c r="G40" s="43">
        <f t="shared" ca="1" si="6"/>
        <v>399.06533333333209</v>
      </c>
      <c r="H40" s="40">
        <f ca="1">IF(COUNTIF($W$2:W1025,A40)=1,VLOOKUP(A40,S:T,2), IF(COUNTIF($W$2:W1025,A40)=0,$D$9,""))</f>
        <v>291.65699999999998</v>
      </c>
      <c r="I40" s="41">
        <f ca="1">IF(COUNTIF($X$2:X1025,INT(A40))=1,VLOOKUP(INT(A40),X:Y,2), IF(ISERROR(H40-2),"",I39*(1-$D$8*(H40-H39)*0.0001)))</f>
        <v>263.87139999999999</v>
      </c>
      <c r="J40" s="41">
        <f t="shared" ca="1" si="7"/>
        <v>263.87139999999999</v>
      </c>
      <c r="K40" s="43">
        <f t="shared" ca="1" si="8"/>
        <v>-21844.272844273248</v>
      </c>
      <c r="L40" s="43"/>
      <c r="M40" s="44">
        <f ca="1">IF(ISERROR(B40-2),"",C40+D40-F40-G40-K40+SUM($L$14:L40))</f>
        <v>-273822.79248906049</v>
      </c>
      <c r="O40" s="3">
        <v>46157.625</v>
      </c>
      <c r="P40" s="4">
        <v>311.48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46157.625</v>
      </c>
      <c r="V40" s="3">
        <f t="shared" si="1"/>
        <v>46157.625</v>
      </c>
      <c r="W40" s="3">
        <v>46162.625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46141.625</v>
      </c>
      <c r="B41" s="40">
        <f ca="1">IF(COUNTIF($W$2:W1026,A41)=1,VLOOKUP(A41,O:P,2), IF(COUNTIF($W$2:W1026,A41)=0,$B$9,""))</f>
        <v>309.58</v>
      </c>
      <c r="C41" s="2">
        <f t="shared" ca="1" si="4"/>
        <v>-399608.00000000064</v>
      </c>
      <c r="D41" s="43"/>
      <c r="E41" s="40">
        <f ca="1">IF(COUNTIF($W$2:W1026,A41)=1,VLOOKUP(A41,Q:R,2), IF(COUNTIF($W$2:W1026,A41)=0,$C$9,""))</f>
        <v>99.296000000000006</v>
      </c>
      <c r="F41" s="2">
        <f t="shared" ca="1" si="5"/>
        <v>-117259.99999999828</v>
      </c>
      <c r="G41" s="43">
        <f t="shared" ca="1" si="6"/>
        <v>403.45066666667117</v>
      </c>
      <c r="H41" s="40">
        <f ca="1">IF(COUNTIF($W$2:W1026,A41)=1,VLOOKUP(A41,S:T,2), IF(COUNTIF($W$2:W1026,A41)=0,$D$9,""))</f>
        <v>294.57900000000001</v>
      </c>
      <c r="I41" s="41">
        <f ca="1">IF(COUNTIF($X$2:X1026,INT(A41))=1,VLOOKUP(INT(A41),X:Y,2), IF(ISERROR(H41-2),"",I40*(1-$D$8*(H41-H40)*0.0001)))</f>
        <v>263.29599999999999</v>
      </c>
      <c r="J41" s="41">
        <f t="shared" ca="1" si="7"/>
        <v>263.29599999999999</v>
      </c>
      <c r="K41" s="43">
        <f t="shared" ca="1" si="8"/>
        <v>-62574.002574003418</v>
      </c>
      <c r="L41" s="43"/>
      <c r="M41" s="44">
        <f ca="1">IF(ISERROR(B41-2),"",C41+D41-F41-G41-K41+SUM($L$14:L41))</f>
        <v>-220177.44809266558</v>
      </c>
      <c r="O41" s="3">
        <v>46161.625</v>
      </c>
      <c r="P41" s="4">
        <v>311.22000000000003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46161.625</v>
      </c>
      <c r="V41" s="3">
        <f t="shared" si="1"/>
        <v>46161.625</v>
      </c>
      <c r="W41" s="3">
        <v>46163.625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46142.625</v>
      </c>
      <c r="B42" s="40">
        <f ca="1">IF(COUNTIF($W$2:W1027,A42)=1,VLOOKUP(A42,O:P,2), IF(COUNTIF($W$2:W1027,A42)=0,$B$9,""))</f>
        <v>310</v>
      </c>
      <c r="C42" s="2">
        <f t="shared" ca="1" si="4"/>
        <v>-359455.99999999913</v>
      </c>
      <c r="D42" s="43"/>
      <c r="E42" s="40">
        <f ca="1">IF(COUNTIF($W$2:W1027,A42)=1,VLOOKUP(A42,Q:R,2), IF(COUNTIF($W$2:W1027,A42)=0,$C$9,""))</f>
        <v>99.435000000000002</v>
      </c>
      <c r="F42" s="2">
        <f t="shared" ca="1" si="5"/>
        <v>-81119.999999999374</v>
      </c>
      <c r="G42" s="43">
        <f t="shared" ca="1" si="6"/>
        <v>407.83600000001024</v>
      </c>
      <c r="H42" s="40">
        <f ca="1">IF(COUNTIF($W$2:W1027,A42)=1,VLOOKUP(A42,S:T,2), IF(COUNTIF($W$2:W1027,A42)=0,$D$9,""))</f>
        <v>292.42099999999999</v>
      </c>
      <c r="I42" s="41">
        <f ca="1">IF(COUNTIF($X$2:X1027,INT(A42))=1,VLOOKUP(INT(A42),X:Y,2), IF(ISERROR(H42-2),"",I41*(1-$D$8*(H42-H41)*0.0001)))</f>
        <v>263.72019999999998</v>
      </c>
      <c r="J42" s="41">
        <f t="shared" ca="1" si="7"/>
        <v>263.72019999999998</v>
      </c>
      <c r="K42" s="43">
        <f t="shared" ca="1" si="8"/>
        <v>-32546.975546977552</v>
      </c>
      <c r="L42" s="43"/>
      <c r="M42" s="44">
        <f ca="1">IF(ISERROR(B42-2),"",C42+D42-F42-G42-K42+SUM($L$14:L42))</f>
        <v>-246196.86045302224</v>
      </c>
      <c r="O42" s="3">
        <v>46162.625</v>
      </c>
      <c r="P42" s="4">
        <v>311.52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46162.625</v>
      </c>
      <c r="V42" s="3">
        <f t="shared" si="1"/>
        <v>46162.625</v>
      </c>
      <c r="W42" s="3">
        <v>46168.625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46147.625</v>
      </c>
      <c r="B43" s="40">
        <f ca="1">IF(COUNTIF($W$2:W1028,A43)=1,VLOOKUP(A43,O:P,2), IF(COUNTIF($W$2:W1028,A43)=0,$B$9,""))</f>
        <v>310.38</v>
      </c>
      <c r="C43" s="2">
        <f t="shared" ca="1" si="4"/>
        <v>-323127.99999999959</v>
      </c>
      <c r="D43" s="43"/>
      <c r="E43" s="40">
        <f ca="1">IF(COUNTIF($W$2:W1028,A43)=1,VLOOKUP(A43,Q:R,2), IF(COUNTIF($W$2:W1028,A43)=0,$C$9,""))</f>
        <v>99.343000000000004</v>
      </c>
      <c r="F43" s="2">
        <f t="shared" ca="1" si="5"/>
        <v>-105039.99999999905</v>
      </c>
      <c r="G43" s="43">
        <f t="shared" ca="1" si="6"/>
        <v>429.76266666667652</v>
      </c>
      <c r="H43" s="40">
        <f ca="1">IF(COUNTIF($W$2:W1028,A43)=1,VLOOKUP(A43,S:T,2), IF(COUNTIF($W$2:W1028,A43)=0,$D$9,""))</f>
        <v>287.88900000000001</v>
      </c>
      <c r="I43" s="41">
        <f ca="1">IF(COUNTIF($X$2:X1028,INT(A43))=1,VLOOKUP(INT(A43),X:Y,2), IF(ISERROR(H43-2),"",I42*(1-$D$8*(H43-H42)*0.0001)))</f>
        <v>264.5573</v>
      </c>
      <c r="J43" s="41">
        <f t="shared" ca="1" si="7"/>
        <v>264.5573</v>
      </c>
      <c r="K43" s="43">
        <f t="shared" ca="1" si="8"/>
        <v>26707.207207207604</v>
      </c>
      <c r="L43" s="43"/>
      <c r="M43" s="44">
        <f ca="1">IF(ISERROR(B43-2),"",C43+D43-F43-G43-K43+SUM($L$14:L43))</f>
        <v>-245224.9698738748</v>
      </c>
      <c r="O43" s="3">
        <v>46163.625</v>
      </c>
      <c r="P43" s="4">
        <v>311.18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46163.625</v>
      </c>
      <c r="V43" s="3">
        <f t="shared" si="1"/>
        <v>46163.625</v>
      </c>
      <c r="W43" s="3">
        <v>46169.625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46148.625</v>
      </c>
      <c r="B44" s="40">
        <f ca="1">IF(COUNTIF($W$2:W1029,A44)=1,VLOOKUP(A44,O:P,2), IF(COUNTIF($W$2:W1029,A44)=0,$B$9,""))</f>
        <v>311.94</v>
      </c>
      <c r="C44" s="2">
        <f t="shared" ca="1" si="4"/>
        <v>-173991.99999999936</v>
      </c>
      <c r="D44" s="43"/>
      <c r="E44" s="40">
        <f ca="1">IF(COUNTIF($W$2:W1029,A44)=1,VLOOKUP(A44,Q:R,2), IF(COUNTIF($W$2:W1029,A44)=0,$C$9,""))</f>
        <v>99.63</v>
      </c>
      <c r="F44" s="2">
        <f t="shared" ca="1" si="5"/>
        <v>-30420.00000000115</v>
      </c>
      <c r="G44" s="43">
        <f t="shared" ca="1" si="6"/>
        <v>434.1479999999865</v>
      </c>
      <c r="H44" s="40">
        <f ca="1">IF(COUNTIF($W$2:W1029,A44)=1,VLOOKUP(A44,S:T,2), IF(COUNTIF($W$2:W1029,A44)=0,$D$9,""))</f>
        <v>275.09699999999998</v>
      </c>
      <c r="I44" s="41">
        <f ca="1">IF(COUNTIF($X$2:X1029,INT(A44))=1,VLOOKUP(INT(A44),X:Y,2), IF(ISERROR(H44-2),"",I43*(1-$D$8*(H44-H43)*0.0001)))</f>
        <v>266.11750000000001</v>
      </c>
      <c r="J44" s="41">
        <f t="shared" ca="1" si="7"/>
        <v>266.11750000000001</v>
      </c>
      <c r="K44" s="43">
        <f t="shared" ca="1" si="8"/>
        <v>137146.07464607395</v>
      </c>
      <c r="L44" s="43"/>
      <c r="M44" s="44">
        <f ca="1">IF(ISERROR(B44-2),"",C44+D44-F44-G44-K44+SUM($L$14:L44))</f>
        <v>-281152.22264607216</v>
      </c>
      <c r="O44" s="3">
        <v>46167.625</v>
      </c>
      <c r="P44" s="4">
        <v>313.02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 t="str">
        <f t="shared" si="0"/>
        <v/>
      </c>
      <c r="V44" s="3" t="str">
        <f t="shared" si="1"/>
        <v/>
      </c>
      <c r="W44" s="3">
        <v>46170.625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46149.625</v>
      </c>
      <c r="B45" s="40">
        <f ca="1">IF(COUNTIF($W$2:W1030,A45)=1,VLOOKUP(A45,O:P,2), IF(COUNTIF($W$2:W1030,A45)=0,$B$9,""))</f>
        <v>312.06</v>
      </c>
      <c r="C45" s="2">
        <f t="shared" ca="1" si="4"/>
        <v>-162519.99999999892</v>
      </c>
      <c r="D45" s="43"/>
      <c r="E45" s="40">
        <f ca="1">IF(COUNTIF($W$2:W1030,A45)=1,VLOOKUP(A45,Q:R,2), IF(COUNTIF($W$2:W1030,A45)=0,$C$9,""))</f>
        <v>99.650999999999996</v>
      </c>
      <c r="F45" s="2">
        <f t="shared" ca="1" si="5"/>
        <v>-24960.000000000946</v>
      </c>
      <c r="G45" s="43">
        <f t="shared" ca="1" si="6"/>
        <v>438.53333333335468</v>
      </c>
      <c r="H45" s="40">
        <f ca="1">IF(COUNTIF($W$2:W1030,A45)=1,VLOOKUP(A45,S:T,2), IF(COUNTIF($W$2:W1030,A45)=0,$D$9,""))</f>
        <v>275.04599999999999</v>
      </c>
      <c r="I45" s="41">
        <f ca="1">IF(COUNTIF($X$2:X1030,INT(A45))=1,VLOOKUP(INT(A45),X:Y,2), IF(ISERROR(H45-2),"",I44*(1-$D$8*(H45-H44)*0.0001)))</f>
        <v>265.79050000000001</v>
      </c>
      <c r="J45" s="41">
        <f t="shared" ca="1" si="7"/>
        <v>265.79050000000001</v>
      </c>
      <c r="K45" s="43">
        <f t="shared" ca="1" si="8"/>
        <v>113999.35649935532</v>
      </c>
      <c r="L45" s="43"/>
      <c r="M45" s="44">
        <f ca="1">IF(ISERROR(B45-2),"",C45+D45-F45-G45-K45+SUM($L$14:L45))</f>
        <v>-251997.88983268663</v>
      </c>
      <c r="O45" s="3">
        <v>46168.625</v>
      </c>
      <c r="P45" s="4">
        <v>312.5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46168.625</v>
      </c>
      <c r="V45" s="3">
        <f t="shared" si="1"/>
        <v>46168.625</v>
      </c>
      <c r="W45" s="3">
        <v>46171.625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46150.625</v>
      </c>
      <c r="B46" s="40">
        <f ca="1">IF(COUNTIF($W$2:W1031,A46)=1,VLOOKUP(A46,O:P,2), IF(COUNTIF($W$2:W1031,A46)=0,$B$9,""))</f>
        <v>312.38</v>
      </c>
      <c r="C46" s="2">
        <f t="shared" ca="1" si="4"/>
        <v>-131927.99999999956</v>
      </c>
      <c r="D46" s="43"/>
      <c r="E46" s="40">
        <f ca="1">IF(COUNTIF($W$2:W1031,A46)=1,VLOOKUP(A46,Q:R,2), IF(COUNTIF($W$2:W1031,A46)=0,$C$9,""))</f>
        <v>99.58</v>
      </c>
      <c r="F46" s="2">
        <f t="shared" ca="1" si="5"/>
        <v>-43420.000000000415</v>
      </c>
      <c r="G46" s="43">
        <f t="shared" ca="1" si="6"/>
        <v>442.91866666663554</v>
      </c>
      <c r="H46" s="40">
        <f ca="1">IF(COUNTIF($W$2:W1031,A46)=1,VLOOKUP(A46,S:T,2), IF(COUNTIF($W$2:W1031,A46)=0,$D$9,""))</f>
        <v>277.74599999999998</v>
      </c>
      <c r="I46" s="41">
        <f ca="1">IF(COUNTIF($X$2:X1031,INT(A46))=1,VLOOKUP(INT(A46),X:Y,2), IF(ISERROR(H46-2),"",I45*(1-$D$8*(H46-H45)*0.0001)))</f>
        <v>265.83870000000002</v>
      </c>
      <c r="J46" s="41">
        <f t="shared" ca="1" si="7"/>
        <v>265.83870000000002</v>
      </c>
      <c r="K46" s="43">
        <f t="shared" ca="1" si="8"/>
        <v>117411.19691119937</v>
      </c>
      <c r="L46" s="43"/>
      <c r="M46" s="44">
        <f ca="1">IF(ISERROR(B46-2),"",C46+D46-F46-G46-K46+SUM($L$14:L46))</f>
        <v>-206362.11557786516</v>
      </c>
      <c r="O46" s="3">
        <v>46169.625</v>
      </c>
      <c r="P46" s="4">
        <v>312.83999999999997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46169.625</v>
      </c>
      <c r="V46" s="3">
        <f t="shared" si="1"/>
        <v>46169.625</v>
      </c>
      <c r="W46" s="3">
        <v>46174.625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46154.625</v>
      </c>
      <c r="B47" s="40">
        <f ca="1">IF(COUNTIF($W$2:W1032,A47)=1,VLOOKUP(A47,O:P,2), IF(COUNTIF($W$2:W1032,A47)=0,$B$9,""))</f>
        <v>311.7</v>
      </c>
      <c r="C47" s="2">
        <f t="shared" ca="1" si="4"/>
        <v>-196936.0000000002</v>
      </c>
      <c r="D47" s="43"/>
      <c r="E47" s="40">
        <f ca="1">IF(COUNTIF($W$2:W1032,A47)=1,VLOOKUP(A47,Q:R,2), IF(COUNTIF($W$2:W1032,A47)=0,$C$9,""))</f>
        <v>99.322999999999993</v>
      </c>
      <c r="F47" s="2">
        <f t="shared" ca="1" si="5"/>
        <v>-110240.00000000172</v>
      </c>
      <c r="G47" s="43">
        <f t="shared" ca="1" si="6"/>
        <v>460.45999999999185</v>
      </c>
      <c r="H47" s="40">
        <f ca="1">IF(COUNTIF($W$2:W1032,A47)=1,VLOOKUP(A47,S:T,2), IF(COUNTIF($W$2:W1032,A47)=0,$D$9,""))</f>
        <v>283.721</v>
      </c>
      <c r="I47" s="41">
        <f ca="1">IF(COUNTIF($X$2:X1032,INT(A47))=1,VLOOKUP(INT(A47),X:Y,2), IF(ISERROR(H47-2),"",I46*(1-$D$8*(H47-H46)*0.0001)))</f>
        <v>265.19240000000002</v>
      </c>
      <c r="J47" s="41">
        <f t="shared" ca="1" si="7"/>
        <v>265.19240000000002</v>
      </c>
      <c r="K47" s="43">
        <f t="shared" ca="1" si="8"/>
        <v>71662.805662807339</v>
      </c>
      <c r="L47" s="43"/>
      <c r="M47" s="44">
        <f ca="1">IF(ISERROR(B47-2),"",C47+D47-F47-G47-K47+SUM($L$14:L47))</f>
        <v>-158819.26566280582</v>
      </c>
      <c r="O47" s="3">
        <v>46170.625</v>
      </c>
      <c r="P47" s="4">
        <v>312.7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46170.625</v>
      </c>
      <c r="V47" s="3">
        <f t="shared" si="1"/>
        <v>46170.625</v>
      </c>
      <c r="W47" s="3">
        <v>46176.625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46155.625</v>
      </c>
      <c r="B48" s="40">
        <f ca="1">IF(COUNTIF($W$2:W1033,A48)=1,VLOOKUP(A48,O:P,2), IF(COUNTIF($W$2:W1033,A48)=0,$B$9,""))</f>
        <v>311.88</v>
      </c>
      <c r="C48" s="2">
        <f t="shared" ca="1" si="4"/>
        <v>-179727.99999999956</v>
      </c>
      <c r="D48" s="43"/>
      <c r="E48" s="40">
        <f ca="1">IF(COUNTIF($W$2:W1033,A48)=1,VLOOKUP(A48,Q:R,2), IF(COUNTIF($W$2:W1033,A48)=0,$C$9,""))</f>
        <v>99.292000000000002</v>
      </c>
      <c r="F48" s="2">
        <f t="shared" ca="1" si="5"/>
        <v>-118299.99999999955</v>
      </c>
      <c r="G48" s="43">
        <f t="shared" ca="1" si="6"/>
        <v>464.84533333333093</v>
      </c>
      <c r="H48" s="40">
        <f ca="1">IF(COUNTIF($W$2:W1033,A48)=1,VLOOKUP(A48,S:T,2), IF(COUNTIF($W$2:W1033,A48)=0,$D$9,""))</f>
        <v>280.03899999999999</v>
      </c>
      <c r="I48" s="41">
        <f ca="1">IF(COUNTIF($X$2:X1033,INT(A48))=1,VLOOKUP(INT(A48),X:Y,2), IF(ISERROR(H48-2),"",I47*(1-$D$8*(H48-H47)*0.0001)))</f>
        <v>265.76659999999998</v>
      </c>
      <c r="J48" s="41">
        <f t="shared" ca="1" si="7"/>
        <v>265.76659999999998</v>
      </c>
      <c r="K48" s="43">
        <f t="shared" ca="1" si="8"/>
        <v>112307.59330759221</v>
      </c>
      <c r="L48" s="43"/>
      <c r="M48" s="44">
        <f ca="1">IF(ISERROR(B48-2),"",C48+D48-F48-G48-K48+SUM($L$14:L48))</f>
        <v>-174200.43864092557</v>
      </c>
      <c r="O48" s="3">
        <v>46171.625</v>
      </c>
      <c r="P48" s="4">
        <v>313.77999999999997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46171.625</v>
      </c>
      <c r="V48" s="3">
        <f t="shared" si="1"/>
        <v>46171.625</v>
      </c>
      <c r="W48" s="3">
        <v>46177.625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5" x14ac:dyDescent="0.25">
      <c r="A49" s="39">
        <f t="shared" ca="1" si="3"/>
        <v>46157.625</v>
      </c>
      <c r="B49" s="40">
        <f ca="1">IF(COUNTIF($W$2:W1034,A49)=1,VLOOKUP(A49,O:P,2), IF(COUNTIF($W$2:W1034,A49)=0,$B$9,""))</f>
        <v>311.48</v>
      </c>
      <c r="C49" s="2">
        <f t="shared" ca="1" si="4"/>
        <v>-217967.99999999738</v>
      </c>
      <c r="D49" s="43"/>
      <c r="E49" s="40">
        <f ca="1">IF(COUNTIF($W$2:W1034,A49)=1,VLOOKUP(A49,Q:R,2), IF(COUNTIF($W$2:W1034,A49)=0,$C$9,""))</f>
        <v>99.259</v>
      </c>
      <c r="F49" s="2">
        <f t="shared" ca="1" si="5"/>
        <v>-126879.99999999988</v>
      </c>
      <c r="G49" s="43">
        <f t="shared" ca="1" si="6"/>
        <v>473.61600000000908</v>
      </c>
      <c r="H49" s="40">
        <f ca="1">IF(COUNTIF($W$2:W1034,A49)=1,VLOOKUP(A49,S:T,2), IF(COUNTIF($W$2:W1034,A49)=0,$D$9,""))</f>
        <v>280.37200000000001</v>
      </c>
      <c r="I49" s="41">
        <f ca="1">IF(COUNTIF($X$2:X1034,INT(A49))=1,VLOOKUP(INT(A49),X:Y,2), IF(ISERROR(H49-2),"",I48*(1-$D$8*(H49-H48)*0.0001)))</f>
        <v>265.51639999999998</v>
      </c>
      <c r="J49" s="41">
        <f t="shared" ca="1" si="7"/>
        <v>265.51639999999998</v>
      </c>
      <c r="K49" s="43">
        <f t="shared" ca="1" si="8"/>
        <v>94597.168597164811</v>
      </c>
      <c r="L49" s="43"/>
      <c r="M49" s="44">
        <f ca="1">IF(ISERROR(B49-2),"",C49+D49-F49-G49-K49+SUM($L$14:L49))</f>
        <v>-186158.78459716233</v>
      </c>
      <c r="O49" s="3">
        <v>46174.625</v>
      </c>
      <c r="P49" s="4">
        <v>312.83999999999997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46174.625</v>
      </c>
      <c r="V49" s="3">
        <f t="shared" si="1"/>
        <v>46174.625</v>
      </c>
      <c r="W49" s="3">
        <v>46182.625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5" x14ac:dyDescent="0.25">
      <c r="A50" s="39">
        <f t="shared" ca="1" si="3"/>
        <v>46161.625</v>
      </c>
      <c r="B50" s="40">
        <f ca="1">IF(COUNTIF($W$2:W1035,A50)=1,VLOOKUP(A50,O:P,2), IF(COUNTIF($W$2:W1035,A50)=0,$B$9,""))</f>
        <v>311.22000000000003</v>
      </c>
      <c r="C50" s="2">
        <f t="shared" ca="1" si="4"/>
        <v>-242823.99999999651</v>
      </c>
      <c r="D50" s="43"/>
      <c r="E50" s="40">
        <f ca="1">IF(COUNTIF($W$2:W1035,A50)=1,VLOOKUP(A50,Q:R,2), IF(COUNTIF($W$2:W1035,A50)=0,$C$9,""))</f>
        <v>99.180999999999997</v>
      </c>
      <c r="F50" s="2">
        <f t="shared" ca="1" si="5"/>
        <v>-147160.00000000067</v>
      </c>
      <c r="G50" s="43">
        <f t="shared" ca="1" si="6"/>
        <v>491.15733333333628</v>
      </c>
      <c r="H50" s="40">
        <f ca="1">IF(COUNTIF($W$2:W1035,A50)=1,VLOOKUP(A50,S:T,2), IF(COUNTIF($W$2:W1035,A50)=0,$D$9,""))</f>
        <v>285.488</v>
      </c>
      <c r="I50" s="41">
        <f ca="1">IF(COUNTIF($X$2:X1035,INT(A50))=1,VLOOKUP(INT(A50),X:Y,2), IF(ISERROR(H50-2),"",I49*(1-$D$8*(H50-H49)*0.0001)))</f>
        <v>265.08920000000001</v>
      </c>
      <c r="J50" s="41">
        <f t="shared" ca="1" si="7"/>
        <v>265.08920000000001</v>
      </c>
      <c r="K50" s="43">
        <f t="shared" ca="1" si="8"/>
        <v>64357.786357786084</v>
      </c>
      <c r="L50" s="43"/>
      <c r="M50" s="44">
        <f ca="1">IF(ISERROR(B50-2),"",C50+D50-F50-G50-K50+SUM($L$14:L50))</f>
        <v>-160512.94369111524</v>
      </c>
      <c r="O50" s="3">
        <v>46176.625</v>
      </c>
      <c r="P50" s="4">
        <v>313.08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46176.625</v>
      </c>
      <c r="V50" s="3">
        <f t="shared" si="1"/>
        <v>46176.625</v>
      </c>
      <c r="W50" s="3">
        <v>46188.625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5" x14ac:dyDescent="0.25">
      <c r="A51" s="39">
        <f t="shared" ca="1" si="3"/>
        <v>46162.625</v>
      </c>
      <c r="B51" s="40">
        <f ca="1">IF(COUNTIF($W$2:W1036,A51)=1,VLOOKUP(A51,O:P,2), IF(COUNTIF($W$2:W1036,A51)=0,$B$9,""))</f>
        <v>311.52</v>
      </c>
      <c r="C51" s="2">
        <f t="shared" ca="1" si="4"/>
        <v>-214144.00000000087</v>
      </c>
      <c r="D51" s="43"/>
      <c r="E51" s="40">
        <f ca="1">IF(COUNTIF($W$2:W1036,A51)=1,VLOOKUP(A51,Q:R,2), IF(COUNTIF($W$2:W1036,A51)=0,$C$9,""))</f>
        <v>99.39</v>
      </c>
      <c r="F51" s="2">
        <f t="shared" ca="1" si="5"/>
        <v>-92819.999999999825</v>
      </c>
      <c r="G51" s="43">
        <f t="shared" ca="1" si="6"/>
        <v>495.54266666667536</v>
      </c>
      <c r="H51" s="40">
        <f ca="1">IF(COUNTIF($W$2:W1036,A51)=1,VLOOKUP(A51,S:T,2), IF(COUNTIF($W$2:W1036,A51)=0,$D$9,""))</f>
        <v>278.315</v>
      </c>
      <c r="I51" s="41">
        <f ca="1">IF(COUNTIF($X$2:X1036,INT(A51))=1,VLOOKUP(INT(A51),X:Y,2), IF(ISERROR(H51-2),"",I50*(1-$D$8*(H51-H50)*0.0001)))</f>
        <v>266.18329999999997</v>
      </c>
      <c r="J51" s="41">
        <f t="shared" ca="1" si="7"/>
        <v>266.18329999999997</v>
      </c>
      <c r="K51" s="43">
        <f t="shared" ca="1" si="8"/>
        <v>141803.73230372972</v>
      </c>
      <c r="L51" s="43"/>
      <c r="M51" s="44">
        <f ca="1">IF(ISERROR(B51-2),"",C51+D51-F51-G51-K51+SUM($L$14:L51))</f>
        <v>-263623.27497039747</v>
      </c>
      <c r="O51" s="3">
        <v>46177.625</v>
      </c>
      <c r="P51" s="4">
        <v>313.04000000000002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46177.625</v>
      </c>
      <c r="V51" s="3">
        <f t="shared" si="1"/>
        <v>46177.625</v>
      </c>
      <c r="W51" s="3">
        <v>46189.625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5" x14ac:dyDescent="0.25">
      <c r="A52" s="39">
        <f t="shared" ca="1" si="3"/>
        <v>46163.625</v>
      </c>
      <c r="B52" s="40">
        <f ca="1">IF(COUNTIF($W$2:W1037,A52)=1,VLOOKUP(A52,O:P,2), IF(COUNTIF($W$2:W1037,A52)=0,$B$9,""))</f>
        <v>311.18</v>
      </c>
      <c r="C52" s="2">
        <f t="shared" ca="1" si="4"/>
        <v>-246647.99999999849</v>
      </c>
      <c r="D52" s="43"/>
      <c r="E52" s="40">
        <f ca="1">IF(COUNTIF($W$2:W1037,A52)=1,VLOOKUP(A52,Q:R,2), IF(COUNTIF($W$2:W1037,A52)=0,$C$9,""))</f>
        <v>99.37</v>
      </c>
      <c r="F52" s="2">
        <f t="shared" ca="1" si="5"/>
        <v>-98019.999999998792</v>
      </c>
      <c r="G52" s="43">
        <f t="shared" ca="1" si="6"/>
        <v>499.92800000001444</v>
      </c>
      <c r="H52" s="40">
        <f ca="1">IF(COUNTIF($W$2:W1037,A52)=1,VLOOKUP(A52,S:T,2), IF(COUNTIF($W$2:W1037,A52)=0,$D$9,""))</f>
        <v>279.541</v>
      </c>
      <c r="I52" s="41">
        <f ca="1">IF(COUNTIF($X$2:X1037,INT(A52))=1,VLOOKUP(INT(A52),X:Y,2), IF(ISERROR(H52-2),"",I51*(1-$D$8*(H52-H51)*0.0001)))</f>
        <v>265.81610000000001</v>
      </c>
      <c r="J52" s="41">
        <f t="shared" ca="1" si="7"/>
        <v>265.81610000000001</v>
      </c>
      <c r="K52" s="43">
        <f t="shared" ca="1" si="8"/>
        <v>115811.45431145377</v>
      </c>
      <c r="L52" s="43"/>
      <c r="M52" s="44">
        <f ca="1">IF(ISERROR(B52-2),"",C52+D52-F52-G52-K52+SUM($L$14:L52))</f>
        <v>-264939.38231145346</v>
      </c>
      <c r="O52" s="3">
        <v>46182.625</v>
      </c>
      <c r="P52" s="4">
        <v>313.3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46182.625</v>
      </c>
      <c r="V52" s="3">
        <f t="shared" si="1"/>
        <v>46182.625</v>
      </c>
      <c r="W52" s="3">
        <v>46190.625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5" x14ac:dyDescent="0.25">
      <c r="A53" s="39">
        <f t="shared" ca="1" si="3"/>
        <v>46168.625</v>
      </c>
      <c r="B53" s="40">
        <f ca="1">IF(COUNTIF($W$2:W1038,A53)=1,VLOOKUP(A53,O:P,2), IF(COUNTIF($W$2:W1038,A53)=0,$B$9,""))</f>
        <v>312.5</v>
      </c>
      <c r="C53" s="2">
        <f t="shared" ca="1" si="4"/>
        <v>-120455.99999999913</v>
      </c>
      <c r="D53" s="43"/>
      <c r="E53" s="40">
        <f ca="1">IF(COUNTIF($W$2:W1038,A53)=1,VLOOKUP(A53,Q:R,2), IF(COUNTIF($W$2:W1038,A53)=0,$C$9,""))</f>
        <v>99.56</v>
      </c>
      <c r="F53" s="2">
        <f t="shared" ca="1" si="5"/>
        <v>-48619.999999999374</v>
      </c>
      <c r="G53" s="43">
        <f t="shared" ca="1" si="6"/>
        <v>521.85466666665161</v>
      </c>
      <c r="H53" s="40">
        <f ca="1">IF(COUNTIF($W$2:W1038,A53)=1,VLOOKUP(A53,S:T,2), IF(COUNTIF($W$2:W1038,A53)=0,$D$9,""))</f>
        <v>268.83499999999998</v>
      </c>
      <c r="I53" s="41">
        <f ca="1">IF(COUNTIF($X$2:X1038,INT(A53))=1,VLOOKUP(INT(A53),X:Y,2), IF(ISERROR(H53-2),"",I52*(1-$D$8*(H53-H52)*0.0001)))</f>
        <v>267.40750000000003</v>
      </c>
      <c r="J53" s="41">
        <f t="shared" ca="1" si="7"/>
        <v>267.40750000000003</v>
      </c>
      <c r="K53" s="43">
        <f t="shared" ca="1" si="8"/>
        <v>228458.81595881886</v>
      </c>
      <c r="L53" s="43"/>
      <c r="M53" s="44">
        <f ca="1">IF(ISERROR(B53-2),"",C53+D53-F53-G53-K53+SUM($L$14:L53))</f>
        <v>-300816.67062548525</v>
      </c>
      <c r="O53" s="3">
        <v>46188.625</v>
      </c>
      <c r="P53" s="4">
        <v>314.27999999999997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46188.625</v>
      </c>
      <c r="V53" s="3">
        <f t="shared" si="1"/>
        <v>46188.625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5" x14ac:dyDescent="0.25">
      <c r="A54" s="39">
        <f t="shared" ca="1" si="3"/>
        <v>46169.625</v>
      </c>
      <c r="B54" s="40">
        <f ca="1">IF(COUNTIF($W$2:W1039,A54)=1,VLOOKUP(A54,O:P,2), IF(COUNTIF($W$2:W1039,A54)=0,$B$9,""))</f>
        <v>312.83999999999997</v>
      </c>
      <c r="C54" s="2">
        <f t="shared" ca="1" si="4"/>
        <v>-87952.000000001528</v>
      </c>
      <c r="D54" s="43"/>
      <c r="E54" s="40">
        <f ca="1">IF(COUNTIF($W$2:W1039,A54)=1,VLOOKUP(A54,Q:R,2), IF(COUNTIF($W$2:W1039,A54)=0,$C$9,""))</f>
        <v>99.588999999999999</v>
      </c>
      <c r="F54" s="2">
        <f t="shared" ca="1" si="5"/>
        <v>-41080.000000000327</v>
      </c>
      <c r="G54" s="43">
        <f t="shared" ca="1" si="6"/>
        <v>526.23999999999069</v>
      </c>
      <c r="H54" s="40">
        <f ca="1">IF(COUNTIF($W$2:W1039,A54)=1,VLOOKUP(A54,S:T,2), IF(COUNTIF($W$2:W1039,A54)=0,$D$9,""))</f>
        <v>266.55900000000003</v>
      </c>
      <c r="I54" s="41">
        <f ca="1">IF(COUNTIF($X$2:X1039,INT(A54))=1,VLOOKUP(INT(A54),X:Y,2), IF(ISERROR(H54-2),"",I53*(1-$D$8*(H54-H53)*0.0001)))</f>
        <v>267.66390000000001</v>
      </c>
      <c r="J54" s="41">
        <f t="shared" ca="1" si="7"/>
        <v>267.66390000000001</v>
      </c>
      <c r="K54" s="43">
        <f t="shared" ca="1" si="8"/>
        <v>246608.10810810883</v>
      </c>
      <c r="L54" s="43"/>
      <c r="M54" s="44">
        <f ca="1">IF(ISERROR(B54-2),"",C54+D54-F54-G54-K54+SUM($L$14:L54))</f>
        <v>-294006.34810811002</v>
      </c>
      <c r="O54" s="3">
        <v>46189.625</v>
      </c>
      <c r="P54" s="4">
        <v>314.16000000000003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46189.625</v>
      </c>
      <c r="V54" s="3">
        <f t="shared" si="1"/>
        <v>46189.625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5" x14ac:dyDescent="0.25">
      <c r="A55" s="39">
        <f t="shared" ca="1" si="3"/>
        <v>46170.625</v>
      </c>
      <c r="B55" s="40">
        <f ca="1">IF(COUNTIF($W$2:W1040,A55)=1,VLOOKUP(A55,O:P,2), IF(COUNTIF($W$2:W1040,A55)=0,$B$9,""))</f>
        <v>312.7</v>
      </c>
      <c r="C55" s="2">
        <f t="shared" ca="1" si="4"/>
        <v>-101336.00000000022</v>
      </c>
      <c r="D55" s="43"/>
      <c r="E55" s="40">
        <f ca="1">IF(COUNTIF($W$2:W1040,A55)=1,VLOOKUP(A55,Q:R,2), IF(COUNTIF($W$2:W1040,A55)=0,$C$9,""))</f>
        <v>99.653999999999996</v>
      </c>
      <c r="F55" s="2">
        <f t="shared" ca="1" si="5"/>
        <v>-24180.000000000917</v>
      </c>
      <c r="G55" s="43">
        <f t="shared" ca="1" si="6"/>
        <v>530.62533333332976</v>
      </c>
      <c r="H55" s="40">
        <f ca="1">IF(COUNTIF($W$2:W1040,A55)=1,VLOOKUP(A55,S:T,2), IF(COUNTIF($W$2:W1040,A55)=0,$D$9,""))</f>
        <v>264.23200000000003</v>
      </c>
      <c r="I55" s="41">
        <f ca="1">IF(COUNTIF($X$2:X1040,INT(A55))=1,VLOOKUP(INT(A55),X:Y,2), IF(ISERROR(H55-2),"",I54*(1-$D$8*(H55-H54)*0.0001)))</f>
        <v>268.21620000000001</v>
      </c>
      <c r="J55" s="41">
        <f t="shared" ca="1" si="7"/>
        <v>268.21620000000001</v>
      </c>
      <c r="K55" s="43">
        <f t="shared" ca="1" si="8"/>
        <v>285702.7027027033</v>
      </c>
      <c r="L55" s="43"/>
      <c r="M55" s="44">
        <f ca="1">IF(ISERROR(B55-2),"",C55+D55-F55-G55-K55+SUM($L$14:L55))</f>
        <v>-363389.32803603593</v>
      </c>
      <c r="O55" s="3">
        <v>46190.625</v>
      </c>
      <c r="P55" s="4">
        <v>313.66000000000003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46190.625</v>
      </c>
      <c r="V55" s="3">
        <f t="shared" si="1"/>
        <v>46190.625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5" x14ac:dyDescent="0.25">
      <c r="A56" s="39">
        <f t="shared" ca="1" si="3"/>
        <v>46171.625</v>
      </c>
      <c r="B56" s="40">
        <f ca="1">IF(COUNTIF($W$2:W1041,A56)=1,VLOOKUP(A56,O:P,2), IF(COUNTIF($W$2:W1041,A56)=0,$B$9,""))</f>
        <v>313.77999999999997</v>
      </c>
      <c r="C56" s="2">
        <f t="shared" ca="1" si="4"/>
        <v>1911.999999998261</v>
      </c>
      <c r="D56" s="43"/>
      <c r="E56" s="40">
        <f ca="1">IF(COUNTIF($W$2:W1041,A56)=1,VLOOKUP(A56,Q:R,2), IF(COUNTIF($W$2:W1041,A56)=0,$C$9,""))</f>
        <v>99.679000000000002</v>
      </c>
      <c r="F56" s="2">
        <f t="shared" ca="1" si="5"/>
        <v>-17679.999999999436</v>
      </c>
      <c r="G56" s="43">
        <f t="shared" ca="1" si="6"/>
        <v>535.01066666666884</v>
      </c>
      <c r="H56" s="40">
        <f ca="1">IF(COUNTIF($W$2:W1041,A56)=1,VLOOKUP(A56,S:T,2), IF(COUNTIF($W$2:W1041,A56)=0,$D$9,""))</f>
        <v>258.70600000000002</v>
      </c>
      <c r="I56" s="41">
        <f ca="1">IF(COUNTIF($X$2:X1041,INT(A56))=1,VLOOKUP(INT(A56),X:Y,2), IF(ISERROR(H56-2),"",I55*(1-$D$8*(H56-H55)*0.0001)))</f>
        <v>268.76229999999998</v>
      </c>
      <c r="J56" s="41">
        <f t="shared" ca="1" si="7"/>
        <v>268.76229999999998</v>
      </c>
      <c r="K56" s="43">
        <f t="shared" ca="1" si="8"/>
        <v>324358.42985842697</v>
      </c>
      <c r="L56" s="43"/>
      <c r="M56" s="44">
        <f ca="1">IF(ISERROR(B56-2),"",C56+D56-F56-G56-K56+SUM($L$14:L56))</f>
        <v>-305301.44052509597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 t="str">
        <f t="shared" si="0"/>
        <v/>
      </c>
      <c r="V56" s="3" t="str">
        <f t="shared" si="1"/>
        <v/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5" x14ac:dyDescent="0.25">
      <c r="A57" s="39">
        <f t="shared" ca="1" si="3"/>
        <v>46174.625</v>
      </c>
      <c r="B57" s="40">
        <f ca="1">IF(COUNTIF($W$2:W1042,A57)=1,VLOOKUP(A57,O:P,2), IF(COUNTIF($W$2:W1042,A57)=0,$B$9,""))</f>
        <v>312.83999999999997</v>
      </c>
      <c r="C57" s="2">
        <f t="shared" ca="1" si="4"/>
        <v>-87952.000000001528</v>
      </c>
      <c r="D57" s="43"/>
      <c r="E57" s="40">
        <f ca="1">IF(COUNTIF($W$2:W1042,A57)=1,VLOOKUP(A57,Q:R,2), IF(COUNTIF($W$2:W1042,A57)=0,$C$9,""))</f>
        <v>99.450999999999993</v>
      </c>
      <c r="F57" s="2">
        <f t="shared" ca="1" si="5"/>
        <v>-76960.000000001688</v>
      </c>
      <c r="G57" s="43">
        <f t="shared" ca="1" si="6"/>
        <v>548.16666666665697</v>
      </c>
      <c r="H57" s="40">
        <f ca="1">IF(COUNTIF($W$2:W1042,A57)=1,VLOOKUP(A57,S:T,2), IF(COUNTIF($W$2:W1042,A57)=0,$D$9,""))</f>
        <v>265.43599999999998</v>
      </c>
      <c r="I57" s="41">
        <f ca="1">IF(COUNTIF($X$2:X1042,INT(A57))=1,VLOOKUP(INT(A57),X:Y,2), IF(ISERROR(H57-2),"",I56*(1-$D$8*(H57-H56)*0.0001)))</f>
        <v>268.39839999999998</v>
      </c>
      <c r="J57" s="41">
        <f t="shared" ca="1" si="7"/>
        <v>268.39839999999998</v>
      </c>
      <c r="K57" s="43">
        <f t="shared" ca="1" si="8"/>
        <v>298599.74259974121</v>
      </c>
      <c r="L57" s="43"/>
      <c r="M57" s="44">
        <f ca="1">IF(ISERROR(B57-2),"",C57+D57-F57-G57-K57+SUM($L$14:L57))</f>
        <v>-310139.90926640772</v>
      </c>
      <c r="Q57" s="3">
        <v>46126.625</v>
      </c>
      <c r="R57" s="4">
        <v>99.619</v>
      </c>
      <c r="S57" s="3">
        <v>46126.625</v>
      </c>
      <c r="T57" s="4">
        <v>282.697</v>
      </c>
      <c r="U57" s="3" t="str">
        <f t="shared" si="0"/>
        <v/>
      </c>
      <c r="V57" s="3" t="str">
        <f t="shared" si="1"/>
        <v/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5" x14ac:dyDescent="0.25">
      <c r="A58" s="39">
        <f t="shared" ca="1" si="3"/>
        <v>46176.625</v>
      </c>
      <c r="B58" s="40">
        <f ca="1">IF(COUNTIF($W$2:W1043,A58)=1,VLOOKUP(A58,O:P,2), IF(COUNTIF($W$2:W1043,A58)=0,$B$9,""))</f>
        <v>313.08</v>
      </c>
      <c r="C58" s="2">
        <f t="shared" ca="1" si="4"/>
        <v>-65008.000000000655</v>
      </c>
      <c r="D58" s="43"/>
      <c r="E58" s="40">
        <f ca="1">IF(COUNTIF($W$2:W1043,A58)=1,VLOOKUP(A58,Q:R,2), IF(COUNTIF($W$2:W1043,A58)=0,$C$9,""))</f>
        <v>99.421999999999997</v>
      </c>
      <c r="F58" s="2">
        <f t="shared" ca="1" si="5"/>
        <v>-84500.000000000742</v>
      </c>
      <c r="G58" s="43">
        <f t="shared" ca="1" si="6"/>
        <v>556.93733333333512</v>
      </c>
      <c r="H58" s="40">
        <f ca="1">IF(COUNTIF($W$2:W1043,A58)=1,VLOOKUP(A58,S:T,2), IF(COUNTIF($W$2:W1043,A58)=0,$D$9,""))</f>
        <v>261.79599999999999</v>
      </c>
      <c r="I58" s="41">
        <f ca="1">IF(COUNTIF($X$2:X1043,INT(A58))=1,VLOOKUP(INT(A58),X:Y,2), IF(ISERROR(H58-2),"",I57*(1-$D$8*(H58-H57)*0.0001)))</f>
        <v>268.40789999999998</v>
      </c>
      <c r="J58" s="41">
        <f t="shared" ca="1" si="7"/>
        <v>268.40789999999998</v>
      </c>
      <c r="K58" s="43">
        <f t="shared" ca="1" si="8"/>
        <v>299272.20077219815</v>
      </c>
      <c r="L58" s="43"/>
      <c r="M58" s="44">
        <f ca="1">IF(ISERROR(B58-2),"",C58+D58-F58-G58-K58+SUM($L$14:L58))</f>
        <v>-280337.1381055314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 t="str">
        <f t="shared" si="0"/>
        <v/>
      </c>
      <c r="V58" s="3" t="str">
        <f t="shared" si="1"/>
        <v/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5" x14ac:dyDescent="0.25">
      <c r="A59" s="39">
        <f t="shared" ca="1" si="3"/>
        <v>46177.625</v>
      </c>
      <c r="B59" s="40">
        <f ca="1">IF(COUNTIF($W$2:W1044,A59)=1,VLOOKUP(A59,O:P,2), IF(COUNTIF($W$2:W1044,A59)=0,$B$9,""))</f>
        <v>313.04000000000002</v>
      </c>
      <c r="C59" s="2">
        <f t="shared" ca="1" si="4"/>
        <v>-68831.999999997177</v>
      </c>
      <c r="D59" s="43"/>
      <c r="E59" s="40">
        <f ca="1">IF(COUNTIF($W$2:W1044,A59)=1,VLOOKUP(A59,Q:R,2), IF(COUNTIF($W$2:W1044,A59)=0,$C$9,""))</f>
        <v>99.430999999999997</v>
      </c>
      <c r="F59" s="2">
        <f t="shared" ca="1" si="5"/>
        <v>-82160.000000000655</v>
      </c>
      <c r="G59" s="43">
        <f t="shared" ca="1" si="6"/>
        <v>561.32266666667419</v>
      </c>
      <c r="H59" s="40">
        <f ca="1">IF(COUNTIF($W$2:W1044,A59)=1,VLOOKUP(A59,S:T,2), IF(COUNTIF($W$2:W1044,A59)=0,$D$9,""))</f>
        <v>261.392</v>
      </c>
      <c r="I59" s="41">
        <f ca="1">IF(COUNTIF($X$2:X1044,INT(A59))=1,VLOOKUP(INT(A59),X:Y,2), IF(ISERROR(H59-2),"",I58*(1-$D$8*(H59-H58)*0.0001)))</f>
        <v>268.64510000000001</v>
      </c>
      <c r="J59" s="41">
        <f t="shared" ca="1" si="7"/>
        <v>268.64510000000001</v>
      </c>
      <c r="K59" s="43">
        <f t="shared" ca="1" si="8"/>
        <v>316062.41956242156</v>
      </c>
      <c r="L59" s="43"/>
      <c r="M59" s="44">
        <f ca="1">IF(ISERROR(B59-2),"",C59+D59-F59-G59-K59+SUM($L$14:L59))</f>
        <v>-303295.74222908478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 t="str">
        <f t="shared" si="0"/>
        <v/>
      </c>
      <c r="V59" s="3" t="str">
        <f t="shared" si="1"/>
        <v/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5" x14ac:dyDescent="0.25">
      <c r="A60" s="39">
        <f t="shared" ca="1" si="3"/>
        <v>46182.625</v>
      </c>
      <c r="B60" s="40">
        <f ca="1">IF(COUNTIF($W$2:W1045,A60)=1,VLOOKUP(A60,O:P,2), IF(COUNTIF($W$2:W1045,A60)=0,$B$9,""))</f>
        <v>313.3</v>
      </c>
      <c r="C60" s="2">
        <f t="shared" ca="1" si="4"/>
        <v>-43975.999999998043</v>
      </c>
      <c r="D60" s="43"/>
      <c r="E60" s="40">
        <f ca="1">IF(COUNTIF($W$2:W1045,A60)=1,VLOOKUP(A60,Q:R,2), IF(COUNTIF($W$2:W1045,A60)=0,$C$9,""))</f>
        <v>99.396000000000001</v>
      </c>
      <c r="F60" s="2">
        <f t="shared" ca="1" si="5"/>
        <v>-91259.999999999767</v>
      </c>
      <c r="G60" s="43">
        <f t="shared" ca="1" si="6"/>
        <v>583.24933333331137</v>
      </c>
      <c r="H60" s="40">
        <f ca="1">IF(COUNTIF($W$2:W1045,A60)=1,VLOOKUP(A60,S:T,2), IF(COUNTIF($W$2:W1045,A60)=0,$D$9,""))</f>
        <v>261.05</v>
      </c>
      <c r="I60" s="41">
        <f ca="1">IF(COUNTIF($X$2:X1045,INT(A60))=1,VLOOKUP(INT(A60),X:Y,2), IF(ISERROR(H60-2),"",I59*(1-$D$8*(H60-H59)*0.0001)))</f>
        <v>268.3329</v>
      </c>
      <c r="J60" s="41">
        <f t="shared" ca="1" si="7"/>
        <v>268.3329</v>
      </c>
      <c r="K60" s="43">
        <f t="shared" ca="1" si="8"/>
        <v>293963.32046331867</v>
      </c>
      <c r="L60" s="43"/>
      <c r="M60" s="44">
        <f ca="1">IF(ISERROR(B60-2),"",C60+D60-F60-G60-K60+SUM($L$14:L60))</f>
        <v>-247262.56979665026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 t="str">
        <f t="shared" si="0"/>
        <v/>
      </c>
      <c r="V60" s="3" t="str">
        <f t="shared" si="1"/>
        <v/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5" x14ac:dyDescent="0.25">
      <c r="A61" s="39">
        <f t="shared" ca="1" si="3"/>
        <v>46188.625</v>
      </c>
      <c r="B61" s="40">
        <f ca="1">IF(COUNTIF($W$2:W1046,A61)=1,VLOOKUP(A61,O:P,2), IF(COUNTIF($W$2:W1046,A61)=0,$B$9,""))</f>
        <v>314.27999999999997</v>
      </c>
      <c r="C61" s="2">
        <f t="shared" ca="1" si="4"/>
        <v>49711.999999998261</v>
      </c>
      <c r="D61" s="43"/>
      <c r="E61" s="40">
        <f ca="1">IF(COUNTIF($W$2:W1046,A61)=1,VLOOKUP(A61,Q:R,2), IF(COUNTIF($W$2:W1046,A61)=0,$C$9,""))</f>
        <v>99.631</v>
      </c>
      <c r="F61" s="2">
        <f t="shared" ca="1" si="5"/>
        <v>-30159.999999999909</v>
      </c>
      <c r="G61" s="43">
        <f t="shared" ca="1" si="6"/>
        <v>609.56133333334583</v>
      </c>
      <c r="H61" s="40">
        <f ca="1">IF(COUNTIF($W$2:W1046,A61)=1,VLOOKUP(A61,S:T,2), IF(COUNTIF($W$2:W1046,A61)=0,$D$9,""))</f>
        <v>248.518</v>
      </c>
      <c r="I61" s="41">
        <f ca="1">IF(COUNTIF($X$2:X1046,INT(A61))=1,VLOOKUP(INT(A61),X:Y,2), IF(ISERROR(H61-2),"",I60*(1-$D$8*(H61-H60)*0.0001)))</f>
        <v>270.47059999999999</v>
      </c>
      <c r="J61" s="41">
        <f t="shared" ca="1" si="7"/>
        <v>270.47059999999999</v>
      </c>
      <c r="K61" s="43">
        <f t="shared" ca="1" si="8"/>
        <v>445280.56628056424</v>
      </c>
      <c r="L61" s="43"/>
      <c r="M61" s="44">
        <f ca="1">IF(ISERROR(B61-2),"",C61+D61-F61-G61-K61+SUM($L$14:L61))</f>
        <v>-366018.12761389941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 t="str">
        <f t="shared" si="0"/>
        <v/>
      </c>
      <c r="V61" s="3" t="str">
        <f t="shared" si="1"/>
        <v/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5" x14ac:dyDescent="0.25">
      <c r="A62" s="39">
        <f t="shared" ca="1" si="3"/>
        <v>46189.625</v>
      </c>
      <c r="B62" s="40">
        <f ca="1">IF(COUNTIF($W$2:W1047,A62)=1,VLOOKUP(A62,O:P,2), IF(COUNTIF($W$2:W1047,A62)=0,$B$9,""))</f>
        <v>314.16000000000003</v>
      </c>
      <c r="C62" s="2">
        <f t="shared" ca="1" si="4"/>
        <v>38240.00000000326</v>
      </c>
      <c r="D62" s="43"/>
      <c r="E62" s="40">
        <f ca="1">IF(COUNTIF($W$2:W1047,A62)=1,VLOOKUP(A62,Q:R,2), IF(COUNTIF($W$2:W1047,A62)=0,$C$9,""))</f>
        <v>99.625</v>
      </c>
      <c r="F62" s="2">
        <f t="shared" ca="1" si="5"/>
        <v>-31719.999999999971</v>
      </c>
      <c r="G62" s="43">
        <f t="shared" ca="1" si="6"/>
        <v>613.9466666666558</v>
      </c>
      <c r="H62" s="40">
        <f ca="1">IF(COUNTIF($W$2:W1047,A62)=1,VLOOKUP(A62,S:T,2), IF(COUNTIF($W$2:W1047,A62)=0,$D$9,""))</f>
        <v>249.79400000000001</v>
      </c>
      <c r="I62" s="41">
        <f ca="1">IF(COUNTIF($X$2:X1047,INT(A62))=1,VLOOKUP(INT(A62),X:Y,2), IF(ISERROR(H62-2),"",I61*(1-$D$8*(H62-H61)*0.0001)))</f>
        <v>270.3356</v>
      </c>
      <c r="J62" s="41">
        <f t="shared" ca="1" si="7"/>
        <v>270.3356</v>
      </c>
      <c r="K62" s="43">
        <f t="shared" ca="1" si="8"/>
        <v>435724.58172458195</v>
      </c>
      <c r="L62" s="43"/>
      <c r="M62" s="44">
        <f ca="1">IF(ISERROR(B62-2),"",C62+D62-F62-G62-K62+SUM($L$14:L62))</f>
        <v>-366378.5283912454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 t="str">
        <f t="shared" si="0"/>
        <v/>
      </c>
      <c r="V62" s="3" t="str">
        <f t="shared" si="1"/>
        <v/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5" x14ac:dyDescent="0.25">
      <c r="A63" s="39">
        <f t="shared" ca="1" si="3"/>
        <v>46190.625</v>
      </c>
      <c r="B63" s="40">
        <f ca="1">IF(COUNTIF($W$2:W1048,A63)=1,VLOOKUP(A63,O:P,2), IF(COUNTIF($W$2:W1048,A63)=0,$B$9,""))</f>
        <v>313.66000000000003</v>
      </c>
      <c r="C63" s="2">
        <f t="shared" ca="1" si="4"/>
        <v>-9559.9999999967404</v>
      </c>
      <c r="D63" s="43"/>
      <c r="E63" s="40">
        <f ca="1">IF(COUNTIF($W$2:W1048,A63)=1,VLOOKUP(A63,Q:R,2), IF(COUNTIF($W$2:W1048,A63)=0,$C$9,""))</f>
        <v>99.600999999999999</v>
      </c>
      <c r="F63" s="2">
        <f t="shared" ca="1" si="5"/>
        <v>-37960.000000000204</v>
      </c>
      <c r="G63" s="43">
        <f t="shared" ca="1" si="6"/>
        <v>618.33199999999488</v>
      </c>
      <c r="H63" s="40">
        <f ca="1">IF(COUNTIF($W$2:W1048,A63)=1,VLOOKUP(A63,S:T,2), IF(COUNTIF($W$2:W1048,A63)=0,$D$9,""))</f>
        <v>252.459</v>
      </c>
      <c r="I63" s="41">
        <f ca="1">IF(COUNTIF($X$2:X1048,INT(A63))=1,VLOOKUP(INT(A63),X:Y,2), IF(ISERROR(H63-2),"",I62*(1-$D$8*(H63-H62)*0.0001)))</f>
        <v>270.1644</v>
      </c>
      <c r="J63" s="41">
        <f t="shared" ca="1" si="7"/>
        <v>270.1644</v>
      </c>
      <c r="K63" s="43">
        <f t="shared" ca="1" si="8"/>
        <v>423606.17760617536</v>
      </c>
      <c r="L63" s="43"/>
      <c r="M63" s="44">
        <f ca="1">IF(ISERROR(B63-2),"",C63+D63-F63-G63-K63+SUM($L$14:L63))</f>
        <v>-395824.50960617187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 t="str">
        <f t="shared" si="0"/>
        <v/>
      </c>
      <c r="V63" s="3" t="str">
        <f t="shared" si="1"/>
        <v/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9">
        <f t="shared" ca="1" si="3"/>
        <v>46198.782066666667</v>
      </c>
      <c r="B64" s="40">
        <f ca="1">IF(COUNTIF($W$2:W1049,A64)=1,VLOOKUP(A64,O:P,2), IF(COUNTIF($W$2:W1049,A64)=0,$B$9,""))</f>
        <v>313.66000000000003</v>
      </c>
      <c r="C64" s="2">
        <f t="shared" ca="1" si="4"/>
        <v>-9559.9999999967404</v>
      </c>
      <c r="D64" s="43"/>
      <c r="E64" s="40">
        <f ca="1">IF(COUNTIF($W$2:W1049,A64)=1,VLOOKUP(A64,Q:R,2), IF(COUNTIF($W$2:W1049,A64)=0,$C$9,""))</f>
        <v>99.747</v>
      </c>
      <c r="F64" s="2">
        <f t="shared" ca="1" si="5"/>
        <v>0</v>
      </c>
      <c r="G64" s="43">
        <f t="shared" ca="1" si="6"/>
        <v>653.41466666667839</v>
      </c>
      <c r="H64" s="40">
        <f ca="1">IF(COUNTIF($W$2:W1049,A64)=1,VLOOKUP(A64,S:T,2), IF(COUNTIF($W$2:W1049,A64)=0,$D$9,""))</f>
        <v>247.30670000000001</v>
      </c>
      <c r="I64" s="41">
        <f ca="1">IF(COUNTIF($X$2:X1049,INT(A64))=1,VLOOKUP(INT(A64),X:Y,2), IF(ISERROR(H64-2),"",I63*(1-$D$8*(H64-H63)*0.0001)))</f>
        <v>270.97930000000002</v>
      </c>
      <c r="J64" s="41">
        <f t="shared" ca="1" si="7"/>
        <v>270.97930000000002</v>
      </c>
      <c r="K64" s="43">
        <f t="shared" ca="1" si="8"/>
        <v>481288.93178893486</v>
      </c>
      <c r="L64" s="43"/>
      <c r="M64" s="44">
        <f ca="1">IF(ISERROR(B64-2),"",C64+D64-F64-G64-K64+SUM($L$14:L64))</f>
        <v>-491502.34645559825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 t="str">
        <f t="shared" si="0"/>
        <v/>
      </c>
      <c r="V64" s="3" t="str">
        <f t="shared" si="1"/>
        <v/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  <c r="AI64" s="7"/>
    </row>
    <row r="65" spans="1:35" x14ac:dyDescent="0.25">
      <c r="A65" s="39" t="str">
        <f t="shared" ca="1" si="3"/>
        <v/>
      </c>
      <c r="B65" s="40" t="str">
        <f ca="1">IF(COUNTIF($W$2:W1050,A65)=1,VLOOKUP(A65,O:P,2), IF(COUNTIF($W$2:W1050,A65)=0,$B$9,""))</f>
        <v/>
      </c>
      <c r="C65" s="2" t="str">
        <f t="shared" ca="1" si="4"/>
        <v/>
      </c>
      <c r="D65" s="43"/>
      <c r="E65" s="40" t="str">
        <f ca="1">IF(COUNTIF($W$2:W1050,A65)=1,VLOOKUP(A65,Q:R,2), IF(COUNTIF($W$2:W1050,A65)=0,$C$9,""))</f>
        <v/>
      </c>
      <c r="F65" s="2" t="str">
        <f t="shared" ca="1" si="5"/>
        <v/>
      </c>
      <c r="G65" s="43" t="str">
        <f t="shared" ca="1" si="6"/>
        <v/>
      </c>
      <c r="H65" s="40" t="str">
        <f ca="1">IF(COUNTIF($W$2:W1050,A65)=1,VLOOKUP(A65,S:T,2), IF(COUNTIF($W$2:W1050,A65)=0,$D$9,""))</f>
        <v/>
      </c>
      <c r="I65" s="41" t="str">
        <f ca="1">IF(COUNTIF($X$2:X1050,INT(A65))=1,VLOOKUP(INT(A65),X:Y,2), IF(ISERROR(H65-2),"",I64*(1-$D$8*(H65-H64)*0.0001)))</f>
        <v/>
      </c>
      <c r="J65" s="41" t="str">
        <f t="shared" ca="1" si="7"/>
        <v/>
      </c>
      <c r="K65" s="43" t="str">
        <f t="shared" ca="1" si="8"/>
        <v/>
      </c>
      <c r="L65" s="43"/>
      <c r="M65" s="44" t="str">
        <f ca="1">IF(ISERROR(B65-2),"",C65+D65-F65-G65-K65+SUM($L$14:L65))</f>
        <v/>
      </c>
      <c r="Q65" s="3">
        <v>46136.625</v>
      </c>
      <c r="R65" s="4">
        <v>99.637</v>
      </c>
      <c r="S65" s="3">
        <v>46136.625</v>
      </c>
      <c r="T65" s="4">
        <v>288.863</v>
      </c>
      <c r="U65" s="3" t="str">
        <f t="shared" si="0"/>
        <v/>
      </c>
      <c r="V65" s="3" t="str">
        <f t="shared" si="1"/>
        <v/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  <c r="AI65" s="7"/>
    </row>
    <row r="66" spans="1:35" x14ac:dyDescent="0.25">
      <c r="A66" s="39" t="str">
        <f t="shared" ca="1" si="3"/>
        <v/>
      </c>
      <c r="B66" s="40" t="str">
        <f ca="1">IF(COUNTIF($W$2:W1051,A66)=1,VLOOKUP(A66,O:P,2), IF(COUNTIF($W$2:W1051,A66)=0,$B$9,""))</f>
        <v/>
      </c>
      <c r="C66" s="2" t="str">
        <f t="shared" ca="1" si="4"/>
        <v/>
      </c>
      <c r="D66" s="43"/>
      <c r="E66" s="40" t="str">
        <f ca="1">IF(COUNTIF($W$2:W1051,A66)=1,VLOOKUP(A66,Q:R,2), IF(COUNTIF($W$2:W1051,A66)=0,$C$9,""))</f>
        <v/>
      </c>
      <c r="F66" s="2" t="str">
        <f t="shared" ca="1" si="5"/>
        <v/>
      </c>
      <c r="G66" s="43" t="str">
        <f t="shared" ca="1" si="6"/>
        <v/>
      </c>
      <c r="H66" s="40" t="str">
        <f ca="1">IF(COUNTIF($W$2:W1051,A66)=1,VLOOKUP(A66,S:T,2), IF(COUNTIF($W$2:W1051,A66)=0,$D$9,""))</f>
        <v/>
      </c>
      <c r="I66" s="41" t="str">
        <f ca="1">IF(COUNTIF($X$2:X1051,INT(A66))=1,VLOOKUP(INT(A66),X:Y,2), IF(ISERROR(H66-2),"",I65*(1-$D$8*(H66-H65)*0.0001)))</f>
        <v/>
      </c>
      <c r="J66" s="41" t="str">
        <f t="shared" ca="1" si="7"/>
        <v/>
      </c>
      <c r="K66" s="43" t="str">
        <f t="shared" ca="1" si="8"/>
        <v/>
      </c>
      <c r="L66" s="43"/>
      <c r="M66" s="44" t="str">
        <f ca="1">IF(ISERROR(B66-2),"",C66+D66-F66-G66-K66+SUM($L$14:L66))</f>
        <v/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 t="str">
        <f t="shared" si="0"/>
        <v/>
      </c>
      <c r="V66" s="3" t="str">
        <f t="shared" si="1"/>
        <v/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  <c r="AI66" s="7"/>
    </row>
    <row r="67" spans="1:35" x14ac:dyDescent="0.25">
      <c r="A67" s="39" t="str">
        <f t="shared" ca="1" si="3"/>
        <v/>
      </c>
      <c r="B67" s="40" t="str">
        <f ca="1">IF(COUNTIF($W$2:W1052,A67)=1,VLOOKUP(A67,O:P,2), IF(COUNTIF($W$2:W1052,A67)=0,$B$9,""))</f>
        <v/>
      </c>
      <c r="C67" s="2" t="str">
        <f t="shared" ca="1" si="4"/>
        <v/>
      </c>
      <c r="D67" s="43"/>
      <c r="E67" s="40" t="str">
        <f ca="1">IF(COUNTIF($W$2:W1052,A67)=1,VLOOKUP(A67,Q:R,2), IF(COUNTIF($W$2:W1052,A67)=0,$C$9,""))</f>
        <v/>
      </c>
      <c r="F67" s="2" t="str">
        <f t="shared" ca="1" si="5"/>
        <v/>
      </c>
      <c r="G67" s="43" t="str">
        <f t="shared" ca="1" si="6"/>
        <v/>
      </c>
      <c r="H67" s="40" t="str">
        <f ca="1">IF(COUNTIF($W$2:W1052,A67)=1,VLOOKUP(A67,S:T,2), IF(COUNTIF($W$2:W1052,A67)=0,$D$9,""))</f>
        <v/>
      </c>
      <c r="I67" s="41" t="str">
        <f ca="1">IF(COUNTIF($X$2:X1052,INT(A67))=1,VLOOKUP(INT(A67),X:Y,2), IF(ISERROR(H67-2),"",I66*(1-$D$8*(H67-H66)*0.0001)))</f>
        <v/>
      </c>
      <c r="J67" s="41" t="str">
        <f t="shared" ca="1" si="7"/>
        <v/>
      </c>
      <c r="K67" s="43" t="str">
        <f t="shared" ca="1" si="8"/>
        <v/>
      </c>
      <c r="L67" s="43"/>
      <c r="M67" s="44" t="str">
        <f ca="1">IF(ISERROR(B67-2),"",C67+D67-F67-G67-K67+SUM($L$14:L67))</f>
        <v/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 t="str">
        <f t="shared" si="0"/>
        <v/>
      </c>
      <c r="V67" s="3" t="str">
        <f t="shared" si="1"/>
        <v/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  <c r="AI67" s="7"/>
    </row>
    <row r="68" spans="1:35" x14ac:dyDescent="0.25">
      <c r="A68" s="39" t="str">
        <f t="shared" ca="1" si="3"/>
        <v/>
      </c>
      <c r="B68" s="40" t="str">
        <f ca="1">IF(COUNTIF($W$2:W1053,A68)=1,VLOOKUP(A68,O:P,2), IF(COUNTIF($W$2:W1053,A68)=0,$B$9,""))</f>
        <v/>
      </c>
      <c r="C68" s="2" t="str">
        <f t="shared" ca="1" si="4"/>
        <v/>
      </c>
      <c r="D68" s="43"/>
      <c r="E68" s="40" t="str">
        <f ca="1">IF(COUNTIF($W$2:W1053,A68)=1,VLOOKUP(A68,Q:R,2), IF(COUNTIF($W$2:W1053,A68)=0,$C$9,""))</f>
        <v/>
      </c>
      <c r="F68" s="2" t="str">
        <f t="shared" ca="1" si="5"/>
        <v/>
      </c>
      <c r="G68" s="43" t="str">
        <f t="shared" ca="1" si="6"/>
        <v/>
      </c>
      <c r="H68" s="40" t="str">
        <f ca="1">IF(COUNTIF($W$2:W1053,A68)=1,VLOOKUP(A68,S:T,2), IF(COUNTIF($W$2:W1053,A68)=0,$D$9,""))</f>
        <v/>
      </c>
      <c r="I68" s="41" t="str">
        <f ca="1">IF(COUNTIF($X$2:X1053,INT(A68))=1,VLOOKUP(INT(A68),X:Y,2), IF(ISERROR(H68-2),"",I67*(1-$D$8*(H68-H67)*0.0001)))</f>
        <v/>
      </c>
      <c r="J68" s="41" t="str">
        <f t="shared" ca="1" si="7"/>
        <v/>
      </c>
      <c r="K68" s="43" t="str">
        <f t="shared" ca="1" si="8"/>
        <v/>
      </c>
      <c r="L68" s="43"/>
      <c r="M68" s="44" t="str">
        <f ca="1">IF(ISERROR(B68-2),"",C68+D68-F68-G68-K68+SUM($L$14:L68))</f>
        <v/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 t="str">
        <f t="shared" ref="U68:U131" si="9">IF(COUNTIF(Q:Q,O68)*COUNTIF(S:S,O68),O68,"")</f>
        <v/>
      </c>
      <c r="V68" s="3" t="str">
        <f t="shared" ref="V68:V131" si="10">IF(U68&gt;$A$14,U68,"")</f>
        <v/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1">IF(COUNTIF(AB:AB,Z68),Z68,"")</f>
        <v>45873</v>
      </c>
      <c r="AE68" s="22"/>
      <c r="AF68" s="22"/>
      <c r="AG68" s="22"/>
      <c r="AH68" s="22"/>
      <c r="AI68" s="7"/>
    </row>
    <row r="69" spans="1:35" x14ac:dyDescent="0.25">
      <c r="A69" s="39" t="str">
        <f t="shared" ca="1" si="3"/>
        <v/>
      </c>
      <c r="B69" s="40" t="str">
        <f ca="1">IF(COUNTIF($W$2:W1054,A69)=1,VLOOKUP(A69,O:P,2), IF(COUNTIF($W$2:W1054,A69)=0,$B$9,""))</f>
        <v/>
      </c>
      <c r="C69" s="2" t="str">
        <f t="shared" ca="1" si="4"/>
        <v/>
      </c>
      <c r="D69" s="43"/>
      <c r="E69" s="40" t="str">
        <f ca="1">IF(COUNTIF($W$2:W1054,A69)=1,VLOOKUP(A69,Q:R,2), IF(COUNTIF($W$2:W1054,A69)=0,$C$9,""))</f>
        <v/>
      </c>
      <c r="F69" s="2" t="str">
        <f t="shared" ca="1" si="5"/>
        <v/>
      </c>
      <c r="G69" s="43" t="str">
        <f t="shared" ca="1" si="6"/>
        <v/>
      </c>
      <c r="H69" s="40" t="str">
        <f ca="1">IF(COUNTIF($W$2:W1054,A69)=1,VLOOKUP(A69,S:T,2), IF(COUNTIF($W$2:W1054,A69)=0,$D$9,""))</f>
        <v/>
      </c>
      <c r="I69" s="41" t="str">
        <f ca="1">IF(COUNTIF($X$2:X1054,INT(A69))=1,VLOOKUP(INT(A69),X:Y,2), IF(ISERROR(H69-2),"",I68*(1-$D$8*(H69-H68)*0.0001)))</f>
        <v/>
      </c>
      <c r="J69" s="41" t="str">
        <f t="shared" ca="1" si="7"/>
        <v/>
      </c>
      <c r="K69" s="43" t="str">
        <f t="shared" ca="1" si="8"/>
        <v/>
      </c>
      <c r="L69" s="43"/>
      <c r="M69" s="44" t="str">
        <f ca="1">IF(ISERROR(B69-2),"",C69+D69-F69-G69-K69+SUM($L$14:L69))</f>
        <v/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 t="str">
        <f t="shared" si="9"/>
        <v/>
      </c>
      <c r="V69" s="3" t="str">
        <f t="shared" si="10"/>
        <v/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1"/>
        <v>45874</v>
      </c>
      <c r="AE69" s="22"/>
      <c r="AF69" s="22"/>
      <c r="AG69" s="22"/>
      <c r="AH69" s="22"/>
      <c r="AI69" s="7"/>
    </row>
    <row r="70" spans="1:35" x14ac:dyDescent="0.25">
      <c r="A70" s="39" t="str">
        <f t="shared" ca="1" si="3"/>
        <v/>
      </c>
      <c r="B70" s="40" t="str">
        <f ca="1">IF(COUNTIF($W$2:W1055,A70)=1,VLOOKUP(A70,O:P,2), IF(COUNTIF($W$2:W1055,A70)=0,$B$9,""))</f>
        <v/>
      </c>
      <c r="C70" s="2" t="str">
        <f t="shared" ca="1" si="4"/>
        <v/>
      </c>
      <c r="D70" s="43"/>
      <c r="E70" s="40" t="str">
        <f ca="1">IF(COUNTIF($W$2:W1055,A70)=1,VLOOKUP(A70,Q:R,2), IF(COUNTIF($W$2:W1055,A70)=0,$C$9,""))</f>
        <v/>
      </c>
      <c r="F70" s="2" t="str">
        <f t="shared" ca="1" si="5"/>
        <v/>
      </c>
      <c r="G70" s="43" t="str">
        <f t="shared" ca="1" si="6"/>
        <v/>
      </c>
      <c r="H70" s="40" t="str">
        <f ca="1">IF(COUNTIF($W$2:W1055,A70)=1,VLOOKUP(A70,S:T,2), IF(COUNTIF($W$2:W1055,A70)=0,$D$9,""))</f>
        <v/>
      </c>
      <c r="I70" s="41" t="str">
        <f ca="1">IF(COUNTIF($X$2:X1055,INT(A70))=1,VLOOKUP(INT(A70),X:Y,2), IF(ISERROR(H70-2),"",I69*(1-$D$8*(H70-H69)*0.0001)))</f>
        <v/>
      </c>
      <c r="J70" s="41" t="str">
        <f t="shared" ca="1" si="7"/>
        <v/>
      </c>
      <c r="K70" s="43" t="str">
        <f t="shared" ca="1" si="8"/>
        <v/>
      </c>
      <c r="L70" s="43"/>
      <c r="M70" s="44" t="str">
        <f ca="1">IF(ISERROR(B70-2),"",C70+D70-F70-G70-K70+SUM($L$14:L70))</f>
        <v/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 t="str">
        <f t="shared" si="9"/>
        <v/>
      </c>
      <c r="V70" s="3" t="str">
        <f t="shared" si="10"/>
        <v/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1"/>
        <v>45875</v>
      </c>
      <c r="AI70" s="7"/>
    </row>
    <row r="71" spans="1:35" x14ac:dyDescent="0.25">
      <c r="A71" s="39" t="str">
        <f t="shared" ca="1" si="3"/>
        <v/>
      </c>
      <c r="B71" s="40" t="str">
        <f ca="1">IF(COUNTIF($W$2:W1056,A71)=1,VLOOKUP(A71,O:P,2), IF(COUNTIF($W$2:W1056,A71)=0,$B$9,""))</f>
        <v/>
      </c>
      <c r="C71" s="2" t="str">
        <f t="shared" ca="1" si="4"/>
        <v/>
      </c>
      <c r="D71" s="43"/>
      <c r="E71" s="40" t="str">
        <f ca="1">IF(COUNTIF($W$2:W1056,A71)=1,VLOOKUP(A71,Q:R,2), IF(COUNTIF($W$2:W1056,A71)=0,$C$9,""))</f>
        <v/>
      </c>
      <c r="F71" s="2" t="str">
        <f t="shared" ca="1" si="5"/>
        <v/>
      </c>
      <c r="G71" s="43" t="str">
        <f t="shared" ca="1" si="6"/>
        <v/>
      </c>
      <c r="H71" s="40" t="str">
        <f ca="1">IF(COUNTIF($W$2:W1056,A71)=1,VLOOKUP(A71,S:T,2), IF(COUNTIF($W$2:W1056,A71)=0,$D$9,""))</f>
        <v/>
      </c>
      <c r="I71" s="41" t="str">
        <f ca="1">IF(COUNTIF($X$2:X1056,INT(A71))=1,VLOOKUP(INT(A71),X:Y,2), IF(ISERROR(H71-2),"",I70*(1-$D$8*(H71-H70)*0.0001)))</f>
        <v/>
      </c>
      <c r="J71" s="41" t="str">
        <f t="shared" ca="1" si="7"/>
        <v/>
      </c>
      <c r="K71" s="43" t="str">
        <f t="shared" ca="1" si="8"/>
        <v/>
      </c>
      <c r="L71" s="43"/>
      <c r="M71" s="44" t="str">
        <f ca="1">IF(ISERROR(B71-2),"",C71+D71-F71-G71-K71+SUM($L$14:L71))</f>
        <v/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 t="str">
        <f t="shared" si="9"/>
        <v/>
      </c>
      <c r="V71" s="3" t="str">
        <f t="shared" si="10"/>
        <v/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1"/>
        <v>45876</v>
      </c>
      <c r="AI71" s="7"/>
    </row>
    <row r="72" spans="1:35" x14ac:dyDescent="0.25">
      <c r="A72" s="39" t="str">
        <f t="shared" ca="1" si="3"/>
        <v/>
      </c>
      <c r="B72" s="40" t="str">
        <f ca="1">IF(COUNTIF($W$2:W1057,A72)=1,VLOOKUP(A72,O:P,2), IF(COUNTIF($W$2:W1057,A72)=0,$B$9,""))</f>
        <v/>
      </c>
      <c r="C72" s="2" t="str">
        <f t="shared" ca="1" si="4"/>
        <v/>
      </c>
      <c r="D72" s="43"/>
      <c r="E72" s="40" t="str">
        <f ca="1">IF(COUNTIF($W$2:W1057,A72)=1,VLOOKUP(A72,Q:R,2), IF(COUNTIF($W$2:W1057,A72)=0,$C$9,""))</f>
        <v/>
      </c>
      <c r="F72" s="2" t="str">
        <f t="shared" ca="1" si="5"/>
        <v/>
      </c>
      <c r="G72" s="43" t="str">
        <f t="shared" ca="1" si="6"/>
        <v/>
      </c>
      <c r="H72" s="40" t="str">
        <f ca="1">IF(COUNTIF($W$2:W1057,A72)=1,VLOOKUP(A72,S:T,2), IF(COUNTIF($W$2:W1057,A72)=0,$D$9,""))</f>
        <v/>
      </c>
      <c r="I72" s="41" t="str">
        <f ca="1">IF(COUNTIF($X$2:X1057,INT(A72))=1,VLOOKUP(INT(A72),X:Y,2), IF(ISERROR(H72-2),"",I71*(1-$D$8*(H72-H71)*0.0001)))</f>
        <v/>
      </c>
      <c r="J72" s="41" t="str">
        <f t="shared" ca="1" si="7"/>
        <v/>
      </c>
      <c r="K72" s="43" t="str">
        <f t="shared" ca="1" si="8"/>
        <v/>
      </c>
      <c r="L72" s="43"/>
      <c r="M72" s="44" t="str">
        <f ca="1">IF(ISERROR(B72-2),"",C72+D72-F72-G72-K72+SUM($L$14:L72))</f>
        <v/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 t="str">
        <f t="shared" si="9"/>
        <v/>
      </c>
      <c r="V72" s="3" t="str">
        <f t="shared" si="10"/>
        <v/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1"/>
        <v>45877</v>
      </c>
      <c r="AI72" s="7"/>
    </row>
    <row r="73" spans="1:35" x14ac:dyDescent="0.25">
      <c r="A73" s="39" t="str">
        <f t="shared" ca="1" si="3"/>
        <v/>
      </c>
      <c r="B73" s="40" t="str">
        <f ca="1">IF(COUNTIF($W$2:W1058,A73)=1,VLOOKUP(A73,O:P,2), IF(COUNTIF($W$2:W1058,A73)=0,$B$9,""))</f>
        <v/>
      </c>
      <c r="C73" s="2" t="str">
        <f t="shared" ca="1" si="4"/>
        <v/>
      </c>
      <c r="D73" s="43"/>
      <c r="E73" s="40" t="str">
        <f ca="1">IF(COUNTIF($W$2:W1058,A73)=1,VLOOKUP(A73,Q:R,2), IF(COUNTIF($W$2:W1058,A73)=0,$C$9,""))</f>
        <v/>
      </c>
      <c r="F73" s="2" t="str">
        <f t="shared" ca="1" si="5"/>
        <v/>
      </c>
      <c r="G73" s="43" t="str">
        <f t="shared" ca="1" si="6"/>
        <v/>
      </c>
      <c r="H73" s="40" t="str">
        <f ca="1">IF(COUNTIF($W$2:W1058,A73)=1,VLOOKUP(A73,S:T,2), IF(COUNTIF($W$2:W1058,A73)=0,$D$9,""))</f>
        <v/>
      </c>
      <c r="I73" s="41" t="str">
        <f ca="1">IF(COUNTIF($X$2:X1058,INT(A73))=1,VLOOKUP(INT(A73),X:Y,2), IF(ISERROR(H73-2),"",I72*(1-$D$8*(H73-H72)*0.0001)))</f>
        <v/>
      </c>
      <c r="J73" s="41" t="str">
        <f t="shared" ca="1" si="7"/>
        <v/>
      </c>
      <c r="K73" s="43" t="str">
        <f t="shared" ca="1" si="8"/>
        <v/>
      </c>
      <c r="L73" s="43"/>
      <c r="M73" s="44" t="str">
        <f ca="1">IF(ISERROR(B73-2),"",C73+D73-F73-G73-K73+SUM($L$14:L73))</f>
        <v/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 t="str">
        <f t="shared" si="9"/>
        <v/>
      </c>
      <c r="V73" s="3" t="str">
        <f t="shared" si="10"/>
        <v/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1"/>
        <v>45880</v>
      </c>
      <c r="AI73" s="7"/>
    </row>
    <row r="74" spans="1:35" x14ac:dyDescent="0.25">
      <c r="A74" s="39" t="str">
        <f t="shared" ca="1" si="3"/>
        <v/>
      </c>
      <c r="B74" s="40" t="str">
        <f ca="1">IF(COUNTIF($W$2:W1059,A74)=1,VLOOKUP(A74,O:P,2), IF(COUNTIF($W$2:W1059,A74)=0,$B$9,""))</f>
        <v/>
      </c>
      <c r="C74" s="2" t="str">
        <f t="shared" ca="1" si="4"/>
        <v/>
      </c>
      <c r="D74" s="43"/>
      <c r="E74" s="40" t="str">
        <f ca="1">IF(COUNTIF($W$2:W1059,A74)=1,VLOOKUP(A74,Q:R,2), IF(COUNTIF($W$2:W1059,A74)=0,$C$9,""))</f>
        <v/>
      </c>
      <c r="F74" s="2" t="str">
        <f t="shared" ca="1" si="5"/>
        <v/>
      </c>
      <c r="G74" s="43" t="str">
        <f t="shared" ca="1" si="6"/>
        <v/>
      </c>
      <c r="H74" s="40" t="str">
        <f ca="1">IF(COUNTIF($W$2:W1059,A74)=1,VLOOKUP(A74,S:T,2), IF(COUNTIF($W$2:W1059,A74)=0,$D$9,""))</f>
        <v/>
      </c>
      <c r="I74" s="41" t="str">
        <f ca="1">IF(COUNTIF($X$2:X1059,INT(A74))=1,VLOOKUP(INT(A74),X:Y,2), IF(ISERROR(H74-2),"",I73*(1-$D$8*(H74-H73)*0.0001)))</f>
        <v/>
      </c>
      <c r="J74" s="41" t="str">
        <f t="shared" ca="1" si="7"/>
        <v/>
      </c>
      <c r="K74" s="43" t="str">
        <f t="shared" ca="1" si="8"/>
        <v/>
      </c>
      <c r="L74" s="43"/>
      <c r="M74" s="44" t="str">
        <f ca="1">IF(ISERROR(B74-2),"",C74+D74-F74-G74-K74+SUM($L$14:L74))</f>
        <v/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 t="str">
        <f t="shared" si="9"/>
        <v/>
      </c>
      <c r="V74" s="3" t="str">
        <f t="shared" si="10"/>
        <v/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1"/>
        <v>45881</v>
      </c>
      <c r="AI74" s="7"/>
    </row>
    <row r="75" spans="1:35" x14ac:dyDescent="0.25">
      <c r="A75" s="39" t="str">
        <f t="shared" ca="1" si="3"/>
        <v/>
      </c>
      <c r="B75" s="40" t="str">
        <f ca="1">IF(COUNTIF($W$2:W1060,A75)=1,VLOOKUP(A75,O:P,2), IF(COUNTIF($W$2:W1060,A75)=0,$B$9,""))</f>
        <v/>
      </c>
      <c r="C75" s="2" t="str">
        <f t="shared" ca="1" si="4"/>
        <v/>
      </c>
      <c r="D75" s="43"/>
      <c r="E75" s="40" t="str">
        <f ca="1">IF(COUNTIF($W$2:W1060,A75)=1,VLOOKUP(A75,Q:R,2), IF(COUNTIF($W$2:W1060,A75)=0,$C$9,""))</f>
        <v/>
      </c>
      <c r="F75" s="2" t="str">
        <f t="shared" ca="1" si="5"/>
        <v/>
      </c>
      <c r="G75" s="43" t="str">
        <f t="shared" ca="1" si="6"/>
        <v/>
      </c>
      <c r="H75" s="40" t="str">
        <f ca="1">IF(COUNTIF($W$2:W1060,A75)=1,VLOOKUP(A75,S:T,2), IF(COUNTIF($W$2:W1060,A75)=0,$D$9,""))</f>
        <v/>
      </c>
      <c r="I75" s="41" t="str">
        <f ca="1">IF(COUNTIF($X$2:X1060,INT(A75))=1,VLOOKUP(INT(A75),X:Y,2), IF(ISERROR(H75-2),"",I74*(1-$D$8*(H75-H74)*0.0001)))</f>
        <v/>
      </c>
      <c r="J75" s="41" t="str">
        <f t="shared" ca="1" si="7"/>
        <v/>
      </c>
      <c r="K75" s="43" t="str">
        <f t="shared" ca="1" si="8"/>
        <v/>
      </c>
      <c r="L75" s="43"/>
      <c r="M75" s="44" t="str">
        <f ca="1">IF(ISERROR(B75-2),"",C75+D75-F75-G75-K75+SUM($L$14:L75))</f>
        <v/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 t="str">
        <f t="shared" si="9"/>
        <v/>
      </c>
      <c r="V75" s="3" t="str">
        <f t="shared" si="10"/>
        <v/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1"/>
        <v>45882</v>
      </c>
      <c r="AI75" s="7"/>
    </row>
    <row r="76" spans="1:35" x14ac:dyDescent="0.25">
      <c r="A76" s="39" t="str">
        <f t="shared" ca="1" si="3"/>
        <v/>
      </c>
      <c r="B76" s="40" t="str">
        <f ca="1">IF(COUNTIF($W$2:W1061,A76)=1,VLOOKUP(A76,O:P,2), IF(COUNTIF($W$2:W1061,A76)=0,$B$9,""))</f>
        <v/>
      </c>
      <c r="C76" s="2" t="str">
        <f t="shared" ca="1" si="4"/>
        <v/>
      </c>
      <c r="D76" s="43"/>
      <c r="E76" s="40" t="str">
        <f ca="1">IF(COUNTIF($W$2:W1061,A76)=1,VLOOKUP(A76,Q:R,2), IF(COUNTIF($W$2:W1061,A76)=0,$C$9,""))</f>
        <v/>
      </c>
      <c r="F76" s="2" t="str">
        <f t="shared" ca="1" si="5"/>
        <v/>
      </c>
      <c r="G76" s="43" t="str">
        <f t="shared" ca="1" si="6"/>
        <v/>
      </c>
      <c r="H76" s="40" t="str">
        <f ca="1">IF(COUNTIF($W$2:W1061,A76)=1,VLOOKUP(A76,S:T,2), IF(COUNTIF($W$2:W1061,A76)=0,$D$9,""))</f>
        <v/>
      </c>
      <c r="I76" s="41" t="str">
        <f ca="1">IF(COUNTIF($X$2:X1061,INT(A76))=1,VLOOKUP(INT(A76),X:Y,2), IF(ISERROR(H76-2),"",I75*(1-$D$8*(H76-H75)*0.0001)))</f>
        <v/>
      </c>
      <c r="J76" s="41" t="str">
        <f t="shared" ca="1" si="7"/>
        <v/>
      </c>
      <c r="K76" s="43" t="str">
        <f t="shared" ca="1" si="8"/>
        <v/>
      </c>
      <c r="L76" s="43"/>
      <c r="M76" s="44" t="str">
        <f ca="1">IF(ISERROR(B76-2),"",C76+D76-F76-G76-K76+SUM($L$14:L76))</f>
        <v/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 t="str">
        <f t="shared" si="9"/>
        <v/>
      </c>
      <c r="V76" s="3" t="str">
        <f t="shared" si="10"/>
        <v/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1"/>
        <v>45883</v>
      </c>
      <c r="AI76" s="7"/>
    </row>
    <row r="77" spans="1:35" x14ac:dyDescent="0.25">
      <c r="A77" s="39" t="str">
        <f t="shared" ca="1" si="3"/>
        <v/>
      </c>
      <c r="B77" s="40" t="str">
        <f ca="1">IF(COUNTIF($W$2:W1062,A77)=1,VLOOKUP(A77,O:P,2), IF(COUNTIF($W$2:W1062,A77)=0,$B$9,""))</f>
        <v/>
      </c>
      <c r="C77" s="2" t="str">
        <f t="shared" ca="1" si="4"/>
        <v/>
      </c>
      <c r="D77" s="43"/>
      <c r="E77" s="40" t="str">
        <f ca="1">IF(COUNTIF($W$2:W1062,A77)=1,VLOOKUP(A77,Q:R,2), IF(COUNTIF($W$2:W1062,A77)=0,$C$9,""))</f>
        <v/>
      </c>
      <c r="F77" s="2" t="str">
        <f t="shared" ca="1" si="5"/>
        <v/>
      </c>
      <c r="G77" s="43" t="str">
        <f t="shared" ca="1" si="6"/>
        <v/>
      </c>
      <c r="H77" s="40" t="str">
        <f ca="1">IF(COUNTIF($W$2:W1062,A77)=1,VLOOKUP(A77,S:T,2), IF(COUNTIF($W$2:W1062,A77)=0,$D$9,""))</f>
        <v/>
      </c>
      <c r="I77" s="41" t="str">
        <f ca="1">IF(COUNTIF($X$2:X1062,INT(A77))=1,VLOOKUP(INT(A77),X:Y,2), IF(ISERROR(H77-2),"",I76*(1-$D$8*(H77-H76)*0.0001)))</f>
        <v/>
      </c>
      <c r="J77" s="41" t="str">
        <f t="shared" ca="1" si="7"/>
        <v/>
      </c>
      <c r="K77" s="43" t="str">
        <f t="shared" ca="1" si="8"/>
        <v/>
      </c>
      <c r="L77" s="43"/>
      <c r="M77" s="44" t="str">
        <f ca="1">IF(ISERROR(B77-2),"",C77+D77-F77-G77-K77+SUM($L$14:L77))</f>
        <v/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 t="str">
        <f t="shared" si="9"/>
        <v/>
      </c>
      <c r="V77" s="3" t="str">
        <f t="shared" si="10"/>
        <v/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1"/>
        <v>45884</v>
      </c>
      <c r="AI77" s="7"/>
    </row>
    <row r="78" spans="1:35" x14ac:dyDescent="0.25">
      <c r="A78" s="39" t="str">
        <f t="shared" ca="1" si="3"/>
        <v/>
      </c>
      <c r="B78" s="40" t="str">
        <f ca="1">IF(COUNTIF($W$2:W1063,A78)=1,VLOOKUP(A78,O:P,2), IF(COUNTIF($W$2:W1063,A78)=0,$B$9,""))</f>
        <v/>
      </c>
      <c r="C78" s="2" t="str">
        <f t="shared" ca="1" si="4"/>
        <v/>
      </c>
      <c r="D78" s="43"/>
      <c r="E78" s="40" t="str">
        <f ca="1">IF(COUNTIF($W$2:W1063,A78)=1,VLOOKUP(A78,Q:R,2), IF(COUNTIF($W$2:W1063,A78)=0,$C$9,""))</f>
        <v/>
      </c>
      <c r="F78" s="2" t="str">
        <f t="shared" ca="1" si="5"/>
        <v/>
      </c>
      <c r="G78" s="43" t="str">
        <f t="shared" ca="1" si="6"/>
        <v/>
      </c>
      <c r="H78" s="40" t="str">
        <f ca="1">IF(COUNTIF($W$2:W1063,A78)=1,VLOOKUP(A78,S:T,2), IF(COUNTIF($W$2:W1063,A78)=0,$D$9,""))</f>
        <v/>
      </c>
      <c r="I78" s="41" t="str">
        <f ca="1">IF(COUNTIF($X$2:X1063,INT(A78))=1,VLOOKUP(INT(A78),X:Y,2), IF(ISERROR(H78-2),"",I77*(1-$D$8*(H78-H77)*0.0001)))</f>
        <v/>
      </c>
      <c r="J78" s="41" t="str">
        <f t="shared" ca="1" si="7"/>
        <v/>
      </c>
      <c r="K78" s="43" t="str">
        <f t="shared" ca="1" si="8"/>
        <v/>
      </c>
      <c r="L78" s="43"/>
      <c r="M78" s="44" t="str">
        <f ca="1">IF(ISERROR(B78-2),"",C78+D78-F78-G78-K78+SUM($L$14:L78))</f>
        <v/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 t="str">
        <f t="shared" si="9"/>
        <v/>
      </c>
      <c r="V78" s="3" t="str">
        <f t="shared" si="10"/>
        <v/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1"/>
        <v>45887</v>
      </c>
    </row>
    <row r="79" spans="1:35" x14ac:dyDescent="0.25">
      <c r="A79" s="39" t="str">
        <f t="shared" ref="A79:A142" ca="1" si="12">IF(AND(ISBLANK(W68), A78 = $W$1),NOW(),IF(ISBLANK(W68),"",W68))</f>
        <v/>
      </c>
      <c r="B79" s="40" t="str">
        <f ca="1">IF(COUNTIF($W$2:W1064,A79)=1,VLOOKUP(A79,O:P,2), IF(COUNTIF($W$2:W1064,A79)=0,$B$9,""))</f>
        <v/>
      </c>
      <c r="C79" s="2" t="str">
        <f t="shared" ca="1" si="4"/>
        <v/>
      </c>
      <c r="D79" s="43"/>
      <c r="E79" s="40" t="str">
        <f ca="1">IF(COUNTIF($W$2:W1064,A79)=1,VLOOKUP(A79,Q:R,2), IF(COUNTIF($W$2:W1064,A79)=0,$C$9,""))</f>
        <v/>
      </c>
      <c r="F79" s="2" t="str">
        <f t="shared" ca="1" si="5"/>
        <v/>
      </c>
      <c r="G79" s="43" t="str">
        <f t="shared" ca="1" si="6"/>
        <v/>
      </c>
      <c r="H79" s="40" t="str">
        <f ca="1">IF(COUNTIF($W$2:W1064,A79)=1,VLOOKUP(A79,S:T,2), IF(COUNTIF($W$2:W1064,A79)=0,$D$9,""))</f>
        <v/>
      </c>
      <c r="I79" s="41" t="str">
        <f ca="1">IF(COUNTIF($X$2:X1064,INT(A79))=1,VLOOKUP(INT(A79),X:Y,2), IF(ISERROR(H79-2),"",I78*(1-$D$8*(H79-H78)*0.0001)))</f>
        <v/>
      </c>
      <c r="J79" s="41" t="str">
        <f t="shared" ca="1" si="7"/>
        <v/>
      </c>
      <c r="K79" s="43" t="str">
        <f t="shared" ca="1" si="8"/>
        <v/>
      </c>
      <c r="L79" s="43"/>
      <c r="M79" s="44" t="str">
        <f ca="1">IF(ISERROR(B79-2),"",C79+D79-F79-G79-K79+SUM($L$14:L79))</f>
        <v/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 t="str">
        <f t="shared" si="9"/>
        <v/>
      </c>
      <c r="V79" s="3" t="str">
        <f t="shared" si="10"/>
        <v/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1"/>
        <v>45888</v>
      </c>
    </row>
    <row r="80" spans="1:35" x14ac:dyDescent="0.25">
      <c r="A80" s="39" t="str">
        <f t="shared" ca="1" si="12"/>
        <v/>
      </c>
      <c r="B80" s="40" t="str">
        <f ca="1">IF(COUNTIF($W$2:W1065,A80)=1,VLOOKUP(A80,O:P,2), IF(COUNTIF($W$2:W1065,A80)=0,$B$9,""))</f>
        <v/>
      </c>
      <c r="C80" s="2" t="str">
        <f t="shared" ref="C80:C143" ca="1" si="13">IF(ISERROR(B80-2),"",(B80-$B$14)*$G$3*$I$3)</f>
        <v/>
      </c>
      <c r="D80" s="43"/>
      <c r="E80" s="40" t="str">
        <f ca="1">IF(COUNTIF($W$2:W1065,A80)=1,VLOOKUP(A80,Q:R,2), IF(COUNTIF($W$2:W1065,A80)=0,$C$9,""))</f>
        <v/>
      </c>
      <c r="F80" s="2" t="str">
        <f t="shared" ref="F80:F143" ca="1" si="14">IF(ISERROR(B80-2),"",(E80-$E$14)/100*$C$5)</f>
        <v/>
      </c>
      <c r="G80" s="43" t="str">
        <f t="shared" ref="G80:G143" ca="1" si="15">IF(ISERROR(B80-2),"",(INT(A80)-INT($A$14))/360*$C$6*$C$5-(INT(A80)-INT($A$14))/360*$C$7*$C$5*$E$14/100)</f>
        <v/>
      </c>
      <c r="H80" s="40" t="str">
        <f ca="1">IF(COUNTIF($W$2:W1065,A80)=1,VLOOKUP(A80,S:T,2), IF(COUNTIF($W$2:W1065,A80)=0,$D$9,""))</f>
        <v/>
      </c>
      <c r="I80" s="41" t="str">
        <f ca="1">IF(COUNTIF($X$2:X1065,INT(A80))=1,VLOOKUP(INT(A80),X:Y,2), IF(ISERROR(H80-2),"",I79*(1-$D$8*(H80-H79)*0.0001)))</f>
        <v/>
      </c>
      <c r="J80" s="41" t="str">
        <f t="shared" ref="J80:J143" ca="1" si="16">IF(ISERROR(H80-2),"",I80)</f>
        <v/>
      </c>
      <c r="K80" s="43" t="str">
        <f t="shared" ref="K80:K143" ca="1" si="17">IF(ISERROR(H80-2),"",(J80/$J$14-1)*$D$5)</f>
        <v/>
      </c>
      <c r="L80" s="43"/>
      <c r="M80" s="44" t="str">
        <f ca="1">IF(ISERROR(B80-2),"",C80+D80-F80-G80-K80+SUM($L$14:L80))</f>
        <v/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 t="str">
        <f t="shared" si="9"/>
        <v/>
      </c>
      <c r="V80" s="3" t="str">
        <f t="shared" si="10"/>
        <v/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1"/>
        <v>45889</v>
      </c>
    </row>
    <row r="81" spans="1:30" x14ac:dyDescent="0.25">
      <c r="A81" s="39" t="str">
        <f t="shared" ca="1" si="12"/>
        <v/>
      </c>
      <c r="B81" s="40" t="str">
        <f ca="1">IF(COUNTIF($W$2:W1066,A81)=1,VLOOKUP(A81,O:P,2), IF(COUNTIF($W$2:W1066,A81)=0,$B$9,""))</f>
        <v/>
      </c>
      <c r="C81" s="2" t="str">
        <f t="shared" ca="1" si="13"/>
        <v/>
      </c>
      <c r="D81" s="43"/>
      <c r="E81" s="40" t="str">
        <f ca="1">IF(COUNTIF($W$2:W1066,A81)=1,VLOOKUP(A81,Q:R,2), IF(COUNTIF($W$2:W1066,A81)=0,$C$9,""))</f>
        <v/>
      </c>
      <c r="F81" s="2" t="str">
        <f t="shared" ca="1" si="14"/>
        <v/>
      </c>
      <c r="G81" s="43" t="str">
        <f t="shared" ca="1" si="15"/>
        <v/>
      </c>
      <c r="H81" s="40" t="str">
        <f ca="1">IF(COUNTIF($W$2:W1066,A81)=1,VLOOKUP(A81,S:T,2), IF(COUNTIF($W$2:W1066,A81)=0,$D$9,""))</f>
        <v/>
      </c>
      <c r="I81" s="41" t="str">
        <f ca="1">IF(COUNTIF($X$2:X1066,INT(A81))=1,VLOOKUP(INT(A81),X:Y,2), IF(ISERROR(H81-2),"",I80*(1-$D$8*(H81-H80)*0.0001)))</f>
        <v/>
      </c>
      <c r="J81" s="41" t="str">
        <f t="shared" ca="1" si="16"/>
        <v/>
      </c>
      <c r="K81" s="43" t="str">
        <f t="shared" ca="1" si="17"/>
        <v/>
      </c>
      <c r="L81" s="43"/>
      <c r="M81" s="44" t="str">
        <f ca="1">IF(ISERROR(B81-2),"",C81+D81-F81-G81-K81+SUM($L$14:L81))</f>
        <v/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 t="str">
        <f t="shared" si="9"/>
        <v/>
      </c>
      <c r="V81" s="3" t="str">
        <f t="shared" si="10"/>
        <v/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1"/>
        <v>45890</v>
      </c>
    </row>
    <row r="82" spans="1:30" x14ac:dyDescent="0.25">
      <c r="A82" s="39" t="str">
        <f t="shared" ca="1" si="12"/>
        <v/>
      </c>
      <c r="B82" s="40" t="str">
        <f ca="1">IF(COUNTIF($W$2:W1067,A82)=1,VLOOKUP(A82,O:P,2), IF(COUNTIF($W$2:W1067,A82)=0,$B$9,""))</f>
        <v/>
      </c>
      <c r="C82" s="2" t="str">
        <f t="shared" ca="1" si="13"/>
        <v/>
      </c>
      <c r="D82" s="43"/>
      <c r="E82" s="40" t="str">
        <f ca="1">IF(COUNTIF($W$2:W1067,A82)=1,VLOOKUP(A82,Q:R,2), IF(COUNTIF($W$2:W1067,A82)=0,$C$9,""))</f>
        <v/>
      </c>
      <c r="F82" s="2" t="str">
        <f t="shared" ca="1" si="14"/>
        <v/>
      </c>
      <c r="G82" s="43" t="str">
        <f t="shared" ca="1" si="15"/>
        <v/>
      </c>
      <c r="H82" s="40" t="str">
        <f ca="1">IF(COUNTIF($W$2:W1067,A82)=1,VLOOKUP(A82,S:T,2), IF(COUNTIF($W$2:W1067,A82)=0,$D$9,""))</f>
        <v/>
      </c>
      <c r="I82" s="41" t="str">
        <f ca="1">IF(COUNTIF($X$2:X1067,INT(A82))=1,VLOOKUP(INT(A82),X:Y,2), IF(ISERROR(H82-2),"",I81*(1-$D$8*(H82-H81)*0.0001)))</f>
        <v/>
      </c>
      <c r="J82" s="41" t="str">
        <f t="shared" ca="1" si="16"/>
        <v/>
      </c>
      <c r="K82" s="43" t="str">
        <f t="shared" ca="1" si="17"/>
        <v/>
      </c>
      <c r="L82" s="43"/>
      <c r="M82" s="44" t="str">
        <f ca="1">IF(ISERROR(B82-2),"",C82+D82-F82-G82-K82+SUM($L$14:L82))</f>
        <v/>
      </c>
      <c r="Q82" s="3">
        <v>46162.625</v>
      </c>
      <c r="R82" s="4">
        <v>99.39</v>
      </c>
      <c r="S82" s="3">
        <v>46162.625</v>
      </c>
      <c r="T82" s="4">
        <v>278.315</v>
      </c>
      <c r="U82" s="3" t="str">
        <f t="shared" si="9"/>
        <v/>
      </c>
      <c r="V82" s="3" t="str">
        <f t="shared" si="10"/>
        <v/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1"/>
        <v>45891</v>
      </c>
    </row>
    <row r="83" spans="1:30" x14ac:dyDescent="0.25">
      <c r="A83" s="39" t="str">
        <f t="shared" ca="1" si="12"/>
        <v/>
      </c>
      <c r="B83" s="40" t="str">
        <f ca="1">IF(COUNTIF($W$2:W1068,A83)=1,VLOOKUP(A83,O:P,2), IF(COUNTIF($W$2:W1068,A83)=0,$B$9,""))</f>
        <v/>
      </c>
      <c r="C83" s="2" t="str">
        <f t="shared" ca="1" si="13"/>
        <v/>
      </c>
      <c r="D83" s="43"/>
      <c r="E83" s="40" t="str">
        <f ca="1">IF(COUNTIF($W$2:W1068,A83)=1,VLOOKUP(A83,Q:R,2), IF(COUNTIF($W$2:W1068,A83)=0,$C$9,""))</f>
        <v/>
      </c>
      <c r="F83" s="2" t="str">
        <f t="shared" ca="1" si="14"/>
        <v/>
      </c>
      <c r="G83" s="43" t="str">
        <f t="shared" ca="1" si="15"/>
        <v/>
      </c>
      <c r="H83" s="40" t="str">
        <f ca="1">IF(COUNTIF($W$2:W1068,A83)=1,VLOOKUP(A83,S:T,2), IF(COUNTIF($W$2:W1068,A83)=0,$D$9,""))</f>
        <v/>
      </c>
      <c r="I83" s="41" t="str">
        <f ca="1">IF(COUNTIF($X$2:X1068,INT(A83))=1,VLOOKUP(INT(A83),X:Y,2), IF(ISERROR(H83-2),"",I82*(1-$D$8*(H83-H82)*0.0001)))</f>
        <v/>
      </c>
      <c r="J83" s="41" t="str">
        <f t="shared" ca="1" si="16"/>
        <v/>
      </c>
      <c r="K83" s="43" t="str">
        <f t="shared" ca="1" si="17"/>
        <v/>
      </c>
      <c r="L83" s="43"/>
      <c r="M83" s="44" t="str">
        <f ca="1">IF(ISERROR(B83-2),"",C83+D83-F83-G83-K83+SUM($L$14:L83))</f>
        <v/>
      </c>
      <c r="Q83" s="3">
        <v>46163.625</v>
      </c>
      <c r="R83" s="4">
        <v>99.37</v>
      </c>
      <c r="S83" s="3">
        <v>46163.625</v>
      </c>
      <c r="T83" s="4">
        <v>279.541</v>
      </c>
      <c r="U83" s="3" t="str">
        <f t="shared" si="9"/>
        <v/>
      </c>
      <c r="V83" s="3" t="str">
        <f t="shared" si="10"/>
        <v/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1"/>
        <v>45895</v>
      </c>
    </row>
    <row r="84" spans="1:30" x14ac:dyDescent="0.25">
      <c r="A84" s="39" t="str">
        <f t="shared" ca="1" si="12"/>
        <v/>
      </c>
      <c r="B84" s="40" t="str">
        <f ca="1">IF(COUNTIF($W$2:W1069,A84)=1,VLOOKUP(A84,O:P,2), IF(COUNTIF($W$2:W1069,A84)=0,$B$9,""))</f>
        <v/>
      </c>
      <c r="C84" s="2" t="str">
        <f t="shared" ca="1" si="13"/>
        <v/>
      </c>
      <c r="D84" s="43"/>
      <c r="E84" s="40" t="str">
        <f ca="1">IF(COUNTIF($W$2:W1069,A84)=1,VLOOKUP(A84,Q:R,2), IF(COUNTIF($W$2:W1069,A84)=0,$C$9,""))</f>
        <v/>
      </c>
      <c r="F84" s="2" t="str">
        <f t="shared" ca="1" si="14"/>
        <v/>
      </c>
      <c r="G84" s="43" t="str">
        <f t="shared" ca="1" si="15"/>
        <v/>
      </c>
      <c r="H84" s="40" t="str">
        <f ca="1">IF(COUNTIF($W$2:W1069,A84)=1,VLOOKUP(A84,S:T,2), IF(COUNTIF($W$2:W1069,A84)=0,$D$9,""))</f>
        <v/>
      </c>
      <c r="I84" s="41" t="str">
        <f ca="1">IF(COUNTIF($X$2:X1069,INT(A84))=1,VLOOKUP(INT(A84),X:Y,2), IF(ISERROR(H84-2),"",I83*(1-$D$8*(H84-H83)*0.0001)))</f>
        <v/>
      </c>
      <c r="J84" s="41" t="str">
        <f t="shared" ca="1" si="16"/>
        <v/>
      </c>
      <c r="K84" s="43" t="str">
        <f t="shared" ca="1" si="17"/>
        <v/>
      </c>
      <c r="L84" s="43"/>
      <c r="M84" s="44" t="str">
        <f ca="1">IF(ISERROR(B84-2),"",C84+D84-F84-G84-K84+SUM($L$14:L84))</f>
        <v/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 t="str">
        <f t="shared" si="9"/>
        <v/>
      </c>
      <c r="V84" s="3" t="str">
        <f t="shared" si="10"/>
        <v/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1"/>
        <v>45896</v>
      </c>
    </row>
    <row r="85" spans="1:30" x14ac:dyDescent="0.25">
      <c r="A85" s="39" t="str">
        <f t="shared" ca="1" si="12"/>
        <v/>
      </c>
      <c r="B85" s="40" t="str">
        <f ca="1">IF(COUNTIF($W$2:W1070,A85)=1,VLOOKUP(A85,O:P,2), IF(COUNTIF($W$2:W1070,A85)=0,$B$9,""))</f>
        <v/>
      </c>
      <c r="C85" s="2" t="str">
        <f t="shared" ca="1" si="13"/>
        <v/>
      </c>
      <c r="D85" s="43"/>
      <c r="E85" s="40" t="str">
        <f ca="1">IF(COUNTIF($W$2:W1070,A85)=1,VLOOKUP(A85,Q:R,2), IF(COUNTIF($W$2:W1070,A85)=0,$C$9,""))</f>
        <v/>
      </c>
      <c r="F85" s="2" t="str">
        <f t="shared" ca="1" si="14"/>
        <v/>
      </c>
      <c r="G85" s="43" t="str">
        <f t="shared" ca="1" si="15"/>
        <v/>
      </c>
      <c r="H85" s="40" t="str">
        <f ca="1">IF(COUNTIF($W$2:W1070,A85)=1,VLOOKUP(A85,S:T,2), IF(COUNTIF($W$2:W1070,A85)=0,$D$9,""))</f>
        <v/>
      </c>
      <c r="I85" s="41" t="str">
        <f ca="1">IF(COUNTIF($X$2:X1070,INT(A85))=1,VLOOKUP(INT(A85),X:Y,2), IF(ISERROR(H85-2),"",I84*(1-$D$8*(H85-H84)*0.0001)))</f>
        <v/>
      </c>
      <c r="J85" s="41" t="str">
        <f t="shared" ca="1" si="16"/>
        <v/>
      </c>
      <c r="K85" s="43" t="str">
        <f t="shared" ca="1" si="17"/>
        <v/>
      </c>
      <c r="L85" s="43"/>
      <c r="M85" s="44" t="str">
        <f ca="1">IF(ISERROR(B85-2),"",C85+D85-F85-G85-K85+SUM($L$14:L85))</f>
        <v/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 t="str">
        <f t="shared" si="9"/>
        <v/>
      </c>
      <c r="V85" s="3" t="str">
        <f t="shared" si="10"/>
        <v/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1"/>
        <v>45897</v>
      </c>
    </row>
    <row r="86" spans="1:30" x14ac:dyDescent="0.25">
      <c r="A86" s="39" t="str">
        <f t="shared" ca="1" si="12"/>
        <v/>
      </c>
      <c r="B86" s="40" t="str">
        <f ca="1">IF(COUNTIF($W$2:W1071,A86)=1,VLOOKUP(A86,O:P,2), IF(COUNTIF($W$2:W1071,A86)=0,$B$9,""))</f>
        <v/>
      </c>
      <c r="C86" s="2" t="str">
        <f t="shared" ca="1" si="13"/>
        <v/>
      </c>
      <c r="D86" s="43"/>
      <c r="E86" s="40" t="str">
        <f ca="1">IF(COUNTIF($W$2:W1071,A86)=1,VLOOKUP(A86,Q:R,2), IF(COUNTIF($W$2:W1071,A86)=0,$C$9,""))</f>
        <v/>
      </c>
      <c r="F86" s="2" t="str">
        <f t="shared" ca="1" si="14"/>
        <v/>
      </c>
      <c r="G86" s="43" t="str">
        <f t="shared" ca="1" si="15"/>
        <v/>
      </c>
      <c r="H86" s="40" t="str">
        <f ca="1">IF(COUNTIF($W$2:W1071,A86)=1,VLOOKUP(A86,S:T,2), IF(COUNTIF($W$2:W1071,A86)=0,$D$9,""))</f>
        <v/>
      </c>
      <c r="I86" s="41" t="str">
        <f ca="1">IF(COUNTIF($X$2:X1071,INT(A86))=1,VLOOKUP(INT(A86),X:Y,2), IF(ISERROR(H86-2),"",I85*(1-$D$8*(H86-H85)*0.0001)))</f>
        <v/>
      </c>
      <c r="J86" s="41" t="str">
        <f t="shared" ca="1" si="16"/>
        <v/>
      </c>
      <c r="K86" s="43" t="str">
        <f t="shared" ca="1" si="17"/>
        <v/>
      </c>
      <c r="L86" s="43"/>
      <c r="M86" s="44" t="str">
        <f ca="1">IF(ISERROR(B86-2),"",C86+D86-F86-G86-K86+SUM($L$14:L86))</f>
        <v/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 t="str">
        <f t="shared" si="9"/>
        <v/>
      </c>
      <c r="V86" s="3" t="str">
        <f t="shared" si="10"/>
        <v/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1"/>
        <v>45898</v>
      </c>
    </row>
    <row r="87" spans="1:30" x14ac:dyDescent="0.25">
      <c r="A87" s="39" t="str">
        <f t="shared" ca="1" si="12"/>
        <v/>
      </c>
      <c r="B87" s="40" t="str">
        <f ca="1">IF(COUNTIF($W$2:W1072,A87)=1,VLOOKUP(A87,O:P,2), IF(COUNTIF($W$2:W1072,A87)=0,$B$9,""))</f>
        <v/>
      </c>
      <c r="C87" s="2" t="str">
        <f t="shared" ca="1" si="13"/>
        <v/>
      </c>
      <c r="D87" s="43"/>
      <c r="E87" s="40" t="str">
        <f ca="1">IF(COUNTIF($W$2:W1072,A87)=1,VLOOKUP(A87,Q:R,2), IF(COUNTIF($W$2:W1072,A87)=0,$C$9,""))</f>
        <v/>
      </c>
      <c r="F87" s="2" t="str">
        <f t="shared" ca="1" si="14"/>
        <v/>
      </c>
      <c r="G87" s="43" t="str">
        <f t="shared" ca="1" si="15"/>
        <v/>
      </c>
      <c r="H87" s="40" t="str">
        <f ca="1">IF(COUNTIF($W$2:W1072,A87)=1,VLOOKUP(A87,S:T,2), IF(COUNTIF($W$2:W1072,A87)=0,$D$9,""))</f>
        <v/>
      </c>
      <c r="I87" s="41" t="str">
        <f ca="1">IF(COUNTIF($X$2:X1072,INT(A87))=1,VLOOKUP(INT(A87),X:Y,2), IF(ISERROR(H87-2),"",I86*(1-$D$8*(H87-H86)*0.0001)))</f>
        <v/>
      </c>
      <c r="J87" s="41" t="str">
        <f t="shared" ca="1" si="16"/>
        <v/>
      </c>
      <c r="K87" s="43" t="str">
        <f t="shared" ca="1" si="17"/>
        <v/>
      </c>
      <c r="L87" s="43"/>
      <c r="M87" s="44" t="str">
        <f ca="1">IF(ISERROR(B87-2),"",C87+D87-F87-G87-K87+SUM($L$14:L87))</f>
        <v/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 t="str">
        <f t="shared" si="9"/>
        <v/>
      </c>
      <c r="V87" s="3" t="str">
        <f t="shared" si="10"/>
        <v/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1"/>
        <v>45901</v>
      </c>
    </row>
    <row r="88" spans="1:30" x14ac:dyDescent="0.25">
      <c r="A88" s="39" t="str">
        <f t="shared" ca="1" si="12"/>
        <v/>
      </c>
      <c r="B88" s="40" t="str">
        <f ca="1">IF(COUNTIF($W$2:W1073,A88)=1,VLOOKUP(A88,O:P,2), IF(COUNTIF($W$2:W1073,A88)=0,$B$9,""))</f>
        <v/>
      </c>
      <c r="C88" s="2" t="str">
        <f t="shared" ca="1" si="13"/>
        <v/>
      </c>
      <c r="D88" s="43"/>
      <c r="E88" s="40" t="str">
        <f ca="1">IF(COUNTIF($W$2:W1073,A88)=1,VLOOKUP(A88,Q:R,2), IF(COUNTIF($W$2:W1073,A88)=0,$C$9,""))</f>
        <v/>
      </c>
      <c r="F88" s="2" t="str">
        <f t="shared" ca="1" si="14"/>
        <v/>
      </c>
      <c r="G88" s="43" t="str">
        <f t="shared" ca="1" si="15"/>
        <v/>
      </c>
      <c r="H88" s="40" t="str">
        <f ca="1">IF(COUNTIF($W$2:W1073,A88)=1,VLOOKUP(A88,S:T,2), IF(COUNTIF($W$2:W1073,A88)=0,$D$9,""))</f>
        <v/>
      </c>
      <c r="I88" s="41" t="str">
        <f ca="1">IF(COUNTIF($X$2:X1073,INT(A88))=1,VLOOKUP(INT(A88),X:Y,2), IF(ISERROR(H88-2),"",I87*(1-$D$8*(H88-H87)*0.0001)))</f>
        <v/>
      </c>
      <c r="J88" s="41" t="str">
        <f t="shared" ca="1" si="16"/>
        <v/>
      </c>
      <c r="K88" s="43" t="str">
        <f t="shared" ca="1" si="17"/>
        <v/>
      </c>
      <c r="L88" s="43"/>
      <c r="M88" s="44" t="str">
        <f ca="1">IF(ISERROR(B88-2),"",C88+D88-F88-G88-K88+SUM($L$14:L88))</f>
        <v/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 t="str">
        <f t="shared" si="9"/>
        <v/>
      </c>
      <c r="V88" s="3" t="str">
        <f t="shared" si="10"/>
        <v/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1"/>
        <v>45902</v>
      </c>
    </row>
    <row r="89" spans="1:30" x14ac:dyDescent="0.25">
      <c r="A89" s="39" t="str">
        <f t="shared" ca="1" si="12"/>
        <v/>
      </c>
      <c r="B89" s="40" t="str">
        <f ca="1">IF(COUNTIF($W$2:W1074,A89)=1,VLOOKUP(A89,O:P,2), IF(COUNTIF($W$2:W1074,A89)=0,$B$9,""))</f>
        <v/>
      </c>
      <c r="C89" s="2" t="str">
        <f t="shared" ca="1" si="13"/>
        <v/>
      </c>
      <c r="D89" s="43"/>
      <c r="E89" s="40" t="str">
        <f ca="1">IF(COUNTIF($W$2:W1074,A89)=1,VLOOKUP(A89,Q:R,2), IF(COUNTIF($W$2:W1074,A89)=0,$C$9,""))</f>
        <v/>
      </c>
      <c r="F89" s="2" t="str">
        <f t="shared" ca="1" si="14"/>
        <v/>
      </c>
      <c r="G89" s="43" t="str">
        <f t="shared" ca="1" si="15"/>
        <v/>
      </c>
      <c r="H89" s="40" t="str">
        <f ca="1">IF(COUNTIF($W$2:W1074,A89)=1,VLOOKUP(A89,S:T,2), IF(COUNTIF($W$2:W1074,A89)=0,$D$9,""))</f>
        <v/>
      </c>
      <c r="I89" s="41" t="str">
        <f ca="1">IF(COUNTIF($X$2:X1074,INT(A89))=1,VLOOKUP(INT(A89),X:Y,2), IF(ISERROR(H89-2),"",I88*(1-$D$8*(H89-H88)*0.0001)))</f>
        <v/>
      </c>
      <c r="J89" s="41" t="str">
        <f t="shared" ca="1" si="16"/>
        <v/>
      </c>
      <c r="K89" s="43" t="str">
        <f t="shared" ca="1" si="17"/>
        <v/>
      </c>
      <c r="L89" s="43"/>
      <c r="M89" s="44" t="str">
        <f ca="1">IF(ISERROR(B89-2),"",C89+D89-F89-G89-K89+SUM($L$14:L89))</f>
        <v/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 t="str">
        <f t="shared" si="9"/>
        <v/>
      </c>
      <c r="V89" s="3" t="str">
        <f t="shared" si="10"/>
        <v/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1"/>
        <v>45903</v>
      </c>
    </row>
    <row r="90" spans="1:30" x14ac:dyDescent="0.25">
      <c r="A90" s="39" t="str">
        <f t="shared" ca="1" si="12"/>
        <v/>
      </c>
      <c r="B90" s="40" t="str">
        <f ca="1">IF(COUNTIF($W$2:W1075,A90)=1,VLOOKUP(A90,O:P,2), IF(COUNTIF($W$2:W1075,A90)=0,$B$9,""))</f>
        <v/>
      </c>
      <c r="C90" s="2" t="str">
        <f t="shared" ca="1" si="13"/>
        <v/>
      </c>
      <c r="D90" s="43"/>
      <c r="E90" s="40" t="str">
        <f ca="1">IF(COUNTIF($W$2:W1075,A90)=1,VLOOKUP(A90,Q:R,2), IF(COUNTIF($W$2:W1075,A90)=0,$C$9,""))</f>
        <v/>
      </c>
      <c r="F90" s="2" t="str">
        <f t="shared" ca="1" si="14"/>
        <v/>
      </c>
      <c r="G90" s="43" t="str">
        <f t="shared" ca="1" si="15"/>
        <v/>
      </c>
      <c r="H90" s="40" t="str">
        <f ca="1">IF(COUNTIF($W$2:W1075,A90)=1,VLOOKUP(A90,S:T,2), IF(COUNTIF($W$2:W1075,A90)=0,$D$9,""))</f>
        <v/>
      </c>
      <c r="I90" s="41" t="str">
        <f ca="1">IF(COUNTIF($X$2:X1075,INT(A90))=1,VLOOKUP(INT(A90),X:Y,2), IF(ISERROR(H90-2),"",I89*(1-$D$8*(H90-H89)*0.0001)))</f>
        <v/>
      </c>
      <c r="J90" s="41" t="str">
        <f t="shared" ca="1" si="16"/>
        <v/>
      </c>
      <c r="K90" s="43" t="str">
        <f t="shared" ca="1" si="17"/>
        <v/>
      </c>
      <c r="L90" s="43"/>
      <c r="M90" s="44" t="str">
        <f ca="1">IF(ISERROR(B90-2),"",C90+D90-F90-G90-K90+SUM($L$14:L90))</f>
        <v/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 t="str">
        <f t="shared" si="9"/>
        <v/>
      </c>
      <c r="V90" s="3" t="str">
        <f t="shared" si="10"/>
        <v/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1"/>
        <v>45904</v>
      </c>
    </row>
    <row r="91" spans="1:30" x14ac:dyDescent="0.25">
      <c r="A91" s="39" t="str">
        <f t="shared" ca="1" si="12"/>
        <v/>
      </c>
      <c r="B91" s="40" t="str">
        <f ca="1">IF(COUNTIF($W$2:W1076,A91)=1,VLOOKUP(A91,O:P,2), IF(COUNTIF($W$2:W1076,A91)=0,$B$9,""))</f>
        <v/>
      </c>
      <c r="C91" s="2" t="str">
        <f t="shared" ca="1" si="13"/>
        <v/>
      </c>
      <c r="D91" s="43"/>
      <c r="E91" s="40" t="str">
        <f ca="1">IF(COUNTIF($W$2:W1076,A91)=1,VLOOKUP(A91,Q:R,2), IF(COUNTIF($W$2:W1076,A91)=0,$C$9,""))</f>
        <v/>
      </c>
      <c r="F91" s="2" t="str">
        <f t="shared" ca="1" si="14"/>
        <v/>
      </c>
      <c r="G91" s="43" t="str">
        <f t="shared" ca="1" si="15"/>
        <v/>
      </c>
      <c r="H91" s="40" t="str">
        <f ca="1">IF(COUNTIF($W$2:W1076,A91)=1,VLOOKUP(A91,S:T,2), IF(COUNTIF($W$2:W1076,A91)=0,$D$9,""))</f>
        <v/>
      </c>
      <c r="I91" s="41" t="str">
        <f ca="1">IF(COUNTIF($X$2:X1076,INT(A91))=1,VLOOKUP(INT(A91),X:Y,2), IF(ISERROR(H91-2),"",I90*(1-$D$8*(H91-H90)*0.0001)))</f>
        <v/>
      </c>
      <c r="J91" s="41" t="str">
        <f t="shared" ca="1" si="16"/>
        <v/>
      </c>
      <c r="K91" s="43" t="str">
        <f t="shared" ca="1" si="17"/>
        <v/>
      </c>
      <c r="L91" s="43"/>
      <c r="M91" s="44" t="str">
        <f ca="1">IF(ISERROR(B91-2),"",C91+D91-F91-G91-K91+SUM($L$14:L91))</f>
        <v/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 t="str">
        <f t="shared" si="9"/>
        <v/>
      </c>
      <c r="V91" s="3" t="str">
        <f t="shared" si="10"/>
        <v/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1"/>
        <v>45905</v>
      </c>
    </row>
    <row r="92" spans="1:30" x14ac:dyDescent="0.25">
      <c r="A92" s="39" t="str">
        <f t="shared" ca="1" si="12"/>
        <v/>
      </c>
      <c r="B92" s="40" t="str">
        <f ca="1">IF(COUNTIF($W$2:W1077,A92)=1,VLOOKUP(A92,O:P,2), IF(COUNTIF($W$2:W1077,A92)=0,$B$9,""))</f>
        <v/>
      </c>
      <c r="C92" s="2" t="str">
        <f t="shared" ca="1" si="13"/>
        <v/>
      </c>
      <c r="D92" s="43"/>
      <c r="E92" s="40" t="str">
        <f ca="1">IF(COUNTIF($W$2:W1077,A92)=1,VLOOKUP(A92,Q:R,2), IF(COUNTIF($W$2:W1077,A92)=0,$C$9,""))</f>
        <v/>
      </c>
      <c r="F92" s="2" t="str">
        <f t="shared" ca="1" si="14"/>
        <v/>
      </c>
      <c r="G92" s="43" t="str">
        <f t="shared" ca="1" si="15"/>
        <v/>
      </c>
      <c r="H92" s="40" t="str">
        <f ca="1">IF(COUNTIF($W$2:W1077,A92)=1,VLOOKUP(A92,S:T,2), IF(COUNTIF($W$2:W1077,A92)=0,$D$9,""))</f>
        <v/>
      </c>
      <c r="I92" s="41" t="str">
        <f ca="1">IF(COUNTIF($X$2:X1077,INT(A92))=1,VLOOKUP(INT(A92),X:Y,2), IF(ISERROR(H92-2),"",I91*(1-$D$8*(H92-H91)*0.0001)))</f>
        <v/>
      </c>
      <c r="J92" s="41" t="str">
        <f t="shared" ca="1" si="16"/>
        <v/>
      </c>
      <c r="K92" s="43" t="str">
        <f t="shared" ca="1" si="17"/>
        <v/>
      </c>
      <c r="L92" s="43"/>
      <c r="M92" s="44" t="str">
        <f ca="1">IF(ISERROR(B92-2),"",C92+D92-F92-G92-K92+SUM($L$14:L92))</f>
        <v/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 t="str">
        <f t="shared" si="9"/>
        <v/>
      </c>
      <c r="V92" s="3" t="str">
        <f t="shared" si="10"/>
        <v/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1"/>
        <v>45908</v>
      </c>
    </row>
    <row r="93" spans="1:30" x14ac:dyDescent="0.25">
      <c r="A93" s="39" t="str">
        <f t="shared" ca="1" si="12"/>
        <v/>
      </c>
      <c r="B93" s="40" t="str">
        <f ca="1">IF(COUNTIF($W$2:W1078,A93)=1,VLOOKUP(A93,O:P,2), IF(COUNTIF($W$2:W1078,A93)=0,$B$9,""))</f>
        <v/>
      </c>
      <c r="C93" s="2" t="str">
        <f t="shared" ca="1" si="13"/>
        <v/>
      </c>
      <c r="D93" s="43"/>
      <c r="E93" s="40" t="str">
        <f ca="1">IF(COUNTIF($W$2:W1078,A93)=1,VLOOKUP(A93,Q:R,2), IF(COUNTIF($W$2:W1078,A93)=0,$C$9,""))</f>
        <v/>
      </c>
      <c r="F93" s="2" t="str">
        <f t="shared" ca="1" si="14"/>
        <v/>
      </c>
      <c r="G93" s="43" t="str">
        <f t="shared" ca="1" si="15"/>
        <v/>
      </c>
      <c r="H93" s="40" t="str">
        <f ca="1">IF(COUNTIF($W$2:W1078,A93)=1,VLOOKUP(A93,S:T,2), IF(COUNTIF($W$2:W1078,A93)=0,$D$9,""))</f>
        <v/>
      </c>
      <c r="I93" s="41" t="str">
        <f ca="1">IF(COUNTIF($X$2:X1078,INT(A93))=1,VLOOKUP(INT(A93),X:Y,2), IF(ISERROR(H93-2),"",I92*(1-$D$8*(H93-H92)*0.0001)))</f>
        <v/>
      </c>
      <c r="J93" s="41" t="str">
        <f t="shared" ca="1" si="16"/>
        <v/>
      </c>
      <c r="K93" s="43" t="str">
        <f t="shared" ca="1" si="17"/>
        <v/>
      </c>
      <c r="L93" s="43"/>
      <c r="M93" s="44" t="str">
        <f ca="1">IF(ISERROR(B93-2),"",C93+D93-F93-G93-K93+SUM($L$14:L93))</f>
        <v/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 t="str">
        <f t="shared" si="9"/>
        <v/>
      </c>
      <c r="V93" s="3" t="str">
        <f t="shared" si="10"/>
        <v/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1"/>
        <v>45909</v>
      </c>
    </row>
    <row r="94" spans="1:30" x14ac:dyDescent="0.25">
      <c r="A94" s="39" t="str">
        <f t="shared" ca="1" si="12"/>
        <v/>
      </c>
      <c r="B94" s="40" t="str">
        <f ca="1">IF(COUNTIF($W$2:W1079,A94)=1,VLOOKUP(A94,O:P,2), IF(COUNTIF($W$2:W1079,A94)=0,$B$9,""))</f>
        <v/>
      </c>
      <c r="C94" s="2" t="str">
        <f t="shared" ca="1" si="13"/>
        <v/>
      </c>
      <c r="D94" s="43"/>
      <c r="E94" s="40" t="str">
        <f ca="1">IF(COUNTIF($W$2:W1079,A94)=1,VLOOKUP(A94,Q:R,2), IF(COUNTIF($W$2:W1079,A94)=0,$C$9,""))</f>
        <v/>
      </c>
      <c r="F94" s="2" t="str">
        <f t="shared" ca="1" si="14"/>
        <v/>
      </c>
      <c r="G94" s="43" t="str">
        <f t="shared" ca="1" si="15"/>
        <v/>
      </c>
      <c r="H94" s="40" t="str">
        <f ca="1">IF(COUNTIF($W$2:W1079,A94)=1,VLOOKUP(A94,S:T,2), IF(COUNTIF($W$2:W1079,A94)=0,$D$9,""))</f>
        <v/>
      </c>
      <c r="I94" s="41" t="str">
        <f ca="1">IF(COUNTIF($X$2:X1079,INT(A94))=1,VLOOKUP(INT(A94),X:Y,2), IF(ISERROR(H94-2),"",I93*(1-$D$8*(H94-H93)*0.0001)))</f>
        <v/>
      </c>
      <c r="J94" s="41" t="str">
        <f t="shared" ca="1" si="16"/>
        <v/>
      </c>
      <c r="K94" s="43" t="str">
        <f t="shared" ca="1" si="17"/>
        <v/>
      </c>
      <c r="L94" s="43"/>
      <c r="M94" s="44" t="str">
        <f ca="1">IF(ISERROR(B94-2),"",C94+D94-F94-G94-K94+SUM($L$14:L94))</f>
        <v/>
      </c>
      <c r="Q94" s="3">
        <v>46178.625</v>
      </c>
      <c r="R94" s="4">
        <v>99.38</v>
      </c>
      <c r="S94" s="3">
        <v>46181.625</v>
      </c>
      <c r="T94" s="4">
        <v>263.755</v>
      </c>
      <c r="U94" s="3" t="str">
        <f t="shared" si="9"/>
        <v/>
      </c>
      <c r="V94" s="3" t="str">
        <f t="shared" si="10"/>
        <v/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1"/>
        <v>45910</v>
      </c>
    </row>
    <row r="95" spans="1:30" x14ac:dyDescent="0.25">
      <c r="A95" s="39" t="str">
        <f t="shared" ca="1" si="12"/>
        <v/>
      </c>
      <c r="B95" s="40" t="str">
        <f ca="1">IF(COUNTIF($W$2:W1080,A95)=1,VLOOKUP(A95,O:P,2), IF(COUNTIF($W$2:W1080,A95)=0,$B$9,""))</f>
        <v/>
      </c>
      <c r="C95" s="2" t="str">
        <f t="shared" ca="1" si="13"/>
        <v/>
      </c>
      <c r="D95" s="43"/>
      <c r="E95" s="40" t="str">
        <f ca="1">IF(COUNTIF($W$2:W1080,A95)=1,VLOOKUP(A95,Q:R,2), IF(COUNTIF($W$2:W1080,A95)=0,$C$9,""))</f>
        <v/>
      </c>
      <c r="F95" s="2" t="str">
        <f t="shared" ca="1" si="14"/>
        <v/>
      </c>
      <c r="G95" s="43" t="str">
        <f t="shared" ca="1" si="15"/>
        <v/>
      </c>
      <c r="H95" s="40" t="str">
        <f ca="1">IF(COUNTIF($W$2:W1080,A95)=1,VLOOKUP(A95,S:T,2), IF(COUNTIF($W$2:W1080,A95)=0,$D$9,""))</f>
        <v/>
      </c>
      <c r="I95" s="41" t="str">
        <f ca="1">IF(COUNTIF($X$2:X1080,INT(A95))=1,VLOOKUP(INT(A95),X:Y,2), IF(ISERROR(H95-2),"",I94*(1-$D$8*(H95-H94)*0.0001)))</f>
        <v/>
      </c>
      <c r="J95" s="41" t="str">
        <f t="shared" ca="1" si="16"/>
        <v/>
      </c>
      <c r="K95" s="43" t="str">
        <f t="shared" ca="1" si="17"/>
        <v/>
      </c>
      <c r="L95" s="43"/>
      <c r="M95" s="44" t="str">
        <f ca="1">IF(ISERROR(B95-2),"",C95+D95-F95-G95-K95+SUM($L$14:L95))</f>
        <v/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 t="str">
        <f t="shared" si="9"/>
        <v/>
      </c>
      <c r="V95" s="3" t="str">
        <f t="shared" si="10"/>
        <v/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1"/>
        <v>45911</v>
      </c>
    </row>
    <row r="96" spans="1:30" x14ac:dyDescent="0.25">
      <c r="A96" s="39" t="str">
        <f t="shared" ca="1" si="12"/>
        <v/>
      </c>
      <c r="B96" s="40" t="str">
        <f ca="1">IF(COUNTIF($W$2:W1081,A96)=1,VLOOKUP(A96,O:P,2), IF(COUNTIF($W$2:W1081,A96)=0,$B$9,""))</f>
        <v/>
      </c>
      <c r="C96" s="2" t="str">
        <f t="shared" ca="1" si="13"/>
        <v/>
      </c>
      <c r="D96" s="43"/>
      <c r="E96" s="40" t="str">
        <f ca="1">IF(COUNTIF($W$2:W1081,A96)=1,VLOOKUP(A96,Q:R,2), IF(COUNTIF($W$2:W1081,A96)=0,$C$9,""))</f>
        <v/>
      </c>
      <c r="F96" s="2" t="str">
        <f t="shared" ca="1" si="14"/>
        <v/>
      </c>
      <c r="G96" s="43" t="str">
        <f t="shared" ca="1" si="15"/>
        <v/>
      </c>
      <c r="H96" s="40" t="str">
        <f ca="1">IF(COUNTIF($W$2:W1081,A96)=1,VLOOKUP(A96,S:T,2), IF(COUNTIF($W$2:W1081,A96)=0,$D$9,""))</f>
        <v/>
      </c>
      <c r="I96" s="41" t="str">
        <f ca="1">IF(COUNTIF($X$2:X1081,INT(A96))=1,VLOOKUP(INT(A96),X:Y,2), IF(ISERROR(H96-2),"",I95*(1-$D$8*(H96-H95)*0.0001)))</f>
        <v/>
      </c>
      <c r="J96" s="41" t="str">
        <f t="shared" ca="1" si="16"/>
        <v/>
      </c>
      <c r="K96" s="43" t="str">
        <f t="shared" ca="1" si="17"/>
        <v/>
      </c>
      <c r="L96" s="43"/>
      <c r="M96" s="44" t="str">
        <f ca="1">IF(ISERROR(B96-2),"",C96+D96-F96-G96-K96+SUM($L$14:L96))</f>
        <v/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 t="str">
        <f t="shared" si="9"/>
        <v/>
      </c>
      <c r="V96" s="3" t="str">
        <f t="shared" si="10"/>
        <v/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1"/>
        <v>45912</v>
      </c>
    </row>
    <row r="97" spans="1:30" x14ac:dyDescent="0.25">
      <c r="A97" s="39" t="str">
        <f t="shared" ca="1" si="12"/>
        <v/>
      </c>
      <c r="B97" s="40" t="str">
        <f ca="1">IF(COUNTIF($W$2:W1082,A97)=1,VLOOKUP(A97,O:P,2), IF(COUNTIF($W$2:W1082,A97)=0,$B$9,""))</f>
        <v/>
      </c>
      <c r="C97" s="2" t="str">
        <f t="shared" ca="1" si="13"/>
        <v/>
      </c>
      <c r="D97" s="43"/>
      <c r="E97" s="40" t="str">
        <f ca="1">IF(COUNTIF($W$2:W1082,A97)=1,VLOOKUP(A97,Q:R,2), IF(COUNTIF($W$2:W1082,A97)=0,$C$9,""))</f>
        <v/>
      </c>
      <c r="F97" s="2" t="str">
        <f t="shared" ca="1" si="14"/>
        <v/>
      </c>
      <c r="G97" s="43" t="str">
        <f t="shared" ca="1" si="15"/>
        <v/>
      </c>
      <c r="H97" s="40" t="str">
        <f ca="1">IF(COUNTIF($W$2:W1082,A97)=1,VLOOKUP(A97,S:T,2), IF(COUNTIF($W$2:W1082,A97)=0,$D$9,""))</f>
        <v/>
      </c>
      <c r="I97" s="41" t="str">
        <f ca="1">IF(COUNTIF($X$2:X1082,INT(A97))=1,VLOOKUP(INT(A97),X:Y,2), IF(ISERROR(H97-2),"",I96*(1-$D$8*(H97-H96)*0.0001)))</f>
        <v/>
      </c>
      <c r="J97" s="41" t="str">
        <f t="shared" ca="1" si="16"/>
        <v/>
      </c>
      <c r="K97" s="43" t="str">
        <f t="shared" ca="1" si="17"/>
        <v/>
      </c>
      <c r="L97" s="43"/>
      <c r="M97" s="44" t="str">
        <f ca="1">IF(ISERROR(B97-2),"",C97+D97-F97-G97-K97+SUM($L$14:L97))</f>
        <v/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 t="str">
        <f t="shared" si="9"/>
        <v/>
      </c>
      <c r="V97" s="3" t="str">
        <f t="shared" si="10"/>
        <v/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1"/>
        <v>45915</v>
      </c>
    </row>
    <row r="98" spans="1:30" x14ac:dyDescent="0.25">
      <c r="A98" s="39" t="str">
        <f t="shared" ca="1" si="12"/>
        <v/>
      </c>
      <c r="B98" s="40" t="str">
        <f ca="1">IF(COUNTIF($W$2:W1083,A98)=1,VLOOKUP(A98,O:P,2), IF(COUNTIF($W$2:W1083,A98)=0,$B$9,""))</f>
        <v/>
      </c>
      <c r="C98" s="2" t="str">
        <f t="shared" ca="1" si="13"/>
        <v/>
      </c>
      <c r="D98" s="43"/>
      <c r="E98" s="40" t="str">
        <f ca="1">IF(COUNTIF($W$2:W1083,A98)=1,VLOOKUP(A98,Q:R,2), IF(COUNTIF($W$2:W1083,A98)=0,$C$9,""))</f>
        <v/>
      </c>
      <c r="F98" s="2" t="str">
        <f t="shared" ca="1" si="14"/>
        <v/>
      </c>
      <c r="G98" s="43" t="str">
        <f t="shared" ca="1" si="15"/>
        <v/>
      </c>
      <c r="H98" s="40" t="str">
        <f ca="1">IF(COUNTIF($W$2:W1083,A98)=1,VLOOKUP(A98,S:T,2), IF(COUNTIF($W$2:W1083,A98)=0,$D$9,""))</f>
        <v/>
      </c>
      <c r="I98" s="41" t="str">
        <f ca="1">IF(COUNTIF($X$2:X1083,INT(A98))=1,VLOOKUP(INT(A98),X:Y,2), IF(ISERROR(H98-2),"",I97*(1-$D$8*(H98-H97)*0.0001)))</f>
        <v/>
      </c>
      <c r="J98" s="41" t="str">
        <f t="shared" ca="1" si="16"/>
        <v/>
      </c>
      <c r="K98" s="43" t="str">
        <f t="shared" ca="1" si="17"/>
        <v/>
      </c>
      <c r="L98" s="43"/>
      <c r="M98" s="44" t="str">
        <f ca="1">IF(ISERROR(B98-2),"",C98+D98-F98-G98-K98+SUM($L$14:L98))</f>
        <v/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 t="str">
        <f t="shared" si="9"/>
        <v/>
      </c>
      <c r="V98" s="3" t="str">
        <f t="shared" si="10"/>
        <v/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1"/>
        <v>45916</v>
      </c>
    </row>
    <row r="99" spans="1:30" x14ac:dyDescent="0.25">
      <c r="A99" s="39" t="str">
        <f t="shared" ca="1" si="12"/>
        <v/>
      </c>
      <c r="B99" s="40" t="str">
        <f ca="1">IF(COUNTIF($W$2:W1084,A99)=1,VLOOKUP(A99,O:P,2), IF(COUNTIF($W$2:W1084,A99)=0,$B$9,""))</f>
        <v/>
      </c>
      <c r="C99" s="2" t="str">
        <f t="shared" ca="1" si="13"/>
        <v/>
      </c>
      <c r="D99" s="43"/>
      <c r="E99" s="40" t="str">
        <f ca="1">IF(COUNTIF($W$2:W1084,A99)=1,VLOOKUP(A99,Q:R,2), IF(COUNTIF($W$2:W1084,A99)=0,$C$9,""))</f>
        <v/>
      </c>
      <c r="F99" s="2" t="str">
        <f t="shared" ca="1" si="14"/>
        <v/>
      </c>
      <c r="G99" s="43" t="str">
        <f t="shared" ca="1" si="15"/>
        <v/>
      </c>
      <c r="H99" s="40" t="str">
        <f ca="1">IF(COUNTIF($W$2:W1084,A99)=1,VLOOKUP(A99,S:T,2), IF(COUNTIF($W$2:W1084,A99)=0,$D$9,""))</f>
        <v/>
      </c>
      <c r="I99" s="41" t="str">
        <f ca="1">IF(COUNTIF($X$2:X1084,INT(A99))=1,VLOOKUP(INT(A99),X:Y,2), IF(ISERROR(H99-2),"",I98*(1-$D$8*(H99-H98)*0.0001)))</f>
        <v/>
      </c>
      <c r="J99" s="41" t="str">
        <f t="shared" ca="1" si="16"/>
        <v/>
      </c>
      <c r="K99" s="43" t="str">
        <f t="shared" ca="1" si="17"/>
        <v/>
      </c>
      <c r="L99" s="43"/>
      <c r="M99" s="44" t="str">
        <f ca="1">IF(ISERROR(B99-2),"",C99+D99-F99-G99-K99+SUM($L$14:L99))</f>
        <v/>
      </c>
      <c r="Q99" s="3">
        <v>46185.625</v>
      </c>
      <c r="R99" s="4">
        <v>99.512</v>
      </c>
      <c r="S99" s="3">
        <v>46188.625</v>
      </c>
      <c r="T99" s="4">
        <v>248.518</v>
      </c>
      <c r="U99" s="3" t="str">
        <f t="shared" si="9"/>
        <v/>
      </c>
      <c r="V99" s="3" t="str">
        <f t="shared" si="10"/>
        <v/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1"/>
        <v>45917</v>
      </c>
    </row>
    <row r="100" spans="1:30" x14ac:dyDescent="0.25">
      <c r="A100" s="39" t="str">
        <f t="shared" ca="1" si="12"/>
        <v/>
      </c>
      <c r="B100" s="40" t="str">
        <f ca="1">IF(COUNTIF($W$2:W1085,A100)=1,VLOOKUP(A100,O:P,2), IF(COUNTIF($W$2:W1085,A100)=0,$B$9,""))</f>
        <v/>
      </c>
      <c r="C100" s="2" t="str">
        <f t="shared" ca="1" si="13"/>
        <v/>
      </c>
      <c r="D100" s="43"/>
      <c r="E100" s="40" t="str">
        <f ca="1">IF(COUNTIF($W$2:W1085,A100)=1,VLOOKUP(A100,Q:R,2), IF(COUNTIF($W$2:W1085,A100)=0,$C$9,""))</f>
        <v/>
      </c>
      <c r="F100" s="2" t="str">
        <f t="shared" ca="1" si="14"/>
        <v/>
      </c>
      <c r="G100" s="43" t="str">
        <f t="shared" ca="1" si="15"/>
        <v/>
      </c>
      <c r="H100" s="40" t="str">
        <f ca="1">IF(COUNTIF($W$2:W1085,A100)=1,VLOOKUP(A100,S:T,2), IF(COUNTIF($W$2:W1085,A100)=0,$D$9,""))</f>
        <v/>
      </c>
      <c r="I100" s="41" t="str">
        <f ca="1">IF(COUNTIF($X$2:X1085,INT(A100))=1,VLOOKUP(INT(A100),X:Y,2), IF(ISERROR(H100-2),"",I99*(1-$D$8*(H100-H99)*0.0001)))</f>
        <v/>
      </c>
      <c r="J100" s="41" t="str">
        <f t="shared" ca="1" si="16"/>
        <v/>
      </c>
      <c r="K100" s="43" t="str">
        <f t="shared" ca="1" si="17"/>
        <v/>
      </c>
      <c r="L100" s="43"/>
      <c r="M100" s="44" t="str">
        <f ca="1">IF(ISERROR(B100-2),"",C100+D100-F100-G100-K100+SUM($L$14:L100))</f>
        <v/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 t="str">
        <f t="shared" si="9"/>
        <v/>
      </c>
      <c r="V100" s="3" t="str">
        <f t="shared" si="10"/>
        <v/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1"/>
        <v>45918</v>
      </c>
    </row>
    <row r="101" spans="1:30" x14ac:dyDescent="0.25">
      <c r="A101" s="39" t="str">
        <f t="shared" ca="1" si="12"/>
        <v/>
      </c>
      <c r="B101" s="40" t="str">
        <f ca="1">IF(COUNTIF($W$2:W1086,A101)=1,VLOOKUP(A101,O:P,2), IF(COUNTIF($W$2:W1086,A101)=0,$B$9,""))</f>
        <v/>
      </c>
      <c r="C101" s="2" t="str">
        <f t="shared" ca="1" si="13"/>
        <v/>
      </c>
      <c r="D101" s="43"/>
      <c r="E101" s="40" t="str">
        <f ca="1">IF(COUNTIF($W$2:W1086,A101)=1,VLOOKUP(A101,Q:R,2), IF(COUNTIF($W$2:W1086,A101)=0,$C$9,""))</f>
        <v/>
      </c>
      <c r="F101" s="2" t="str">
        <f t="shared" ca="1" si="14"/>
        <v/>
      </c>
      <c r="G101" s="43" t="str">
        <f t="shared" ca="1" si="15"/>
        <v/>
      </c>
      <c r="H101" s="40" t="str">
        <f ca="1">IF(COUNTIF($W$2:W1086,A101)=1,VLOOKUP(A101,S:T,2), IF(COUNTIF($W$2:W1086,A101)=0,$D$9,""))</f>
        <v/>
      </c>
      <c r="I101" s="41" t="str">
        <f ca="1">IF(COUNTIF($X$2:X1086,INT(A101))=1,VLOOKUP(INT(A101),X:Y,2), IF(ISERROR(H101-2),"",I100*(1-$D$8*(H101-H100)*0.0001)))</f>
        <v/>
      </c>
      <c r="J101" s="41" t="str">
        <f t="shared" ca="1" si="16"/>
        <v/>
      </c>
      <c r="K101" s="43" t="str">
        <f t="shared" ca="1" si="17"/>
        <v/>
      </c>
      <c r="L101" s="43"/>
      <c r="M101" s="44" t="str">
        <f ca="1">IF(ISERROR(B101-2),"",C101+D101-F101-G101-K101+SUM($L$14:L101))</f>
        <v/>
      </c>
      <c r="Q101" s="3">
        <v>46189.625</v>
      </c>
      <c r="R101" s="4">
        <v>99.625</v>
      </c>
      <c r="S101" s="3">
        <v>46190.625</v>
      </c>
      <c r="T101" s="4">
        <v>252.459</v>
      </c>
      <c r="U101" s="3" t="str">
        <f t="shared" si="9"/>
        <v/>
      </c>
      <c r="V101" s="3" t="str">
        <f t="shared" si="10"/>
        <v/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1"/>
        <v>45919</v>
      </c>
    </row>
    <row r="102" spans="1:30" x14ac:dyDescent="0.25">
      <c r="A102" s="39" t="str">
        <f t="shared" ca="1" si="12"/>
        <v/>
      </c>
      <c r="B102" s="40" t="str">
        <f ca="1">IF(COUNTIF($W$2:W1087,A102)=1,VLOOKUP(A102,O:P,2), IF(COUNTIF($W$2:W1087,A102)=0,$B$9,""))</f>
        <v/>
      </c>
      <c r="C102" s="2" t="str">
        <f t="shared" ca="1" si="13"/>
        <v/>
      </c>
      <c r="D102" s="43"/>
      <c r="E102" s="40" t="str">
        <f ca="1">IF(COUNTIF($W$2:W1087,A102)=1,VLOOKUP(A102,Q:R,2), IF(COUNTIF($W$2:W1087,A102)=0,$C$9,""))</f>
        <v/>
      </c>
      <c r="F102" s="2" t="str">
        <f t="shared" ca="1" si="14"/>
        <v/>
      </c>
      <c r="G102" s="43" t="str">
        <f t="shared" ca="1" si="15"/>
        <v/>
      </c>
      <c r="H102" s="40" t="str">
        <f ca="1">IF(COUNTIF($W$2:W1087,A102)=1,VLOOKUP(A102,S:T,2), IF(COUNTIF($W$2:W1087,A102)=0,$D$9,""))</f>
        <v/>
      </c>
      <c r="I102" s="41" t="str">
        <f ca="1">IF(COUNTIF($X$2:X1087,INT(A102))=1,VLOOKUP(INT(A102),X:Y,2), IF(ISERROR(H102-2),"",I101*(1-$D$8*(H102-H101)*0.0001)))</f>
        <v/>
      </c>
      <c r="J102" s="41" t="str">
        <f t="shared" ca="1" si="16"/>
        <v/>
      </c>
      <c r="K102" s="43" t="str">
        <f t="shared" ca="1" si="17"/>
        <v/>
      </c>
      <c r="L102" s="43"/>
      <c r="M102" s="44" t="str">
        <f ca="1">IF(ISERROR(B102-2),"",C102+D102-F102-G102-K102+SUM($L$14:L102))</f>
        <v/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 t="str">
        <f t="shared" si="9"/>
        <v/>
      </c>
      <c r="V102" s="3" t="str">
        <f t="shared" si="10"/>
        <v/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1"/>
        <v>45922</v>
      </c>
    </row>
    <row r="103" spans="1:30" x14ac:dyDescent="0.25">
      <c r="A103" s="39" t="str">
        <f t="shared" ca="1" si="12"/>
        <v/>
      </c>
      <c r="B103" s="40" t="str">
        <f ca="1">IF(COUNTIF($W$2:W1088,A103)=1,VLOOKUP(A103,O:P,2), IF(COUNTIF($W$2:W1088,A103)=0,$B$9,""))</f>
        <v/>
      </c>
      <c r="C103" s="2" t="str">
        <f t="shared" ca="1" si="13"/>
        <v/>
      </c>
      <c r="D103" s="43"/>
      <c r="E103" s="40" t="str">
        <f ca="1">IF(COUNTIF($W$2:W1088,A103)=1,VLOOKUP(A103,Q:R,2), IF(COUNTIF($W$2:W1088,A103)=0,$C$9,""))</f>
        <v/>
      </c>
      <c r="F103" s="2" t="str">
        <f t="shared" ca="1" si="14"/>
        <v/>
      </c>
      <c r="G103" s="43" t="str">
        <f t="shared" ca="1" si="15"/>
        <v/>
      </c>
      <c r="H103" s="40" t="str">
        <f ca="1">IF(COUNTIF($W$2:W1088,A103)=1,VLOOKUP(A103,S:T,2), IF(COUNTIF($W$2:W1088,A103)=0,$D$9,""))</f>
        <v/>
      </c>
      <c r="I103" s="41" t="str">
        <f ca="1">IF(COUNTIF($X$2:X1088,INT(A103))=1,VLOOKUP(INT(A103),X:Y,2), IF(ISERROR(H103-2),"",I102*(1-$D$8*(H103-H102)*0.0001)))</f>
        <v/>
      </c>
      <c r="J103" s="41" t="str">
        <f t="shared" ca="1" si="16"/>
        <v/>
      </c>
      <c r="K103" s="43" t="str">
        <f t="shared" ca="1" si="17"/>
        <v/>
      </c>
      <c r="L103" s="43"/>
      <c r="M103" s="44" t="str">
        <f ca="1">IF(ISERROR(B103-2),"",C103+D103-F103-G103-K103+SUM($L$14:L103))</f>
        <v/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 t="str">
        <f t="shared" si="9"/>
        <v/>
      </c>
      <c r="V103" s="3" t="str">
        <f t="shared" si="10"/>
        <v/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1"/>
        <v>45923</v>
      </c>
    </row>
    <row r="104" spans="1:30" x14ac:dyDescent="0.25">
      <c r="A104" s="39" t="str">
        <f t="shared" ca="1" si="12"/>
        <v/>
      </c>
      <c r="B104" s="40" t="str">
        <f ca="1">IF(COUNTIF($W$2:W1089,A104)=1,VLOOKUP(A104,O:P,2), IF(COUNTIF($W$2:W1089,A104)=0,$B$9,""))</f>
        <v/>
      </c>
      <c r="C104" s="2" t="str">
        <f t="shared" ca="1" si="13"/>
        <v/>
      </c>
      <c r="D104" s="43"/>
      <c r="E104" s="40" t="str">
        <f ca="1">IF(COUNTIF($W$2:W1089,A104)=1,VLOOKUP(A104,Q:R,2), IF(COUNTIF($W$2:W1089,A104)=0,$C$9,""))</f>
        <v/>
      </c>
      <c r="F104" s="2" t="str">
        <f t="shared" ca="1" si="14"/>
        <v/>
      </c>
      <c r="G104" s="43" t="str">
        <f t="shared" ca="1" si="15"/>
        <v/>
      </c>
      <c r="H104" s="40" t="str">
        <f ca="1">IF(COUNTIF($W$2:W1089,A104)=1,VLOOKUP(A104,S:T,2), IF(COUNTIF($W$2:W1089,A104)=0,$D$9,""))</f>
        <v/>
      </c>
      <c r="I104" s="41" t="str">
        <f ca="1">IF(COUNTIF($X$2:X1089,INT(A104))=1,VLOOKUP(INT(A104),X:Y,2), IF(ISERROR(H104-2),"",I103*(1-$D$8*(H104-H103)*0.0001)))</f>
        <v/>
      </c>
      <c r="J104" s="41" t="str">
        <f t="shared" ca="1" si="16"/>
        <v/>
      </c>
      <c r="K104" s="43" t="str">
        <f t="shared" ca="1" si="17"/>
        <v/>
      </c>
      <c r="L104" s="43"/>
      <c r="M104" s="44" t="str">
        <f ca="1">IF(ISERROR(B104-2),"",C104+D104-F104-G104-K104+SUM($L$14:L104))</f>
        <v/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 t="str">
        <f t="shared" si="9"/>
        <v/>
      </c>
      <c r="V104" s="3" t="str">
        <f t="shared" si="10"/>
        <v/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1"/>
        <v>45924</v>
      </c>
    </row>
    <row r="105" spans="1:30" x14ac:dyDescent="0.25">
      <c r="A105" s="39" t="str">
        <f t="shared" ca="1" si="12"/>
        <v/>
      </c>
      <c r="B105" s="40" t="str">
        <f ca="1">IF(COUNTIF($W$2:W1090,A105)=1,VLOOKUP(A105,O:P,2), IF(COUNTIF($W$2:W1090,A105)=0,$B$9,""))</f>
        <v/>
      </c>
      <c r="C105" s="2" t="str">
        <f t="shared" ca="1" si="13"/>
        <v/>
      </c>
      <c r="D105" s="43"/>
      <c r="E105" s="40" t="str">
        <f ca="1">IF(COUNTIF($W$2:W1090,A105)=1,VLOOKUP(A105,Q:R,2), IF(COUNTIF($W$2:W1090,A105)=0,$C$9,""))</f>
        <v/>
      </c>
      <c r="F105" s="2" t="str">
        <f t="shared" ca="1" si="14"/>
        <v/>
      </c>
      <c r="G105" s="43" t="str">
        <f t="shared" ca="1" si="15"/>
        <v/>
      </c>
      <c r="H105" s="40" t="str">
        <f ca="1">IF(COUNTIF($W$2:W1090,A105)=1,VLOOKUP(A105,S:T,2), IF(COUNTIF($W$2:W1090,A105)=0,$D$9,""))</f>
        <v/>
      </c>
      <c r="I105" s="41" t="str">
        <f ca="1">IF(COUNTIF($X$2:X1090,INT(A105))=1,VLOOKUP(INT(A105),X:Y,2), IF(ISERROR(H105-2),"",I104*(1-$D$8*(H105-H104)*0.0001)))</f>
        <v/>
      </c>
      <c r="J105" s="41" t="str">
        <f t="shared" ca="1" si="16"/>
        <v/>
      </c>
      <c r="K105" s="43" t="str">
        <f t="shared" ca="1" si="17"/>
        <v/>
      </c>
      <c r="L105" s="43"/>
      <c r="M105" s="44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9"/>
        <v/>
      </c>
      <c r="V105" s="3" t="str">
        <f t="shared" si="10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1"/>
        <v>45925</v>
      </c>
    </row>
    <row r="106" spans="1:30" x14ac:dyDescent="0.25">
      <c r="A106" s="39" t="str">
        <f t="shared" ca="1" si="12"/>
        <v/>
      </c>
      <c r="B106" s="40" t="str">
        <f ca="1">IF(COUNTIF($W$2:W1091,A106)=1,VLOOKUP(A106,O:P,2), IF(COUNTIF($W$2:W1091,A106)=0,$B$9,""))</f>
        <v/>
      </c>
      <c r="C106" s="2" t="str">
        <f t="shared" ca="1" si="13"/>
        <v/>
      </c>
      <c r="D106" s="43"/>
      <c r="E106" s="40" t="str">
        <f ca="1">IF(COUNTIF($W$2:W1091,A106)=1,VLOOKUP(A106,Q:R,2), IF(COUNTIF($W$2:W1091,A106)=0,$C$9,""))</f>
        <v/>
      </c>
      <c r="F106" s="2" t="str">
        <f t="shared" ca="1" si="14"/>
        <v/>
      </c>
      <c r="G106" s="43" t="str">
        <f t="shared" ca="1" si="15"/>
        <v/>
      </c>
      <c r="H106" s="40" t="str">
        <f ca="1">IF(COUNTIF($W$2:W1091,A106)=1,VLOOKUP(A106,S:T,2), IF(COUNTIF($W$2:W1091,A106)=0,$D$9,""))</f>
        <v/>
      </c>
      <c r="I106" s="41" t="str">
        <f ca="1">IF(COUNTIF($X$2:X1091,INT(A106))=1,VLOOKUP(INT(A106),X:Y,2), IF(ISERROR(H106-2),"",I105*(1-$D$8*(H106-H105)*0.0001)))</f>
        <v/>
      </c>
      <c r="J106" s="41" t="str">
        <f t="shared" ca="1" si="16"/>
        <v/>
      </c>
      <c r="K106" s="43" t="str">
        <f t="shared" ca="1" si="17"/>
        <v/>
      </c>
      <c r="L106" s="43"/>
      <c r="M106" s="44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9"/>
        <v/>
      </c>
      <c r="V106" s="3" t="str">
        <f t="shared" si="10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1"/>
        <v>45926</v>
      </c>
    </row>
    <row r="107" spans="1:30" x14ac:dyDescent="0.25">
      <c r="A107" s="39" t="str">
        <f t="shared" ca="1" si="12"/>
        <v/>
      </c>
      <c r="B107" s="40" t="str">
        <f ca="1">IF(COUNTIF($W$2:W1092,A107)=1,VLOOKUP(A107,O:P,2), IF(COUNTIF($W$2:W1092,A107)=0,$B$9,""))</f>
        <v/>
      </c>
      <c r="C107" s="2" t="str">
        <f t="shared" ca="1" si="13"/>
        <v/>
      </c>
      <c r="D107" s="43"/>
      <c r="E107" s="40" t="str">
        <f ca="1">IF(COUNTIF($W$2:W1092,A107)=1,VLOOKUP(A107,Q:R,2), IF(COUNTIF($W$2:W1092,A107)=0,$C$9,""))</f>
        <v/>
      </c>
      <c r="F107" s="2" t="str">
        <f t="shared" ca="1" si="14"/>
        <v/>
      </c>
      <c r="G107" s="43" t="str">
        <f t="shared" ca="1" si="15"/>
        <v/>
      </c>
      <c r="H107" s="40" t="str">
        <f ca="1">IF(COUNTIF($W$2:W1092,A107)=1,VLOOKUP(A107,S:T,2), IF(COUNTIF($W$2:W1092,A107)=0,$D$9,""))</f>
        <v/>
      </c>
      <c r="I107" s="41" t="str">
        <f ca="1">IF(COUNTIF($X$2:X1092,INT(A107))=1,VLOOKUP(INT(A107),X:Y,2), IF(ISERROR(H107-2),"",I106*(1-$D$8*(H107-H106)*0.0001)))</f>
        <v/>
      </c>
      <c r="J107" s="41" t="str">
        <f t="shared" ca="1" si="16"/>
        <v/>
      </c>
      <c r="K107" s="43" t="str">
        <f t="shared" ca="1" si="17"/>
        <v/>
      </c>
      <c r="L107" s="43"/>
      <c r="M107" s="44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9"/>
        <v/>
      </c>
      <c r="V107" s="3" t="str">
        <f t="shared" si="10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1"/>
        <v>45929</v>
      </c>
    </row>
    <row r="108" spans="1:30" x14ac:dyDescent="0.25">
      <c r="A108" s="39" t="str">
        <f t="shared" ca="1" si="12"/>
        <v/>
      </c>
      <c r="B108" s="40" t="str">
        <f ca="1">IF(COUNTIF($W$2:W1093,A108)=1,VLOOKUP(A108,O:P,2), IF(COUNTIF($W$2:W1093,A108)=0,$B$9,""))</f>
        <v/>
      </c>
      <c r="C108" s="2" t="str">
        <f t="shared" ca="1" si="13"/>
        <v/>
      </c>
      <c r="D108" s="43"/>
      <c r="E108" s="40" t="str">
        <f ca="1">IF(COUNTIF($W$2:W1093,A108)=1,VLOOKUP(A108,Q:R,2), IF(COUNTIF($W$2:W1093,A108)=0,$C$9,""))</f>
        <v/>
      </c>
      <c r="F108" s="2" t="str">
        <f t="shared" ca="1" si="14"/>
        <v/>
      </c>
      <c r="G108" s="43" t="str">
        <f t="shared" ca="1" si="15"/>
        <v/>
      </c>
      <c r="H108" s="40" t="str">
        <f ca="1">IF(COUNTIF($W$2:W1093,A108)=1,VLOOKUP(A108,S:T,2), IF(COUNTIF($W$2:W1093,A108)=0,$D$9,""))</f>
        <v/>
      </c>
      <c r="I108" s="41" t="str">
        <f ca="1">IF(COUNTIF($X$2:X1093,INT(A108))=1,VLOOKUP(INT(A108),X:Y,2), IF(ISERROR(H108-2),"",I107*(1-$D$8*(H108-H107)*0.0001)))</f>
        <v/>
      </c>
      <c r="J108" s="41" t="str">
        <f t="shared" ca="1" si="16"/>
        <v/>
      </c>
      <c r="K108" s="43" t="str">
        <f t="shared" ca="1" si="17"/>
        <v/>
      </c>
      <c r="L108" s="43"/>
      <c r="M108" s="44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9"/>
        <v/>
      </c>
      <c r="V108" s="3" t="str">
        <f t="shared" si="10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1"/>
        <v>45930</v>
      </c>
    </row>
    <row r="109" spans="1:30" x14ac:dyDescent="0.25">
      <c r="A109" s="39" t="str">
        <f t="shared" ca="1" si="12"/>
        <v/>
      </c>
      <c r="B109" s="40" t="str">
        <f ca="1">IF(COUNTIF($W$2:W1094,A109)=1,VLOOKUP(A109,O:P,2), IF(COUNTIF($W$2:W1094,A109)=0,$B$9,""))</f>
        <v/>
      </c>
      <c r="C109" s="2" t="str">
        <f t="shared" ca="1" si="13"/>
        <v/>
      </c>
      <c r="D109" s="43"/>
      <c r="E109" s="40" t="str">
        <f ca="1">IF(COUNTIF($W$2:W1094,A109)=1,VLOOKUP(A109,Q:R,2), IF(COUNTIF($W$2:W1094,A109)=0,$C$9,""))</f>
        <v/>
      </c>
      <c r="F109" s="2" t="str">
        <f t="shared" ca="1" si="14"/>
        <v/>
      </c>
      <c r="G109" s="43" t="str">
        <f t="shared" ca="1" si="15"/>
        <v/>
      </c>
      <c r="H109" s="40" t="str">
        <f ca="1">IF(COUNTIF($W$2:W1094,A109)=1,VLOOKUP(A109,S:T,2), IF(COUNTIF($W$2:W1094,A109)=0,$D$9,""))</f>
        <v/>
      </c>
      <c r="I109" s="41" t="str">
        <f ca="1">IF(COUNTIF($X$2:X1094,INT(A109))=1,VLOOKUP(INT(A109),X:Y,2), IF(ISERROR(H109-2),"",I108*(1-$D$8*(H109-H108)*0.0001)))</f>
        <v/>
      </c>
      <c r="J109" s="41" t="str">
        <f t="shared" ca="1" si="16"/>
        <v/>
      </c>
      <c r="K109" s="43" t="str">
        <f t="shared" ca="1" si="17"/>
        <v/>
      </c>
      <c r="L109" s="43"/>
      <c r="M109" s="44" t="str">
        <f ca="1">IF(ISERROR(B109-2),"",C109+D109-F109-G109-K109+SUM($L$14:L109))</f>
        <v/>
      </c>
      <c r="U109" s="3" t="str">
        <f t="shared" si="9"/>
        <v/>
      </c>
      <c r="V109" s="3" t="str">
        <f t="shared" si="10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1"/>
        <v>45931</v>
      </c>
    </row>
    <row r="110" spans="1:30" x14ac:dyDescent="0.25">
      <c r="A110" s="39" t="str">
        <f t="shared" ca="1" si="12"/>
        <v/>
      </c>
      <c r="B110" s="40" t="str">
        <f ca="1">IF(COUNTIF($W$2:W1095,A110)=1,VLOOKUP(A110,O:P,2), IF(COUNTIF($W$2:W1095,A110)=0,$B$9,""))</f>
        <v/>
      </c>
      <c r="C110" s="2" t="str">
        <f t="shared" ca="1" si="13"/>
        <v/>
      </c>
      <c r="D110" s="43"/>
      <c r="E110" s="40" t="str">
        <f ca="1">IF(COUNTIF($W$2:W1095,A110)=1,VLOOKUP(A110,Q:R,2), IF(COUNTIF($W$2:W1095,A110)=0,$C$9,""))</f>
        <v/>
      </c>
      <c r="F110" s="2" t="str">
        <f t="shared" ca="1" si="14"/>
        <v/>
      </c>
      <c r="G110" s="43" t="str">
        <f t="shared" ca="1" si="15"/>
        <v/>
      </c>
      <c r="H110" s="40" t="str">
        <f ca="1">IF(COUNTIF($W$2:W1095,A110)=1,VLOOKUP(A110,S:T,2), IF(COUNTIF($W$2:W1095,A110)=0,$D$9,""))</f>
        <v/>
      </c>
      <c r="I110" s="41" t="str">
        <f ca="1">IF(COUNTIF($X$2:X1095,INT(A110))=1,VLOOKUP(INT(A110),X:Y,2), IF(ISERROR(H110-2),"",I109*(1-$D$8*(H110-H109)*0.0001)))</f>
        <v/>
      </c>
      <c r="J110" s="41" t="str">
        <f t="shared" ca="1" si="16"/>
        <v/>
      </c>
      <c r="K110" s="43" t="str">
        <f t="shared" ca="1" si="17"/>
        <v/>
      </c>
      <c r="L110" s="43"/>
      <c r="M110" s="44" t="str">
        <f ca="1">IF(ISERROR(B110-2),"",C110+D110-F110-G110-K110+SUM($L$14:L110))</f>
        <v/>
      </c>
      <c r="U110" s="3" t="str">
        <f t="shared" si="9"/>
        <v/>
      </c>
      <c r="V110" s="3" t="str">
        <f t="shared" si="10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1"/>
        <v>45932</v>
      </c>
    </row>
    <row r="111" spans="1:30" x14ac:dyDescent="0.25">
      <c r="A111" s="39" t="str">
        <f t="shared" ca="1" si="12"/>
        <v/>
      </c>
      <c r="B111" s="40" t="str">
        <f ca="1">IF(COUNTIF($W$2:W1096,A111)=1,VLOOKUP(A111,O:P,2), IF(COUNTIF($W$2:W1096,A111)=0,$B$9,""))</f>
        <v/>
      </c>
      <c r="C111" s="2" t="str">
        <f t="shared" ca="1" si="13"/>
        <v/>
      </c>
      <c r="D111" s="43"/>
      <c r="E111" s="40" t="str">
        <f ca="1">IF(COUNTIF($W$2:W1096,A111)=1,VLOOKUP(A111,Q:R,2), IF(COUNTIF($W$2:W1096,A111)=0,$C$9,""))</f>
        <v/>
      </c>
      <c r="F111" s="2" t="str">
        <f t="shared" ca="1" si="14"/>
        <v/>
      </c>
      <c r="G111" s="43" t="str">
        <f t="shared" ca="1" si="15"/>
        <v/>
      </c>
      <c r="H111" s="40" t="str">
        <f ca="1">IF(COUNTIF($W$2:W1096,A111)=1,VLOOKUP(A111,S:T,2), IF(COUNTIF($W$2:W1096,A111)=0,$D$9,""))</f>
        <v/>
      </c>
      <c r="I111" s="41" t="str">
        <f ca="1">IF(COUNTIF($X$2:X1096,INT(A111))=1,VLOOKUP(INT(A111),X:Y,2), IF(ISERROR(H111-2),"",I110*(1-$D$8*(H111-H110)*0.0001)))</f>
        <v/>
      </c>
      <c r="J111" s="41" t="str">
        <f t="shared" ca="1" si="16"/>
        <v/>
      </c>
      <c r="K111" s="43" t="str">
        <f t="shared" ca="1" si="17"/>
        <v/>
      </c>
      <c r="L111" s="43"/>
      <c r="M111" s="44" t="str">
        <f ca="1">IF(ISERROR(B111-2),"",C111+D111-F111-G111-K111+SUM($L$14:L111))</f>
        <v/>
      </c>
      <c r="U111" s="3" t="str">
        <f t="shared" si="9"/>
        <v/>
      </c>
      <c r="V111" s="3" t="str">
        <f t="shared" si="10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1"/>
        <v>45933</v>
      </c>
    </row>
    <row r="112" spans="1:30" x14ac:dyDescent="0.25">
      <c r="A112" s="39" t="str">
        <f t="shared" ca="1" si="12"/>
        <v/>
      </c>
      <c r="B112" s="40" t="str">
        <f ca="1">IF(COUNTIF($W$2:W1097,A112)=1,VLOOKUP(A112,O:P,2), IF(COUNTIF($W$2:W1097,A112)=0,$B$9,""))</f>
        <v/>
      </c>
      <c r="C112" s="2" t="str">
        <f t="shared" ca="1" si="13"/>
        <v/>
      </c>
      <c r="D112" s="43"/>
      <c r="E112" s="40" t="str">
        <f ca="1">IF(COUNTIF($W$2:W1097,A112)=1,VLOOKUP(A112,Q:R,2), IF(COUNTIF($W$2:W1097,A112)=0,$C$9,""))</f>
        <v/>
      </c>
      <c r="F112" s="2" t="str">
        <f t="shared" ca="1" si="14"/>
        <v/>
      </c>
      <c r="G112" s="43" t="str">
        <f t="shared" ca="1" si="15"/>
        <v/>
      </c>
      <c r="H112" s="40" t="str">
        <f ca="1">IF(COUNTIF($W$2:W1097,A112)=1,VLOOKUP(A112,S:T,2), IF(COUNTIF($W$2:W1097,A112)=0,$D$9,""))</f>
        <v/>
      </c>
      <c r="I112" s="41" t="str">
        <f ca="1">IF(COUNTIF($X$2:X1097,INT(A112))=1,VLOOKUP(INT(A112),X:Y,2), IF(ISERROR(H112-2),"",I111*(1-$D$8*(H112-H111)*0.0001)))</f>
        <v/>
      </c>
      <c r="J112" s="41" t="str">
        <f t="shared" ca="1" si="16"/>
        <v/>
      </c>
      <c r="K112" s="43" t="str">
        <f t="shared" ca="1" si="17"/>
        <v/>
      </c>
      <c r="L112" s="43"/>
      <c r="M112" s="44" t="str">
        <f ca="1">IF(ISERROR(B112-2),"",C112+D112-F112-G112-K112+SUM($L$14:L112))</f>
        <v/>
      </c>
      <c r="U112" s="3" t="str">
        <f t="shared" si="9"/>
        <v/>
      </c>
      <c r="V112" s="3" t="str">
        <f t="shared" si="10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1"/>
        <v>45936</v>
      </c>
    </row>
    <row r="113" spans="1:30" x14ac:dyDescent="0.25">
      <c r="A113" s="39" t="str">
        <f t="shared" ca="1" si="12"/>
        <v/>
      </c>
      <c r="B113" s="40" t="str">
        <f ca="1">IF(COUNTIF($W$2:W1098,A113)=1,VLOOKUP(A113,O:P,2), IF(COUNTIF($W$2:W1098,A113)=0,$B$9,""))</f>
        <v/>
      </c>
      <c r="C113" s="2" t="str">
        <f t="shared" ca="1" si="13"/>
        <v/>
      </c>
      <c r="D113" s="43"/>
      <c r="E113" s="40" t="str">
        <f ca="1">IF(COUNTIF($W$2:W1098,A113)=1,VLOOKUP(A113,Q:R,2), IF(COUNTIF($W$2:W1098,A113)=0,$C$9,""))</f>
        <v/>
      </c>
      <c r="F113" s="2" t="str">
        <f t="shared" ca="1" si="14"/>
        <v/>
      </c>
      <c r="G113" s="43" t="str">
        <f t="shared" ca="1" si="15"/>
        <v/>
      </c>
      <c r="H113" s="40" t="str">
        <f ca="1">IF(COUNTIF($W$2:W1098,A113)=1,VLOOKUP(A113,S:T,2), IF(COUNTIF($W$2:W1098,A113)=0,$D$9,""))</f>
        <v/>
      </c>
      <c r="I113" s="41" t="str">
        <f ca="1">IF(COUNTIF($X$2:X1098,INT(A113))=1,VLOOKUP(INT(A113),X:Y,2), IF(ISERROR(H113-2),"",I112*(1-$D$8*(H113-H112)*0.0001)))</f>
        <v/>
      </c>
      <c r="J113" s="41" t="str">
        <f t="shared" ca="1" si="16"/>
        <v/>
      </c>
      <c r="K113" s="43" t="str">
        <f t="shared" ca="1" si="17"/>
        <v/>
      </c>
      <c r="L113" s="43"/>
      <c r="M113" s="44" t="str">
        <f ca="1">IF(ISERROR(B113-2),"",C113+D113-F113-G113-K113+SUM($L$14:L113))</f>
        <v/>
      </c>
      <c r="U113" s="3" t="str">
        <f t="shared" si="9"/>
        <v/>
      </c>
      <c r="V113" s="3" t="str">
        <f t="shared" si="10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1"/>
        <v>45937</v>
      </c>
    </row>
    <row r="114" spans="1:30" x14ac:dyDescent="0.25">
      <c r="A114" s="39" t="str">
        <f t="shared" ca="1" si="12"/>
        <v/>
      </c>
      <c r="B114" s="40" t="str">
        <f ca="1">IF(COUNTIF($W$2:W1099,A114)=1,VLOOKUP(A114,O:P,2), IF(COUNTIF($W$2:W1099,A114)=0,$B$9,""))</f>
        <v/>
      </c>
      <c r="C114" s="2" t="str">
        <f t="shared" ca="1" si="13"/>
        <v/>
      </c>
      <c r="D114" s="43"/>
      <c r="E114" s="40" t="str">
        <f ca="1">IF(COUNTIF($W$2:W1099,A114)=1,VLOOKUP(A114,Q:R,2), IF(COUNTIF($W$2:W1099,A114)=0,$C$9,""))</f>
        <v/>
      </c>
      <c r="F114" s="2" t="str">
        <f t="shared" ca="1" si="14"/>
        <v/>
      </c>
      <c r="G114" s="43" t="str">
        <f t="shared" ca="1" si="15"/>
        <v/>
      </c>
      <c r="H114" s="40" t="str">
        <f ca="1">IF(COUNTIF($W$2:W1099,A114)=1,VLOOKUP(A114,S:T,2), IF(COUNTIF($W$2:W1099,A114)=0,$D$9,""))</f>
        <v/>
      </c>
      <c r="I114" s="41" t="str">
        <f ca="1">IF(COUNTIF($X$2:X1099,INT(A114))=1,VLOOKUP(INT(A114),X:Y,2), IF(ISERROR(H114-2),"",I113*(1-$D$8*(H114-H113)*0.0001)))</f>
        <v/>
      </c>
      <c r="J114" s="41" t="str">
        <f t="shared" ca="1" si="16"/>
        <v/>
      </c>
      <c r="K114" s="43" t="str">
        <f t="shared" ca="1" si="17"/>
        <v/>
      </c>
      <c r="L114" s="43"/>
      <c r="M114" s="44" t="str">
        <f ca="1">IF(ISERROR(B114-2),"",C114+D114-F114-G114-K114+SUM($L$14:L114))</f>
        <v/>
      </c>
      <c r="U114" s="3" t="str">
        <f t="shared" si="9"/>
        <v/>
      </c>
      <c r="V114" s="3" t="str">
        <f t="shared" si="10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1"/>
        <v>45938</v>
      </c>
    </row>
    <row r="115" spans="1:30" x14ac:dyDescent="0.25">
      <c r="A115" s="39" t="str">
        <f t="shared" ca="1" si="12"/>
        <v/>
      </c>
      <c r="B115" s="40" t="str">
        <f ca="1">IF(COUNTIF($W$2:W1100,A115)=1,VLOOKUP(A115,O:P,2), IF(COUNTIF($W$2:W1100,A115)=0,$B$9,""))</f>
        <v/>
      </c>
      <c r="C115" s="2" t="str">
        <f t="shared" ca="1" si="13"/>
        <v/>
      </c>
      <c r="D115" s="43"/>
      <c r="E115" s="40" t="str">
        <f ca="1">IF(COUNTIF($W$2:W1100,A115)=1,VLOOKUP(A115,Q:R,2), IF(COUNTIF($W$2:W1100,A115)=0,$C$9,""))</f>
        <v/>
      </c>
      <c r="F115" s="2" t="str">
        <f t="shared" ca="1" si="14"/>
        <v/>
      </c>
      <c r="G115" s="43" t="str">
        <f t="shared" ca="1" si="15"/>
        <v/>
      </c>
      <c r="H115" s="40" t="str">
        <f ca="1">IF(COUNTIF($W$2:W1100,A115)=1,VLOOKUP(A115,S:T,2), IF(COUNTIF($W$2:W1100,A115)=0,$D$9,""))</f>
        <v/>
      </c>
      <c r="I115" s="41" t="str">
        <f ca="1">IF(COUNTIF($X$2:X1100,INT(A115))=1,VLOOKUP(INT(A115),X:Y,2), IF(ISERROR(H115-2),"",I114*(1-$D$8*(H115-H114)*0.0001)))</f>
        <v/>
      </c>
      <c r="J115" s="41" t="str">
        <f t="shared" ca="1" si="16"/>
        <v/>
      </c>
      <c r="K115" s="43" t="str">
        <f t="shared" ca="1" si="17"/>
        <v/>
      </c>
      <c r="L115" s="43"/>
      <c r="M115" s="44" t="str">
        <f ca="1">IF(ISERROR(B115-2),"",C115+D115-F115-G115-K115+SUM($L$14:L115))</f>
        <v/>
      </c>
      <c r="U115" s="3" t="str">
        <f t="shared" si="9"/>
        <v/>
      </c>
      <c r="V115" s="3" t="str">
        <f t="shared" si="10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1"/>
        <v>45939</v>
      </c>
    </row>
    <row r="116" spans="1:30" x14ac:dyDescent="0.25">
      <c r="A116" s="39" t="str">
        <f t="shared" ca="1" si="12"/>
        <v/>
      </c>
      <c r="B116" s="40" t="str">
        <f ca="1">IF(COUNTIF($W$2:W1101,A116)=1,VLOOKUP(A116,O:P,2), IF(COUNTIF($W$2:W1101,A116)=0,$B$9,""))</f>
        <v/>
      </c>
      <c r="C116" s="2" t="str">
        <f t="shared" ca="1" si="13"/>
        <v/>
      </c>
      <c r="D116" s="43"/>
      <c r="E116" s="40" t="str">
        <f ca="1">IF(COUNTIF($W$2:W1101,A116)=1,VLOOKUP(A116,Q:R,2), IF(COUNTIF($W$2:W1101,A116)=0,$C$9,""))</f>
        <v/>
      </c>
      <c r="F116" s="2" t="str">
        <f t="shared" ca="1" si="14"/>
        <v/>
      </c>
      <c r="G116" s="43" t="str">
        <f t="shared" ca="1" si="15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6"/>
        <v/>
      </c>
      <c r="K116" s="43" t="str">
        <f t="shared" ca="1" si="17"/>
        <v/>
      </c>
      <c r="L116" s="43"/>
      <c r="M116" s="44" t="str">
        <f ca="1">IF(ISERROR(B116-2),"",C116+D116-F116-G116-K116+SUM($L$14:L116))</f>
        <v/>
      </c>
      <c r="U116" s="3" t="str">
        <f t="shared" si="9"/>
        <v/>
      </c>
      <c r="V116" s="3" t="str">
        <f t="shared" si="10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1"/>
        <v>45940</v>
      </c>
    </row>
    <row r="117" spans="1:30" x14ac:dyDescent="0.25">
      <c r="A117" s="39" t="str">
        <f t="shared" ca="1" si="12"/>
        <v/>
      </c>
      <c r="B117" s="40" t="str">
        <f ca="1">IF(COUNTIF($W$2:W1102,A117)=1,VLOOKUP(A117,O:P,2), IF(COUNTIF($W$2:W1102,A117)=0,$B$9,""))</f>
        <v/>
      </c>
      <c r="C117" s="2" t="str">
        <f t="shared" ca="1" si="13"/>
        <v/>
      </c>
      <c r="D117" s="43"/>
      <c r="E117" s="40" t="str">
        <f ca="1">IF(COUNTIF($W$2:W1102,A117)=1,VLOOKUP(A117,Q:R,2), IF(COUNTIF($W$2:W1102,A117)=0,$C$9,""))</f>
        <v/>
      </c>
      <c r="F117" s="2" t="str">
        <f t="shared" ca="1" si="14"/>
        <v/>
      </c>
      <c r="G117" s="43" t="str">
        <f t="shared" ca="1" si="15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6"/>
        <v/>
      </c>
      <c r="K117" s="43" t="str">
        <f t="shared" ca="1" si="17"/>
        <v/>
      </c>
      <c r="L117" s="43"/>
      <c r="M117" s="44" t="str">
        <f ca="1">IF(ISERROR(B117-2),"",C117+D117-F117-G117-K117+SUM($L$14:L117))</f>
        <v/>
      </c>
      <c r="U117" s="3" t="str">
        <f t="shared" si="9"/>
        <v/>
      </c>
      <c r="V117" s="3" t="str">
        <f t="shared" si="10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1"/>
        <v>45943</v>
      </c>
    </row>
    <row r="118" spans="1:30" x14ac:dyDescent="0.25">
      <c r="A118" s="39" t="str">
        <f t="shared" ca="1" si="12"/>
        <v/>
      </c>
      <c r="B118" s="40" t="str">
        <f ca="1">IF(COUNTIF($W$2:W1103,A118)=1,VLOOKUP(A118,O:P,2), IF(COUNTIF($W$2:W1103,A118)=0,$B$9,""))</f>
        <v/>
      </c>
      <c r="C118" s="2" t="str">
        <f t="shared" ca="1" si="13"/>
        <v/>
      </c>
      <c r="D118" s="43"/>
      <c r="E118" s="40" t="str">
        <f ca="1">IF(COUNTIF($W$2:W1103,A118)=1,VLOOKUP(A118,Q:R,2), IF(COUNTIF($W$2:W1103,A118)=0,$C$9,""))</f>
        <v/>
      </c>
      <c r="F118" s="2" t="str">
        <f t="shared" ca="1" si="14"/>
        <v/>
      </c>
      <c r="G118" s="43" t="str">
        <f t="shared" ca="1" si="15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6"/>
        <v/>
      </c>
      <c r="K118" s="43" t="str">
        <f t="shared" ca="1" si="17"/>
        <v/>
      </c>
      <c r="L118" s="43"/>
      <c r="M118" s="44" t="str">
        <f ca="1">IF(ISERROR(B118-2),"",C118+D118-F118-G118-K118+SUM($L$14:L118))</f>
        <v/>
      </c>
      <c r="U118" s="3" t="str">
        <f t="shared" si="9"/>
        <v/>
      </c>
      <c r="V118" s="3" t="str">
        <f t="shared" si="10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1"/>
        <v>45944</v>
      </c>
    </row>
    <row r="119" spans="1:30" x14ac:dyDescent="0.25">
      <c r="A119" s="39" t="str">
        <f t="shared" ca="1" si="12"/>
        <v/>
      </c>
      <c r="B119" s="40" t="str">
        <f ca="1">IF(COUNTIF($W$2:W1104,A119)=1,VLOOKUP(A119,O:P,2), IF(COUNTIF($W$2:W1104,A119)=0,$B$9,""))</f>
        <v/>
      </c>
      <c r="C119" s="2" t="str">
        <f t="shared" ca="1" si="13"/>
        <v/>
      </c>
      <c r="D119" s="43"/>
      <c r="E119" s="40" t="str">
        <f ca="1">IF(COUNTIF($W$2:W1104,A119)=1,VLOOKUP(A119,Q:R,2), IF(COUNTIF($W$2:W1104,A119)=0,$C$9,""))</f>
        <v/>
      </c>
      <c r="F119" s="2" t="str">
        <f t="shared" ca="1" si="14"/>
        <v/>
      </c>
      <c r="G119" s="43" t="str">
        <f t="shared" ca="1" si="15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6"/>
        <v/>
      </c>
      <c r="K119" s="43" t="str">
        <f t="shared" ca="1" si="17"/>
        <v/>
      </c>
      <c r="L119" s="43"/>
      <c r="M119" s="44" t="str">
        <f ca="1">IF(ISERROR(B119-2),"",C119+D119-F119-G119-K119+SUM($L$14:L119))</f>
        <v/>
      </c>
      <c r="U119" s="3" t="str">
        <f t="shared" si="9"/>
        <v/>
      </c>
      <c r="V119" s="3" t="str">
        <f t="shared" si="10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1"/>
        <v>45945</v>
      </c>
    </row>
    <row r="120" spans="1:30" x14ac:dyDescent="0.25">
      <c r="A120" s="39" t="str">
        <f t="shared" ca="1" si="12"/>
        <v/>
      </c>
      <c r="B120" s="40" t="str">
        <f ca="1">IF(COUNTIF($W$2:W1105,A120)=1,VLOOKUP(A120,O:P,2), IF(COUNTIF($W$2:W1105,A120)=0,$B$9,""))</f>
        <v/>
      </c>
      <c r="C120" s="2" t="str">
        <f t="shared" ca="1" si="13"/>
        <v/>
      </c>
      <c r="D120" s="43"/>
      <c r="E120" s="40" t="str">
        <f ca="1">IF(COUNTIF($W$2:W1105,A120)=1,VLOOKUP(A120,Q:R,2), IF(COUNTIF($W$2:W1105,A120)=0,$C$9,""))</f>
        <v/>
      </c>
      <c r="F120" s="2" t="str">
        <f t="shared" ca="1" si="14"/>
        <v/>
      </c>
      <c r="G120" s="43" t="str">
        <f t="shared" ca="1" si="15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6"/>
        <v/>
      </c>
      <c r="K120" s="43" t="str">
        <f t="shared" ca="1" si="17"/>
        <v/>
      </c>
      <c r="L120" s="43"/>
      <c r="M120" s="44" t="str">
        <f ca="1">IF(ISERROR(B120-2),"",C120+D120-F120-G120-K120+SUM($L$14:L120))</f>
        <v/>
      </c>
      <c r="U120" s="3" t="str">
        <f t="shared" si="9"/>
        <v/>
      </c>
      <c r="V120" s="3" t="str">
        <f t="shared" si="10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1"/>
        <v>45946</v>
      </c>
    </row>
    <row r="121" spans="1:30" x14ac:dyDescent="0.25">
      <c r="A121" s="39" t="str">
        <f t="shared" ca="1" si="12"/>
        <v/>
      </c>
      <c r="B121" s="40" t="str">
        <f ca="1">IF(COUNTIF($W$2:W1106,A121)=1,VLOOKUP(A121,O:P,2), IF(COUNTIF($W$2:W1106,A121)=0,$B$9,""))</f>
        <v/>
      </c>
      <c r="C121" s="2" t="str">
        <f t="shared" ca="1" si="13"/>
        <v/>
      </c>
      <c r="D121" s="43"/>
      <c r="E121" s="40" t="str">
        <f ca="1">IF(COUNTIF($W$2:W1106,A121)=1,VLOOKUP(A121,Q:R,2), IF(COUNTIF($W$2:W1106,A121)=0,$C$9,""))</f>
        <v/>
      </c>
      <c r="F121" s="2" t="str">
        <f t="shared" ca="1" si="14"/>
        <v/>
      </c>
      <c r="G121" s="43" t="str">
        <f t="shared" ca="1" si="15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6"/>
        <v/>
      </c>
      <c r="K121" s="43" t="str">
        <f t="shared" ca="1" si="17"/>
        <v/>
      </c>
      <c r="L121" s="43"/>
      <c r="M121" s="44" t="str">
        <f ca="1">IF(ISERROR(B121-2),"",C121+D121-F121-G121-K121+SUM($L$14:L121))</f>
        <v/>
      </c>
      <c r="U121" s="3" t="str">
        <f t="shared" si="9"/>
        <v/>
      </c>
      <c r="V121" s="3" t="str">
        <f t="shared" si="10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1"/>
        <v>45947</v>
      </c>
    </row>
    <row r="122" spans="1:30" x14ac:dyDescent="0.25">
      <c r="A122" s="39" t="str">
        <f t="shared" ca="1" si="12"/>
        <v/>
      </c>
      <c r="B122" s="40" t="str">
        <f ca="1">IF(COUNTIF($W$2:W1107,A122)=1,VLOOKUP(A122,O:P,2), IF(COUNTIF($W$2:W1107,A122)=0,$B$9,""))</f>
        <v/>
      </c>
      <c r="C122" s="2" t="str">
        <f t="shared" ca="1" si="13"/>
        <v/>
      </c>
      <c r="D122" s="43"/>
      <c r="E122" s="40" t="str">
        <f ca="1">IF(COUNTIF($W$2:W1107,A122)=1,VLOOKUP(A122,Q:R,2), IF(COUNTIF($W$2:W1107,A122)=0,$C$9,""))</f>
        <v/>
      </c>
      <c r="F122" s="2" t="str">
        <f t="shared" ca="1" si="14"/>
        <v/>
      </c>
      <c r="G122" s="43" t="str">
        <f t="shared" ca="1" si="15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6"/>
        <v/>
      </c>
      <c r="K122" s="43" t="str">
        <f t="shared" ca="1" si="17"/>
        <v/>
      </c>
      <c r="L122" s="43"/>
      <c r="M122" s="44" t="str">
        <f ca="1">IF(ISERROR(B122-2),"",C122+D122-F122-G122-K122+SUM($L$14:L122))</f>
        <v/>
      </c>
      <c r="U122" s="3" t="str">
        <f t="shared" si="9"/>
        <v/>
      </c>
      <c r="V122" s="3" t="str">
        <f t="shared" si="10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1"/>
        <v>45950</v>
      </c>
    </row>
    <row r="123" spans="1:30" x14ac:dyDescent="0.25">
      <c r="A123" s="39" t="str">
        <f t="shared" ca="1" si="12"/>
        <v/>
      </c>
      <c r="B123" s="40" t="str">
        <f ca="1">IF(COUNTIF($W$2:W1108,A123)=1,VLOOKUP(A123,O:P,2), IF(COUNTIF($W$2:W1108,A123)=0,$B$9,""))</f>
        <v/>
      </c>
      <c r="C123" s="2" t="str">
        <f t="shared" ca="1" si="13"/>
        <v/>
      </c>
      <c r="D123" s="43"/>
      <c r="E123" s="40" t="str">
        <f ca="1">IF(COUNTIF($W$2:W1108,A123)=1,VLOOKUP(A123,Q:R,2), IF(COUNTIF($W$2:W1108,A123)=0,$C$9,""))</f>
        <v/>
      </c>
      <c r="F123" s="2" t="str">
        <f t="shared" ca="1" si="14"/>
        <v/>
      </c>
      <c r="G123" s="43" t="str">
        <f t="shared" ca="1" si="15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6"/>
        <v/>
      </c>
      <c r="K123" s="43" t="str">
        <f t="shared" ca="1" si="17"/>
        <v/>
      </c>
      <c r="L123" s="43"/>
      <c r="M123" s="44" t="str">
        <f ca="1">IF(ISERROR(B123-2),"",C123+D123-F123-G123-K123+SUM($L$14:L123))</f>
        <v/>
      </c>
      <c r="U123" s="3" t="str">
        <f t="shared" si="9"/>
        <v/>
      </c>
      <c r="V123" s="3" t="str">
        <f t="shared" si="10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1"/>
        <v>45951</v>
      </c>
    </row>
    <row r="124" spans="1:30" x14ac:dyDescent="0.25">
      <c r="A124" s="39" t="str">
        <f t="shared" ca="1" si="12"/>
        <v/>
      </c>
      <c r="B124" s="40" t="str">
        <f ca="1">IF(COUNTIF($W$2:W1109,A124)=1,VLOOKUP(A124,O:P,2), IF(COUNTIF($W$2:W1109,A124)=0,$B$9,""))</f>
        <v/>
      </c>
      <c r="C124" s="2" t="str">
        <f t="shared" ca="1" si="13"/>
        <v/>
      </c>
      <c r="D124" s="43"/>
      <c r="E124" s="40" t="str">
        <f ca="1">IF(COUNTIF($W$2:W1109,A124)=1,VLOOKUP(A124,Q:R,2), IF(COUNTIF($W$2:W1109,A124)=0,$C$9,""))</f>
        <v/>
      </c>
      <c r="F124" s="2" t="str">
        <f t="shared" ca="1" si="14"/>
        <v/>
      </c>
      <c r="G124" s="43" t="str">
        <f t="shared" ca="1" si="15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6"/>
        <v/>
      </c>
      <c r="K124" s="43" t="str">
        <f t="shared" ca="1" si="17"/>
        <v/>
      </c>
      <c r="L124" s="43"/>
      <c r="M124" s="44" t="str">
        <f ca="1">IF(ISERROR(B124-2),"",C124+D124-F124-G124-K124+SUM($L$14:L124))</f>
        <v/>
      </c>
      <c r="U124" s="3" t="str">
        <f t="shared" si="9"/>
        <v/>
      </c>
      <c r="V124" s="3" t="str">
        <f t="shared" si="10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1"/>
        <v>45952</v>
      </c>
    </row>
    <row r="125" spans="1:30" x14ac:dyDescent="0.25">
      <c r="A125" s="39" t="str">
        <f t="shared" ca="1" si="12"/>
        <v/>
      </c>
      <c r="B125" s="40" t="str">
        <f ca="1">IF(COUNTIF($W$2:W1110,A125)=1,VLOOKUP(A125,O:P,2), IF(COUNTIF($W$2:W1110,A125)=0,$B$9,""))</f>
        <v/>
      </c>
      <c r="C125" s="2" t="str">
        <f t="shared" ca="1" si="13"/>
        <v/>
      </c>
      <c r="D125" s="43"/>
      <c r="E125" s="40" t="str">
        <f ca="1">IF(COUNTIF($W$2:W1110,A125)=1,VLOOKUP(A125,Q:R,2), IF(COUNTIF($W$2:W1110,A125)=0,$C$9,""))</f>
        <v/>
      </c>
      <c r="F125" s="2" t="str">
        <f t="shared" ca="1" si="14"/>
        <v/>
      </c>
      <c r="G125" s="43" t="str">
        <f t="shared" ca="1" si="15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6"/>
        <v/>
      </c>
      <c r="K125" s="43" t="str">
        <f t="shared" ca="1" si="17"/>
        <v/>
      </c>
      <c r="L125" s="43"/>
      <c r="M125" s="44" t="str">
        <f ca="1">IF(ISERROR(B125-2),"",C125+D125-F125-G125-K125+SUM($L$14:L125))</f>
        <v/>
      </c>
      <c r="U125" s="3" t="str">
        <f t="shared" si="9"/>
        <v/>
      </c>
      <c r="V125" s="3" t="str">
        <f t="shared" si="10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1"/>
        <v>45953</v>
      </c>
    </row>
    <row r="126" spans="1:30" x14ac:dyDescent="0.25">
      <c r="A126" s="39" t="str">
        <f t="shared" ca="1" si="12"/>
        <v/>
      </c>
      <c r="B126" s="40" t="str">
        <f ca="1">IF(COUNTIF($W$2:W1111,A126)=1,VLOOKUP(A126,O:P,2), IF(COUNTIF($W$2:W1111,A126)=0,$B$9,""))</f>
        <v/>
      </c>
      <c r="C126" s="2" t="str">
        <f t="shared" ca="1" si="13"/>
        <v/>
      </c>
      <c r="D126" s="43"/>
      <c r="E126" s="40" t="str">
        <f ca="1">IF(COUNTIF($W$2:W1111,A126)=1,VLOOKUP(A126,Q:R,2), IF(COUNTIF($W$2:W1111,A126)=0,$C$9,""))</f>
        <v/>
      </c>
      <c r="F126" s="2" t="str">
        <f t="shared" ca="1" si="14"/>
        <v/>
      </c>
      <c r="G126" s="43" t="str">
        <f t="shared" ca="1" si="15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6"/>
        <v/>
      </c>
      <c r="K126" s="43" t="str">
        <f t="shared" ca="1" si="17"/>
        <v/>
      </c>
      <c r="L126" s="43"/>
      <c r="M126" s="44" t="str">
        <f ca="1">IF(ISERROR(B126-2),"",C126+D126-F126-G126-K126+SUM($L$14:L126))</f>
        <v/>
      </c>
      <c r="U126" s="3" t="str">
        <f t="shared" si="9"/>
        <v/>
      </c>
      <c r="V126" s="3" t="str">
        <f t="shared" si="10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1"/>
        <v>45954</v>
      </c>
    </row>
    <row r="127" spans="1:30" x14ac:dyDescent="0.25">
      <c r="A127" s="39" t="str">
        <f t="shared" ca="1" si="12"/>
        <v/>
      </c>
      <c r="B127" s="40" t="str">
        <f ca="1">IF(COUNTIF($W$2:W1112,A127)=1,VLOOKUP(A127,O:P,2), IF(COUNTIF($W$2:W1112,A127)=0,$B$9,""))</f>
        <v/>
      </c>
      <c r="C127" s="2" t="str">
        <f t="shared" ca="1" si="13"/>
        <v/>
      </c>
      <c r="D127" s="43"/>
      <c r="E127" s="40" t="str">
        <f ca="1">IF(COUNTIF($W$2:W1112,A127)=1,VLOOKUP(A127,Q:R,2), IF(COUNTIF($W$2:W1112,A127)=0,$C$9,""))</f>
        <v/>
      </c>
      <c r="F127" s="2" t="str">
        <f t="shared" ca="1" si="14"/>
        <v/>
      </c>
      <c r="G127" s="43" t="str">
        <f t="shared" ca="1" si="15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6"/>
        <v/>
      </c>
      <c r="K127" s="43" t="str">
        <f t="shared" ca="1" si="17"/>
        <v/>
      </c>
      <c r="L127" s="43"/>
      <c r="M127" s="44" t="str">
        <f ca="1">IF(ISERROR(B127-2),"",C127+D127-F127-G127-K127+SUM($L$14:L127))</f>
        <v/>
      </c>
      <c r="U127" s="3" t="str">
        <f t="shared" si="9"/>
        <v/>
      </c>
      <c r="V127" s="3" t="str">
        <f t="shared" si="10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1"/>
        <v>45957</v>
      </c>
    </row>
    <row r="128" spans="1:30" x14ac:dyDescent="0.25">
      <c r="A128" s="39" t="str">
        <f t="shared" ca="1" si="12"/>
        <v/>
      </c>
      <c r="B128" s="40" t="str">
        <f ca="1">IF(COUNTIF($W$2:W1113,A128)=1,VLOOKUP(A128,O:P,2), IF(COUNTIF($W$2:W1113,A128)=0,$B$9,""))</f>
        <v/>
      </c>
      <c r="C128" s="2" t="str">
        <f t="shared" ca="1" si="13"/>
        <v/>
      </c>
      <c r="D128" s="43"/>
      <c r="E128" s="40" t="str">
        <f ca="1">IF(COUNTIF($W$2:W1113,A128)=1,VLOOKUP(A128,Q:R,2), IF(COUNTIF($W$2:W1113,A128)=0,$C$9,""))</f>
        <v/>
      </c>
      <c r="F128" s="2" t="str">
        <f t="shared" ca="1" si="14"/>
        <v/>
      </c>
      <c r="G128" s="43" t="str">
        <f t="shared" ca="1" si="15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6"/>
        <v/>
      </c>
      <c r="K128" s="43" t="str">
        <f t="shared" ca="1" si="17"/>
        <v/>
      </c>
      <c r="L128" s="43"/>
      <c r="M128" s="44" t="str">
        <f ca="1">IF(ISERROR(B128-2),"",C128+D128-F128-G128-K128+SUM($L$14:L128))</f>
        <v/>
      </c>
      <c r="U128" s="3" t="str">
        <f t="shared" si="9"/>
        <v/>
      </c>
      <c r="V128" s="3" t="str">
        <f t="shared" si="10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1"/>
        <v>45958</v>
      </c>
    </row>
    <row r="129" spans="1:30" x14ac:dyDescent="0.25">
      <c r="A129" s="39" t="str">
        <f t="shared" ca="1" si="12"/>
        <v/>
      </c>
      <c r="B129" s="40" t="str">
        <f ca="1">IF(COUNTIF($W$2:W1114,A129)=1,VLOOKUP(A129,O:P,2), IF(COUNTIF($W$2:W1114,A129)=0,$B$9,""))</f>
        <v/>
      </c>
      <c r="C129" s="2" t="str">
        <f t="shared" ca="1" si="13"/>
        <v/>
      </c>
      <c r="D129" s="43"/>
      <c r="E129" s="40" t="str">
        <f ca="1">IF(COUNTIF($W$2:W1114,A129)=1,VLOOKUP(A129,Q:R,2), IF(COUNTIF($W$2:W1114,A129)=0,$C$9,""))</f>
        <v/>
      </c>
      <c r="F129" s="2" t="str">
        <f t="shared" ca="1" si="14"/>
        <v/>
      </c>
      <c r="G129" s="43" t="str">
        <f t="shared" ca="1" si="15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6"/>
        <v/>
      </c>
      <c r="K129" s="43" t="str">
        <f t="shared" ca="1" si="17"/>
        <v/>
      </c>
      <c r="L129" s="43"/>
      <c r="M129" s="44" t="str">
        <f ca="1">IF(ISERROR(B129-2),"",C129+D129-F129-G129-K129+SUM($L$14:L129))</f>
        <v/>
      </c>
      <c r="U129" s="3" t="str">
        <f t="shared" si="9"/>
        <v/>
      </c>
      <c r="V129" s="3" t="str">
        <f t="shared" si="10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1"/>
        <v>45959</v>
      </c>
    </row>
    <row r="130" spans="1:30" x14ac:dyDescent="0.25">
      <c r="A130" s="39" t="str">
        <f t="shared" ca="1" si="12"/>
        <v/>
      </c>
      <c r="B130" s="40" t="str">
        <f ca="1">IF(COUNTIF($W$2:W1115,A130)=1,VLOOKUP(A130,O:P,2), IF(COUNTIF($W$2:W1115,A130)=0,$B$9,""))</f>
        <v/>
      </c>
      <c r="C130" s="2" t="str">
        <f t="shared" ca="1" si="13"/>
        <v/>
      </c>
      <c r="D130" s="43"/>
      <c r="E130" s="40" t="str">
        <f ca="1">IF(COUNTIF($W$2:W1115,A130)=1,VLOOKUP(A130,Q:R,2), IF(COUNTIF($W$2:W1115,A130)=0,$C$9,""))</f>
        <v/>
      </c>
      <c r="F130" s="2" t="str">
        <f t="shared" ca="1" si="14"/>
        <v/>
      </c>
      <c r="G130" s="43" t="str">
        <f t="shared" ca="1" si="15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6"/>
        <v/>
      </c>
      <c r="K130" s="43" t="str">
        <f t="shared" ca="1" si="17"/>
        <v/>
      </c>
      <c r="L130" s="43"/>
      <c r="M130" s="44" t="str">
        <f ca="1">IF(ISERROR(B130-2),"",C130+D130-F130-G130-K130+SUM($L$14:L130))</f>
        <v/>
      </c>
      <c r="U130" s="3" t="str">
        <f t="shared" si="9"/>
        <v/>
      </c>
      <c r="V130" s="3" t="str">
        <f t="shared" si="10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1"/>
        <v>45960</v>
      </c>
    </row>
    <row r="131" spans="1:30" x14ac:dyDescent="0.25">
      <c r="A131" s="39" t="str">
        <f t="shared" ca="1" si="12"/>
        <v/>
      </c>
      <c r="B131" s="40" t="str">
        <f ca="1">IF(COUNTIF($W$2:W1116,A131)=1,VLOOKUP(A131,O:P,2), IF(COUNTIF($W$2:W1116,A131)=0,$B$9,""))</f>
        <v/>
      </c>
      <c r="C131" s="2" t="str">
        <f t="shared" ca="1" si="13"/>
        <v/>
      </c>
      <c r="D131" s="43"/>
      <c r="E131" s="40" t="str">
        <f ca="1">IF(COUNTIF($W$2:W1116,A131)=1,VLOOKUP(A131,Q:R,2), IF(COUNTIF($W$2:W1116,A131)=0,$C$9,""))</f>
        <v/>
      </c>
      <c r="F131" s="2" t="str">
        <f t="shared" ca="1" si="14"/>
        <v/>
      </c>
      <c r="G131" s="43" t="str">
        <f t="shared" ca="1" si="15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6"/>
        <v/>
      </c>
      <c r="K131" s="43" t="str">
        <f t="shared" ca="1" si="17"/>
        <v/>
      </c>
      <c r="L131" s="43"/>
      <c r="M131" s="44" t="str">
        <f ca="1">IF(ISERROR(B131-2),"",C131+D131-F131-G131-K131+SUM($L$14:L131))</f>
        <v/>
      </c>
      <c r="U131" s="3" t="str">
        <f t="shared" si="9"/>
        <v/>
      </c>
      <c r="V131" s="3" t="str">
        <f t="shared" si="10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1"/>
        <v>45961</v>
      </c>
    </row>
    <row r="132" spans="1:30" x14ac:dyDescent="0.25">
      <c r="A132" s="39" t="str">
        <f t="shared" ca="1" si="12"/>
        <v/>
      </c>
      <c r="B132" s="40" t="str">
        <f ca="1">IF(COUNTIF($W$2:W1117,A132)=1,VLOOKUP(A132,O:P,2), IF(COUNTIF($W$2:W1117,A132)=0,$B$9,""))</f>
        <v/>
      </c>
      <c r="C132" s="2" t="str">
        <f t="shared" ca="1" si="13"/>
        <v/>
      </c>
      <c r="D132" s="43"/>
      <c r="E132" s="40" t="str">
        <f ca="1">IF(COUNTIF($W$2:W1117,A132)=1,VLOOKUP(A132,Q:R,2), IF(COUNTIF($W$2:W1117,A132)=0,$C$9,""))</f>
        <v/>
      </c>
      <c r="F132" s="2" t="str">
        <f t="shared" ca="1" si="14"/>
        <v/>
      </c>
      <c r="G132" s="43" t="str">
        <f t="shared" ca="1" si="15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6"/>
        <v/>
      </c>
      <c r="K132" s="43" t="str">
        <f t="shared" ca="1" si="17"/>
        <v/>
      </c>
      <c r="L132" s="43"/>
      <c r="M132" s="44" t="str">
        <f ca="1">IF(ISERROR(B132-2),"",C132+D132-F132-G132-K132+SUM($L$14:L132))</f>
        <v/>
      </c>
      <c r="U132" s="3" t="str">
        <f t="shared" ref="U132:U195" si="18">IF(COUNTIF(Q:Q,O132)*COUNTIF(S:S,O132),O132,"")</f>
        <v/>
      </c>
      <c r="V132" s="3" t="str">
        <f t="shared" ref="V132:V195" si="19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0">IF(COUNTIF(AB:AB,Z132),Z132,"")</f>
        <v>45964</v>
      </c>
    </row>
    <row r="133" spans="1:30" x14ac:dyDescent="0.25">
      <c r="A133" s="39" t="str">
        <f t="shared" ca="1" si="12"/>
        <v/>
      </c>
      <c r="B133" s="40" t="str">
        <f ca="1">IF(COUNTIF($W$2:W1118,A133)=1,VLOOKUP(A133,O:P,2), IF(COUNTIF($W$2:W1118,A133)=0,$B$9,""))</f>
        <v/>
      </c>
      <c r="C133" s="2" t="str">
        <f t="shared" ca="1" si="13"/>
        <v/>
      </c>
      <c r="D133" s="43"/>
      <c r="E133" s="40" t="str">
        <f ca="1">IF(COUNTIF($W$2:W1118,A133)=1,VLOOKUP(A133,Q:R,2), IF(COUNTIF($W$2:W1118,A133)=0,$C$9,""))</f>
        <v/>
      </c>
      <c r="F133" s="2" t="str">
        <f t="shared" ca="1" si="14"/>
        <v/>
      </c>
      <c r="G133" s="43" t="str">
        <f t="shared" ca="1" si="15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6"/>
        <v/>
      </c>
      <c r="K133" s="43" t="str">
        <f t="shared" ca="1" si="17"/>
        <v/>
      </c>
      <c r="L133" s="43"/>
      <c r="M133" s="44" t="str">
        <f ca="1">IF(ISERROR(B133-2),"",C133+D133-F133-G133-K133+SUM($L$14:L133))</f>
        <v/>
      </c>
      <c r="U133" s="3" t="str">
        <f t="shared" si="18"/>
        <v/>
      </c>
      <c r="V133" s="3" t="str">
        <f t="shared" si="19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0"/>
        <v>45965</v>
      </c>
    </row>
    <row r="134" spans="1:30" x14ac:dyDescent="0.25">
      <c r="A134" s="39" t="str">
        <f t="shared" ca="1" si="12"/>
        <v/>
      </c>
      <c r="B134" s="40" t="str">
        <f ca="1">IF(COUNTIF($W$2:W1119,A134)=1,VLOOKUP(A134,O:P,2), IF(COUNTIF($W$2:W1119,A134)=0,$B$9,""))</f>
        <v/>
      </c>
      <c r="C134" s="2" t="str">
        <f t="shared" ca="1" si="13"/>
        <v/>
      </c>
      <c r="D134" s="43"/>
      <c r="E134" s="40" t="str">
        <f ca="1">IF(COUNTIF($W$2:W1119,A134)=1,VLOOKUP(A134,Q:R,2), IF(COUNTIF($W$2:W1119,A134)=0,$C$9,""))</f>
        <v/>
      </c>
      <c r="F134" s="2" t="str">
        <f t="shared" ca="1" si="14"/>
        <v/>
      </c>
      <c r="G134" s="43" t="str">
        <f t="shared" ca="1" si="15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6"/>
        <v/>
      </c>
      <c r="K134" s="43" t="str">
        <f t="shared" ca="1" si="17"/>
        <v/>
      </c>
      <c r="L134" s="43"/>
      <c r="M134" s="44" t="str">
        <f ca="1">IF(ISERROR(B134-2),"",C134+D134-F134-G134-K134+SUM($L$14:L134))</f>
        <v/>
      </c>
      <c r="U134" s="3" t="str">
        <f t="shared" si="18"/>
        <v/>
      </c>
      <c r="V134" s="3" t="str">
        <f t="shared" si="19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0"/>
        <v>45966</v>
      </c>
    </row>
    <row r="135" spans="1:30" x14ac:dyDescent="0.25">
      <c r="A135" s="39" t="str">
        <f t="shared" ca="1" si="12"/>
        <v/>
      </c>
      <c r="B135" s="40" t="str">
        <f ca="1">IF(COUNTIF($W$2:W1120,A135)=1,VLOOKUP(A135,O:P,2), IF(COUNTIF($W$2:W1120,A135)=0,$B$9,""))</f>
        <v/>
      </c>
      <c r="C135" s="2" t="str">
        <f t="shared" ca="1" si="13"/>
        <v/>
      </c>
      <c r="D135" s="43"/>
      <c r="E135" s="40" t="str">
        <f ca="1">IF(COUNTIF($W$2:W1120,A135)=1,VLOOKUP(A135,Q:R,2), IF(COUNTIF($W$2:W1120,A135)=0,$C$9,""))</f>
        <v/>
      </c>
      <c r="F135" s="2" t="str">
        <f t="shared" ca="1" si="14"/>
        <v/>
      </c>
      <c r="G135" s="43" t="str">
        <f t="shared" ca="1" si="15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6"/>
        <v/>
      </c>
      <c r="K135" s="43" t="str">
        <f t="shared" ca="1" si="17"/>
        <v/>
      </c>
      <c r="L135" s="43"/>
      <c r="M135" s="44" t="str">
        <f ca="1">IF(ISERROR(B135-2),"",C135+D135-F135-G135-K135+SUM($L$14:L135))</f>
        <v/>
      </c>
      <c r="U135" s="3" t="str">
        <f t="shared" si="18"/>
        <v/>
      </c>
      <c r="V135" s="3" t="str">
        <f t="shared" si="19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0"/>
        <v>45967</v>
      </c>
    </row>
    <row r="136" spans="1:30" x14ac:dyDescent="0.25">
      <c r="A136" s="39" t="str">
        <f t="shared" ca="1" si="12"/>
        <v/>
      </c>
      <c r="B136" s="40" t="str">
        <f ca="1">IF(COUNTIF($W$2:W1121,A136)=1,VLOOKUP(A136,O:P,2), IF(COUNTIF($W$2:W1121,A136)=0,$B$9,""))</f>
        <v/>
      </c>
      <c r="C136" s="2" t="str">
        <f t="shared" ca="1" si="13"/>
        <v/>
      </c>
      <c r="D136" s="43"/>
      <c r="E136" s="40" t="str">
        <f ca="1">IF(COUNTIF($W$2:W1121,A136)=1,VLOOKUP(A136,Q:R,2), IF(COUNTIF($W$2:W1121,A136)=0,$C$9,""))</f>
        <v/>
      </c>
      <c r="F136" s="2" t="str">
        <f t="shared" ca="1" si="14"/>
        <v/>
      </c>
      <c r="G136" s="43" t="str">
        <f t="shared" ca="1" si="15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6"/>
        <v/>
      </c>
      <c r="K136" s="43" t="str">
        <f t="shared" ca="1" si="17"/>
        <v/>
      </c>
      <c r="L136" s="43"/>
      <c r="M136" s="44" t="str">
        <f ca="1">IF(ISERROR(B136-2),"",C136+D136-F136-G136-K136+SUM($L$14:L136))</f>
        <v/>
      </c>
      <c r="U136" s="3" t="str">
        <f t="shared" si="18"/>
        <v/>
      </c>
      <c r="V136" s="3" t="str">
        <f t="shared" si="19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0"/>
        <v>45968</v>
      </c>
    </row>
    <row r="137" spans="1:30" x14ac:dyDescent="0.25">
      <c r="A137" s="39" t="str">
        <f t="shared" ca="1" si="12"/>
        <v/>
      </c>
      <c r="B137" s="40" t="str">
        <f ca="1">IF(COUNTIF($W$2:W1122,A137)=1,VLOOKUP(A137,O:P,2), IF(COUNTIF($W$2:W1122,A137)=0,$B$9,""))</f>
        <v/>
      </c>
      <c r="C137" s="2" t="str">
        <f t="shared" ca="1" si="13"/>
        <v/>
      </c>
      <c r="D137" s="43"/>
      <c r="E137" s="40" t="str">
        <f ca="1">IF(COUNTIF($W$2:W1122,A137)=1,VLOOKUP(A137,Q:R,2), IF(COUNTIF($W$2:W1122,A137)=0,$C$9,""))</f>
        <v/>
      </c>
      <c r="F137" s="2" t="str">
        <f t="shared" ca="1" si="14"/>
        <v/>
      </c>
      <c r="G137" s="43" t="str">
        <f t="shared" ca="1" si="15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6"/>
        <v/>
      </c>
      <c r="K137" s="43" t="str">
        <f t="shared" ca="1" si="17"/>
        <v/>
      </c>
      <c r="L137" s="43"/>
      <c r="M137" s="44" t="str">
        <f ca="1">IF(ISERROR(B137-2),"",C137+D137-F137-G137-K137+SUM($L$14:L137))</f>
        <v/>
      </c>
      <c r="U137" s="3" t="str">
        <f t="shared" si="18"/>
        <v/>
      </c>
      <c r="V137" s="3" t="str">
        <f t="shared" si="19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0"/>
        <v>45971</v>
      </c>
    </row>
    <row r="138" spans="1:30" x14ac:dyDescent="0.25">
      <c r="A138" s="39" t="str">
        <f t="shared" ca="1" si="12"/>
        <v/>
      </c>
      <c r="B138" s="40" t="str">
        <f ca="1">IF(COUNTIF($W$2:W1123,A138)=1,VLOOKUP(A138,O:P,2), IF(COUNTIF($W$2:W1123,A138)=0,$B$9,""))</f>
        <v/>
      </c>
      <c r="C138" s="2" t="str">
        <f t="shared" ca="1" si="13"/>
        <v/>
      </c>
      <c r="D138" s="43"/>
      <c r="E138" s="40" t="str">
        <f ca="1">IF(COUNTIF($W$2:W1123,A138)=1,VLOOKUP(A138,Q:R,2), IF(COUNTIF($W$2:W1123,A138)=0,$C$9,""))</f>
        <v/>
      </c>
      <c r="F138" s="2" t="str">
        <f t="shared" ca="1" si="14"/>
        <v/>
      </c>
      <c r="G138" s="43" t="str">
        <f t="shared" ca="1" si="15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6"/>
        <v/>
      </c>
      <c r="K138" s="43" t="str">
        <f t="shared" ca="1" si="17"/>
        <v/>
      </c>
      <c r="L138" s="43"/>
      <c r="M138" s="44" t="str">
        <f ca="1">IF(ISERROR(B138-2),"",C138+D138-F138-G138-K138+SUM($L$14:L138))</f>
        <v/>
      </c>
      <c r="U138" s="3" t="str">
        <f t="shared" si="18"/>
        <v/>
      </c>
      <c r="V138" s="3" t="str">
        <f t="shared" si="19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0"/>
        <v>45972</v>
      </c>
    </row>
    <row r="139" spans="1:30" x14ac:dyDescent="0.25">
      <c r="A139" s="39" t="str">
        <f t="shared" ca="1" si="12"/>
        <v/>
      </c>
      <c r="B139" s="40" t="str">
        <f ca="1">IF(COUNTIF($W$2:W1124,A139)=1,VLOOKUP(A139,O:P,2), IF(COUNTIF($W$2:W1124,A139)=0,$B$9,""))</f>
        <v/>
      </c>
      <c r="C139" s="2" t="str">
        <f t="shared" ca="1" si="13"/>
        <v/>
      </c>
      <c r="D139" s="43"/>
      <c r="E139" s="40" t="str">
        <f ca="1">IF(COUNTIF($W$2:W1124,A139)=1,VLOOKUP(A139,Q:R,2), IF(COUNTIF($W$2:W1124,A139)=0,$C$9,""))</f>
        <v/>
      </c>
      <c r="F139" s="2" t="str">
        <f t="shared" ca="1" si="14"/>
        <v/>
      </c>
      <c r="G139" s="43" t="str">
        <f t="shared" ca="1" si="15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6"/>
        <v/>
      </c>
      <c r="K139" s="43" t="str">
        <f t="shared" ca="1" si="17"/>
        <v/>
      </c>
      <c r="L139" s="43"/>
      <c r="M139" s="44" t="str">
        <f ca="1">IF(ISERROR(B139-2),"",C139+D139-F139-G139-K139+SUM($L$14:L139))</f>
        <v/>
      </c>
      <c r="U139" s="3" t="str">
        <f t="shared" si="18"/>
        <v/>
      </c>
      <c r="V139" s="3" t="str">
        <f t="shared" si="19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0"/>
        <v>45973</v>
      </c>
    </row>
    <row r="140" spans="1:30" x14ac:dyDescent="0.25">
      <c r="A140" s="39" t="str">
        <f t="shared" ca="1" si="12"/>
        <v/>
      </c>
      <c r="B140" s="40" t="str">
        <f ca="1">IF(COUNTIF($W$2:W1125,A140)=1,VLOOKUP(A140,O:P,2), IF(COUNTIF($W$2:W1125,A140)=0,$B$9,""))</f>
        <v/>
      </c>
      <c r="C140" s="2" t="str">
        <f t="shared" ca="1" si="13"/>
        <v/>
      </c>
      <c r="D140" s="43"/>
      <c r="E140" s="40" t="str">
        <f ca="1">IF(COUNTIF($W$2:W1125,A140)=1,VLOOKUP(A140,Q:R,2), IF(COUNTIF($W$2:W1125,A140)=0,$C$9,""))</f>
        <v/>
      </c>
      <c r="F140" s="2" t="str">
        <f t="shared" ca="1" si="14"/>
        <v/>
      </c>
      <c r="G140" s="43" t="str">
        <f t="shared" ca="1" si="15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6"/>
        <v/>
      </c>
      <c r="K140" s="43" t="str">
        <f t="shared" ca="1" si="17"/>
        <v/>
      </c>
      <c r="L140" s="43"/>
      <c r="M140" s="44" t="str">
        <f ca="1">IF(ISERROR(B140-2),"",C140+D140-F140-G140-K140+SUM($L$14:L140))</f>
        <v/>
      </c>
      <c r="U140" s="3" t="str">
        <f t="shared" si="18"/>
        <v/>
      </c>
      <c r="V140" s="3" t="str">
        <f t="shared" si="19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0"/>
        <v>45974</v>
      </c>
    </row>
    <row r="141" spans="1:30" x14ac:dyDescent="0.25">
      <c r="A141" s="39" t="str">
        <f t="shared" ca="1" si="12"/>
        <v/>
      </c>
      <c r="B141" s="40" t="str">
        <f ca="1">IF(COUNTIF($W$2:W1126,A141)=1,VLOOKUP(A141,O:P,2), IF(COUNTIF($W$2:W1126,A141)=0,$B$9,""))</f>
        <v/>
      </c>
      <c r="C141" s="2" t="str">
        <f t="shared" ca="1" si="13"/>
        <v/>
      </c>
      <c r="D141" s="43"/>
      <c r="E141" s="40" t="str">
        <f ca="1">IF(COUNTIF($W$2:W1126,A141)=1,VLOOKUP(A141,Q:R,2), IF(COUNTIF($W$2:W1126,A141)=0,$C$9,""))</f>
        <v/>
      </c>
      <c r="F141" s="2" t="str">
        <f t="shared" ca="1" si="14"/>
        <v/>
      </c>
      <c r="G141" s="43" t="str">
        <f t="shared" ca="1" si="15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6"/>
        <v/>
      </c>
      <c r="K141" s="43" t="str">
        <f t="shared" ca="1" si="17"/>
        <v/>
      </c>
      <c r="L141" s="43"/>
      <c r="M141" s="44" t="str">
        <f ca="1">IF(ISERROR(B141-2),"",C141+D141-F141-G141-K141+SUM($L$14:L141))</f>
        <v/>
      </c>
      <c r="U141" s="3" t="str">
        <f t="shared" si="18"/>
        <v/>
      </c>
      <c r="V141" s="3" t="str">
        <f t="shared" si="19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0"/>
        <v>45975</v>
      </c>
    </row>
    <row r="142" spans="1:30" x14ac:dyDescent="0.25">
      <c r="A142" s="39" t="str">
        <f t="shared" ca="1" si="12"/>
        <v/>
      </c>
      <c r="B142" s="40" t="str">
        <f ca="1">IF(COUNTIF($W$2:W1127,A142)=1,VLOOKUP(A142,O:P,2), IF(COUNTIF($W$2:W1127,A142)=0,$B$9,""))</f>
        <v/>
      </c>
      <c r="C142" s="2" t="str">
        <f t="shared" ca="1" si="13"/>
        <v/>
      </c>
      <c r="D142" s="43"/>
      <c r="E142" s="40" t="str">
        <f ca="1">IF(COUNTIF($W$2:W1127,A142)=1,VLOOKUP(A142,Q:R,2), IF(COUNTIF($W$2:W1127,A142)=0,$C$9,""))</f>
        <v/>
      </c>
      <c r="F142" s="2" t="str">
        <f t="shared" ca="1" si="14"/>
        <v/>
      </c>
      <c r="G142" s="43" t="str">
        <f t="shared" ca="1" si="15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6"/>
        <v/>
      </c>
      <c r="K142" s="43" t="str">
        <f t="shared" ca="1" si="17"/>
        <v/>
      </c>
      <c r="L142" s="43"/>
      <c r="M142" s="44" t="str">
        <f ca="1">IF(ISERROR(B142-2),"",C142+D142-F142-G142-K142+SUM($L$14:L142))</f>
        <v/>
      </c>
      <c r="U142" s="3" t="str">
        <f t="shared" si="18"/>
        <v/>
      </c>
      <c r="V142" s="3" t="str">
        <f t="shared" si="19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0"/>
        <v>45978</v>
      </c>
    </row>
    <row r="143" spans="1:30" x14ac:dyDescent="0.25">
      <c r="A143" s="39" t="str">
        <f t="shared" ref="A143:A167" ca="1" si="21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3"/>
        <v/>
      </c>
      <c r="D143" s="43"/>
      <c r="E143" s="40" t="str">
        <f ca="1">IF(COUNTIF($W$2:W1128,A143)=1,VLOOKUP(A143,Q:R,2), IF(COUNTIF($W$2:W1128,A143)=0,$C$9,""))</f>
        <v/>
      </c>
      <c r="F143" s="2" t="str">
        <f t="shared" ca="1" si="14"/>
        <v/>
      </c>
      <c r="G143" s="43" t="str">
        <f t="shared" ca="1" si="15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6"/>
        <v/>
      </c>
      <c r="K143" s="43" t="str">
        <f t="shared" ca="1" si="17"/>
        <v/>
      </c>
      <c r="L143" s="43"/>
      <c r="M143" s="44" t="str">
        <f ca="1">IF(ISERROR(B143-2),"",C143+D143-F143-G143-K143+SUM($L$14:L143))</f>
        <v/>
      </c>
      <c r="U143" s="3" t="str">
        <f t="shared" si="18"/>
        <v/>
      </c>
      <c r="V143" s="3" t="str">
        <f t="shared" si="19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0"/>
        <v>45979</v>
      </c>
    </row>
    <row r="144" spans="1:30" x14ac:dyDescent="0.25">
      <c r="A144" s="39" t="str">
        <f t="shared" ca="1" si="21"/>
        <v/>
      </c>
      <c r="B144" s="40" t="str">
        <f ca="1">IF(COUNTIF($W$2:W1129,A144)=1,VLOOKUP(A144,O:P,2), IF(COUNTIF($W$2:W1129,A144)=0,$B$9,""))</f>
        <v/>
      </c>
      <c r="C144" s="2" t="str">
        <f t="shared" ref="C144:C167" ca="1" si="22">IF(ISERROR(B144-2),"",(B144-$B$14)*$G$3*$I$3)</f>
        <v/>
      </c>
      <c r="D144" s="43"/>
      <c r="E144" s="40" t="str">
        <f ca="1">IF(COUNTIF($W$2:W1129,A144)=1,VLOOKUP(A144,Q:R,2), IF(COUNTIF($W$2:W1129,A144)=0,$C$9,""))</f>
        <v/>
      </c>
      <c r="F144" s="2" t="str">
        <f t="shared" ref="F144:F167" ca="1" si="23">IF(ISERROR(B144-2),"",(E144-$E$14)/100*$C$5)</f>
        <v/>
      </c>
      <c r="G144" s="43" t="str">
        <f t="shared" ref="G144:G167" ca="1" si="24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167" ca="1" si="25">IF(ISERROR(H144-2),"",I144)</f>
        <v/>
      </c>
      <c r="K144" s="43" t="str">
        <f t="shared" ref="K144:K167" ca="1" si="26">IF(ISERROR(H144-2),"",(J144/$J$14-1)*$D$5)</f>
        <v/>
      </c>
      <c r="L144" s="43"/>
      <c r="M144" s="44" t="str">
        <f ca="1">IF(ISERROR(B144-2),"",C144+D144-F144-G144-K144+SUM($L$14:L144))</f>
        <v/>
      </c>
      <c r="U144" s="3" t="str">
        <f t="shared" si="18"/>
        <v/>
      </c>
      <c r="V144" s="3" t="str">
        <f t="shared" si="19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0"/>
        <v>45980</v>
      </c>
    </row>
    <row r="145" spans="1:30" x14ac:dyDescent="0.25">
      <c r="A145" s="39" t="str">
        <f t="shared" ca="1" si="21"/>
        <v/>
      </c>
      <c r="B145" s="40" t="str">
        <f ca="1">IF(COUNTIF($W$2:W1130,A145)=1,VLOOKUP(A145,O:P,2), IF(COUNTIF($W$2:W1130,A145)=0,$B$9,""))</f>
        <v/>
      </c>
      <c r="C145" s="2" t="str">
        <f t="shared" ca="1" si="22"/>
        <v/>
      </c>
      <c r="D145" s="43"/>
      <c r="E145" s="40" t="str">
        <f ca="1">IF(COUNTIF($W$2:W1130,A145)=1,VLOOKUP(A145,Q:R,2), IF(COUNTIF($W$2:W1130,A145)=0,$C$9,""))</f>
        <v/>
      </c>
      <c r="F145" s="2" t="str">
        <f t="shared" ca="1" si="23"/>
        <v/>
      </c>
      <c r="G145" s="43" t="str">
        <f t="shared" ca="1" si="24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5"/>
        <v/>
      </c>
      <c r="K145" s="43" t="str">
        <f t="shared" ca="1" si="26"/>
        <v/>
      </c>
      <c r="L145" s="43"/>
      <c r="M145" s="44" t="str">
        <f ca="1">IF(ISERROR(B145-2),"",C145+D145-F145-G145-K145+SUM($L$14:L145))</f>
        <v/>
      </c>
      <c r="U145" s="3" t="str">
        <f t="shared" si="18"/>
        <v/>
      </c>
      <c r="V145" s="3" t="str">
        <f t="shared" si="19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0"/>
        <v>45981</v>
      </c>
    </row>
    <row r="146" spans="1:30" x14ac:dyDescent="0.25">
      <c r="A146" s="39" t="str">
        <f t="shared" ca="1" si="21"/>
        <v/>
      </c>
      <c r="B146" s="40" t="str">
        <f ca="1">IF(COUNTIF($W$2:W1131,A146)=1,VLOOKUP(A146,O:P,2), IF(COUNTIF($W$2:W1131,A146)=0,$B$9,""))</f>
        <v/>
      </c>
      <c r="C146" s="2" t="str">
        <f t="shared" ca="1" si="22"/>
        <v/>
      </c>
      <c r="D146" s="43"/>
      <c r="E146" s="40" t="str">
        <f ca="1">IF(COUNTIF($W$2:W1131,A146)=1,VLOOKUP(A146,Q:R,2), IF(COUNTIF($W$2:W1131,A146)=0,$C$9,""))</f>
        <v/>
      </c>
      <c r="F146" s="2" t="str">
        <f t="shared" ca="1" si="23"/>
        <v/>
      </c>
      <c r="G146" s="43" t="str">
        <f t="shared" ca="1" si="24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5"/>
        <v/>
      </c>
      <c r="K146" s="43" t="str">
        <f t="shared" ca="1" si="26"/>
        <v/>
      </c>
      <c r="L146" s="43"/>
      <c r="M146" s="44" t="str">
        <f ca="1">IF(ISERROR(B146-2),"",C146+D146-F146-G146-K146+SUM($L$14:L146))</f>
        <v/>
      </c>
      <c r="U146" s="3" t="str">
        <f t="shared" si="18"/>
        <v/>
      </c>
      <c r="V146" s="3" t="str">
        <f t="shared" si="19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0"/>
        <v>45982</v>
      </c>
    </row>
    <row r="147" spans="1:30" x14ac:dyDescent="0.25">
      <c r="A147" s="39" t="str">
        <f t="shared" ca="1" si="21"/>
        <v/>
      </c>
      <c r="B147" s="40" t="str">
        <f ca="1">IF(COUNTIF($W$2:W1132,A147)=1,VLOOKUP(A147,O:P,2), IF(COUNTIF($W$2:W1132,A147)=0,$B$9,""))</f>
        <v/>
      </c>
      <c r="C147" s="2" t="str">
        <f t="shared" ca="1" si="22"/>
        <v/>
      </c>
      <c r="D147" s="43"/>
      <c r="E147" s="40" t="str">
        <f ca="1">IF(COUNTIF($W$2:W1132,A147)=1,VLOOKUP(A147,Q:R,2), IF(COUNTIF($W$2:W1132,A147)=0,$C$9,""))</f>
        <v/>
      </c>
      <c r="F147" s="2" t="str">
        <f t="shared" ca="1" si="23"/>
        <v/>
      </c>
      <c r="G147" s="43" t="str">
        <f t="shared" ca="1" si="24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5"/>
        <v/>
      </c>
      <c r="K147" s="43" t="str">
        <f t="shared" ca="1" si="26"/>
        <v/>
      </c>
      <c r="L147" s="43"/>
      <c r="M147" s="44" t="str">
        <f ca="1">IF(ISERROR(B147-2),"",C147+D147-F147-G147-K147+SUM($L$14:L147))</f>
        <v/>
      </c>
      <c r="U147" s="3" t="str">
        <f t="shared" si="18"/>
        <v/>
      </c>
      <c r="V147" s="3" t="str">
        <f t="shared" si="19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0"/>
        <v>45985</v>
      </c>
    </row>
    <row r="148" spans="1:30" x14ac:dyDescent="0.25">
      <c r="A148" s="39" t="str">
        <f t="shared" ca="1" si="21"/>
        <v/>
      </c>
      <c r="B148" s="40" t="str">
        <f ca="1">IF(COUNTIF($W$2:W1133,A148)=1,VLOOKUP(A148,O:P,2), IF(COUNTIF($W$2:W1133,A148)=0,$B$9,""))</f>
        <v/>
      </c>
      <c r="C148" s="2" t="str">
        <f t="shared" ca="1" si="22"/>
        <v/>
      </c>
      <c r="D148" s="43"/>
      <c r="E148" s="40" t="str">
        <f ca="1">IF(COUNTIF($W$2:W1133,A148)=1,VLOOKUP(A148,Q:R,2), IF(COUNTIF($W$2:W1133,A148)=0,$C$9,""))</f>
        <v/>
      </c>
      <c r="F148" s="2" t="str">
        <f t="shared" ca="1" si="23"/>
        <v/>
      </c>
      <c r="G148" s="43" t="str">
        <f t="shared" ca="1" si="24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5"/>
        <v/>
      </c>
      <c r="K148" s="43" t="str">
        <f t="shared" ca="1" si="26"/>
        <v/>
      </c>
      <c r="L148" s="43"/>
      <c r="M148" s="44" t="str">
        <f ca="1">IF(ISERROR(B148-2),"",C148+D148-F148-G148-K148+SUM($L$14:L148))</f>
        <v/>
      </c>
      <c r="U148" s="3" t="str">
        <f t="shared" si="18"/>
        <v/>
      </c>
      <c r="V148" s="3" t="str">
        <f t="shared" si="19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0"/>
        <v>45986</v>
      </c>
    </row>
    <row r="149" spans="1:30" x14ac:dyDescent="0.25">
      <c r="A149" s="39" t="str">
        <f t="shared" ca="1" si="21"/>
        <v/>
      </c>
      <c r="B149" s="40" t="str">
        <f ca="1">IF(COUNTIF($W$2:W1134,A149)=1,VLOOKUP(A149,O:P,2), IF(COUNTIF($W$2:W1134,A149)=0,$B$9,""))</f>
        <v/>
      </c>
      <c r="C149" s="2" t="str">
        <f t="shared" ca="1" si="22"/>
        <v/>
      </c>
      <c r="D149" s="43"/>
      <c r="E149" s="40" t="str">
        <f ca="1">IF(COUNTIF($W$2:W1134,A149)=1,VLOOKUP(A149,Q:R,2), IF(COUNTIF($W$2:W1134,A149)=0,$C$9,""))</f>
        <v/>
      </c>
      <c r="F149" s="2" t="str">
        <f t="shared" ca="1" si="23"/>
        <v/>
      </c>
      <c r="G149" s="43" t="str">
        <f t="shared" ca="1" si="24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5"/>
        <v/>
      </c>
      <c r="K149" s="43" t="str">
        <f t="shared" ca="1" si="26"/>
        <v/>
      </c>
      <c r="L149" s="43"/>
      <c r="M149" s="44" t="str">
        <f ca="1">IF(ISERROR(B149-2),"",C149+D149-F149-G149-K149+SUM($L$14:L149))</f>
        <v/>
      </c>
      <c r="U149" s="3" t="str">
        <f t="shared" si="18"/>
        <v/>
      </c>
      <c r="V149" s="3" t="str">
        <f t="shared" si="19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0"/>
        <v>45987</v>
      </c>
    </row>
    <row r="150" spans="1:30" x14ac:dyDescent="0.25">
      <c r="A150" s="39" t="str">
        <f t="shared" ca="1" si="21"/>
        <v/>
      </c>
      <c r="B150" s="40" t="str">
        <f ca="1">IF(COUNTIF($W$2:W1135,A150)=1,VLOOKUP(A150,O:P,2), IF(COUNTIF($W$2:W1135,A150)=0,$B$9,""))</f>
        <v/>
      </c>
      <c r="C150" s="2" t="str">
        <f t="shared" ca="1" si="22"/>
        <v/>
      </c>
      <c r="D150" s="43"/>
      <c r="E150" s="40" t="str">
        <f ca="1">IF(COUNTIF($W$2:W1135,A150)=1,VLOOKUP(A150,Q:R,2), IF(COUNTIF($W$2:W1135,A150)=0,$C$9,""))</f>
        <v/>
      </c>
      <c r="F150" s="2" t="str">
        <f t="shared" ca="1" si="23"/>
        <v/>
      </c>
      <c r="G150" s="43" t="str">
        <f t="shared" ca="1" si="24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5"/>
        <v/>
      </c>
      <c r="K150" s="43" t="str">
        <f t="shared" ca="1" si="26"/>
        <v/>
      </c>
      <c r="L150" s="43"/>
      <c r="M150" s="44" t="str">
        <f ca="1">IF(ISERROR(B150-2),"",C150+D150-F150-G150-K150+SUM($L$14:L150))</f>
        <v/>
      </c>
      <c r="U150" s="3" t="str">
        <f t="shared" si="18"/>
        <v/>
      </c>
      <c r="V150" s="3" t="str">
        <f t="shared" si="19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0"/>
        <v>45988</v>
      </c>
    </row>
    <row r="151" spans="1:30" x14ac:dyDescent="0.25">
      <c r="A151" s="39" t="str">
        <f t="shared" ca="1" si="21"/>
        <v/>
      </c>
      <c r="B151" s="40" t="str">
        <f ca="1">IF(COUNTIF($W$2:W1136,A151)=1,VLOOKUP(A151,O:P,2), IF(COUNTIF($W$2:W1136,A151)=0,$B$9,""))</f>
        <v/>
      </c>
      <c r="C151" s="2" t="str">
        <f t="shared" ca="1" si="22"/>
        <v/>
      </c>
      <c r="D151" s="43"/>
      <c r="E151" s="40" t="str">
        <f ca="1">IF(COUNTIF($W$2:W1136,A151)=1,VLOOKUP(A151,Q:R,2), IF(COUNTIF($W$2:W1136,A151)=0,$C$9,""))</f>
        <v/>
      </c>
      <c r="F151" s="2" t="str">
        <f t="shared" ca="1" si="23"/>
        <v/>
      </c>
      <c r="G151" s="43" t="str">
        <f t="shared" ca="1" si="24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5"/>
        <v/>
      </c>
      <c r="K151" s="43" t="str">
        <f t="shared" ca="1" si="26"/>
        <v/>
      </c>
      <c r="L151" s="43"/>
      <c r="M151" s="44" t="str">
        <f ca="1">IF(ISERROR(B151-2),"",C151+D151-F151-G151-K151+SUM($L$14:L151))</f>
        <v/>
      </c>
      <c r="U151" s="3" t="str">
        <f t="shared" si="18"/>
        <v/>
      </c>
      <c r="V151" s="3" t="str">
        <f t="shared" si="19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0"/>
        <v>45989</v>
      </c>
    </row>
    <row r="152" spans="1:30" x14ac:dyDescent="0.25">
      <c r="A152" s="39" t="str">
        <f t="shared" ca="1" si="21"/>
        <v/>
      </c>
      <c r="B152" s="40" t="str">
        <f ca="1">IF(COUNTIF($W$2:W1137,A152)=1,VLOOKUP(A152,O:P,2), IF(COUNTIF($W$2:W1137,A152)=0,$B$9,""))</f>
        <v/>
      </c>
      <c r="C152" s="2" t="str">
        <f t="shared" ca="1" si="22"/>
        <v/>
      </c>
      <c r="D152" s="43"/>
      <c r="E152" s="40" t="str">
        <f ca="1">IF(COUNTIF($W$2:W1137,A152)=1,VLOOKUP(A152,Q:R,2), IF(COUNTIF($W$2:W1137,A152)=0,$C$9,""))</f>
        <v/>
      </c>
      <c r="F152" s="2" t="str">
        <f t="shared" ca="1" si="23"/>
        <v/>
      </c>
      <c r="G152" s="43" t="str">
        <f t="shared" ca="1" si="24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5"/>
        <v/>
      </c>
      <c r="K152" s="43" t="str">
        <f t="shared" ca="1" si="26"/>
        <v/>
      </c>
      <c r="L152" s="43"/>
      <c r="M152" s="44" t="str">
        <f ca="1">IF(ISERROR(B152-2),"",C152+D152-F152-G152-K152+SUM($L$14:L152))</f>
        <v/>
      </c>
      <c r="U152" s="3" t="str">
        <f t="shared" si="18"/>
        <v/>
      </c>
      <c r="V152" s="3" t="str">
        <f t="shared" si="19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0"/>
        <v>45992</v>
      </c>
    </row>
    <row r="153" spans="1:30" x14ac:dyDescent="0.25">
      <c r="A153" s="39" t="str">
        <f t="shared" ca="1" si="21"/>
        <v/>
      </c>
      <c r="B153" s="40" t="str">
        <f ca="1">IF(COUNTIF($W$2:W1138,A153)=1,VLOOKUP(A153,O:P,2), IF(COUNTIF($W$2:W1138,A153)=0,$B$9,""))</f>
        <v/>
      </c>
      <c r="C153" s="2" t="str">
        <f t="shared" ca="1" si="22"/>
        <v/>
      </c>
      <c r="D153" s="43"/>
      <c r="E153" s="40" t="str">
        <f ca="1">IF(COUNTIF($W$2:W1138,A153)=1,VLOOKUP(A153,Q:R,2), IF(COUNTIF($W$2:W1138,A153)=0,$C$9,""))</f>
        <v/>
      </c>
      <c r="F153" s="2" t="str">
        <f t="shared" ca="1" si="23"/>
        <v/>
      </c>
      <c r="G153" s="43" t="str">
        <f t="shared" ca="1" si="24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5"/>
        <v/>
      </c>
      <c r="K153" s="43" t="str">
        <f t="shared" ca="1" si="26"/>
        <v/>
      </c>
      <c r="L153" s="43"/>
      <c r="M153" s="44" t="str">
        <f ca="1">IF(ISERROR(B153-2),"",C153+D153-F153-G153-K153+SUM($L$14:L153))</f>
        <v/>
      </c>
      <c r="U153" s="3" t="str">
        <f t="shared" si="18"/>
        <v/>
      </c>
      <c r="V153" s="3" t="str">
        <f t="shared" si="19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0"/>
        <v>45993</v>
      </c>
    </row>
    <row r="154" spans="1:30" x14ac:dyDescent="0.25">
      <c r="A154" s="39" t="str">
        <f t="shared" ca="1" si="21"/>
        <v/>
      </c>
      <c r="B154" s="40" t="str">
        <f ca="1">IF(COUNTIF($W$2:W1139,A154)=1,VLOOKUP(A154,O:P,2), IF(COUNTIF($W$2:W1139,A154)=0,$B$9,""))</f>
        <v/>
      </c>
      <c r="C154" s="2" t="str">
        <f t="shared" ca="1" si="22"/>
        <v/>
      </c>
      <c r="D154" s="43"/>
      <c r="E154" s="40" t="str">
        <f ca="1">IF(COUNTIF($W$2:W1139,A154)=1,VLOOKUP(A154,Q:R,2), IF(COUNTIF($W$2:W1139,A154)=0,$C$9,""))</f>
        <v/>
      </c>
      <c r="F154" s="2" t="str">
        <f t="shared" ca="1" si="23"/>
        <v/>
      </c>
      <c r="G154" s="43" t="str">
        <f t="shared" ca="1" si="24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5"/>
        <v/>
      </c>
      <c r="K154" s="43" t="str">
        <f t="shared" ca="1" si="26"/>
        <v/>
      </c>
      <c r="L154" s="43"/>
      <c r="M154" s="44" t="str">
        <f ca="1">IF(ISERROR(B154-2),"",C154+D154-F154-G154-K154+SUM($L$14:L154))</f>
        <v/>
      </c>
      <c r="U154" s="3" t="str">
        <f t="shared" si="18"/>
        <v/>
      </c>
      <c r="V154" s="3" t="str">
        <f t="shared" si="19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0"/>
        <v>45994</v>
      </c>
    </row>
    <row r="155" spans="1:30" x14ac:dyDescent="0.25">
      <c r="A155" s="39" t="str">
        <f t="shared" ca="1" si="21"/>
        <v/>
      </c>
      <c r="B155" s="40" t="str">
        <f ca="1">IF(COUNTIF($W$2:W1140,A155)=1,VLOOKUP(A155,O:P,2), IF(COUNTIF($W$2:W1140,A155)=0,$B$9,""))</f>
        <v/>
      </c>
      <c r="C155" s="2" t="str">
        <f t="shared" ca="1" si="22"/>
        <v/>
      </c>
      <c r="D155" s="43"/>
      <c r="E155" s="40" t="str">
        <f ca="1">IF(COUNTIF($W$2:W1140,A155)=1,VLOOKUP(A155,Q:R,2), IF(COUNTIF($W$2:W1140,A155)=0,$C$9,""))</f>
        <v/>
      </c>
      <c r="F155" s="2" t="str">
        <f t="shared" ca="1" si="23"/>
        <v/>
      </c>
      <c r="G155" s="43" t="str">
        <f t="shared" ca="1" si="24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5"/>
        <v/>
      </c>
      <c r="K155" s="43" t="str">
        <f t="shared" ca="1" si="26"/>
        <v/>
      </c>
      <c r="L155" s="43"/>
      <c r="M155" s="44" t="str">
        <f ca="1">IF(ISERROR(B155-2),"",C155+D155-F155-G155-K155+SUM($L$14:L155))</f>
        <v/>
      </c>
      <c r="U155" s="3" t="str">
        <f t="shared" si="18"/>
        <v/>
      </c>
      <c r="V155" s="3" t="str">
        <f t="shared" si="19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0"/>
        <v>45995</v>
      </c>
    </row>
    <row r="156" spans="1:30" x14ac:dyDescent="0.25">
      <c r="A156" s="39" t="str">
        <f t="shared" ca="1" si="21"/>
        <v/>
      </c>
      <c r="B156" s="40" t="str">
        <f ca="1">IF(COUNTIF($W$2:W1141,A156)=1,VLOOKUP(A156,O:P,2), IF(COUNTIF($W$2:W1141,A156)=0,$B$9,""))</f>
        <v/>
      </c>
      <c r="C156" s="2" t="str">
        <f t="shared" ca="1" si="22"/>
        <v/>
      </c>
      <c r="D156" s="43"/>
      <c r="E156" s="40" t="str">
        <f ca="1">IF(COUNTIF($W$2:W1141,A156)=1,VLOOKUP(A156,Q:R,2), IF(COUNTIF($W$2:W1141,A156)=0,$C$9,""))</f>
        <v/>
      </c>
      <c r="F156" s="2" t="str">
        <f t="shared" ca="1" si="23"/>
        <v/>
      </c>
      <c r="G156" s="43" t="str">
        <f t="shared" ca="1" si="24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5"/>
        <v/>
      </c>
      <c r="K156" s="43" t="str">
        <f t="shared" ca="1" si="26"/>
        <v/>
      </c>
      <c r="L156" s="43"/>
      <c r="M156" s="44" t="str">
        <f ca="1">IF(ISERROR(B156-2),"",C156+D156-F156-G156-K156+SUM($L$14:L156))</f>
        <v/>
      </c>
      <c r="U156" s="3" t="str">
        <f t="shared" si="18"/>
        <v/>
      </c>
      <c r="V156" s="3" t="str">
        <f t="shared" si="19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0"/>
        <v>45996</v>
      </c>
    </row>
    <row r="157" spans="1:30" x14ac:dyDescent="0.25">
      <c r="A157" s="39" t="str">
        <f t="shared" ca="1" si="21"/>
        <v/>
      </c>
      <c r="B157" s="40" t="str">
        <f ca="1">IF(COUNTIF($W$2:W1142,A157)=1,VLOOKUP(A157,O:P,2), IF(COUNTIF($W$2:W1142,A157)=0,$B$9,""))</f>
        <v/>
      </c>
      <c r="C157" s="2" t="str">
        <f t="shared" ca="1" si="22"/>
        <v/>
      </c>
      <c r="D157" s="43"/>
      <c r="E157" s="40" t="str">
        <f ca="1">IF(COUNTIF($W$2:W1142,A157)=1,VLOOKUP(A157,Q:R,2), IF(COUNTIF($W$2:W1142,A157)=0,$C$9,""))</f>
        <v/>
      </c>
      <c r="F157" s="2" t="str">
        <f t="shared" ca="1" si="23"/>
        <v/>
      </c>
      <c r="G157" s="43" t="str">
        <f t="shared" ca="1" si="24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5"/>
        <v/>
      </c>
      <c r="K157" s="43" t="str">
        <f t="shared" ca="1" si="26"/>
        <v/>
      </c>
      <c r="L157" s="43"/>
      <c r="M157" s="44" t="str">
        <f ca="1">IF(ISERROR(B157-2),"",C157+D157-F157-G157-K157+SUM($L$14:L157))</f>
        <v/>
      </c>
      <c r="U157" s="3" t="str">
        <f t="shared" si="18"/>
        <v/>
      </c>
      <c r="V157" s="3" t="str">
        <f t="shared" si="19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0"/>
        <v>45999</v>
      </c>
    </row>
    <row r="158" spans="1:30" x14ac:dyDescent="0.25">
      <c r="A158" s="39" t="str">
        <f t="shared" ca="1" si="21"/>
        <v/>
      </c>
      <c r="B158" s="40" t="str">
        <f ca="1">IF(COUNTIF($W$2:W1143,A158)=1,VLOOKUP(A158,O:P,2), IF(COUNTIF($W$2:W1143,A158)=0,$B$9,""))</f>
        <v/>
      </c>
      <c r="C158" s="2" t="str">
        <f t="shared" ca="1" si="22"/>
        <v/>
      </c>
      <c r="D158" s="43"/>
      <c r="E158" s="40" t="str">
        <f ca="1">IF(COUNTIF($W$2:W1143,A158)=1,VLOOKUP(A158,Q:R,2), IF(COUNTIF($W$2:W1143,A158)=0,$C$9,""))</f>
        <v/>
      </c>
      <c r="F158" s="2" t="str">
        <f t="shared" ca="1" si="23"/>
        <v/>
      </c>
      <c r="G158" s="43" t="str">
        <f t="shared" ca="1" si="24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5"/>
        <v/>
      </c>
      <c r="K158" s="43" t="str">
        <f t="shared" ca="1" si="26"/>
        <v/>
      </c>
      <c r="L158" s="43"/>
      <c r="M158" s="44" t="str">
        <f ca="1">IF(ISERROR(B158-2),"",C158+D158-F158-G158-K158+SUM($L$14:L158))</f>
        <v/>
      </c>
      <c r="U158" s="3" t="str">
        <f t="shared" si="18"/>
        <v/>
      </c>
      <c r="V158" s="3" t="str">
        <f t="shared" si="19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0"/>
        <v>46000</v>
      </c>
    </row>
    <row r="159" spans="1:30" x14ac:dyDescent="0.25">
      <c r="A159" s="39" t="str">
        <f t="shared" ca="1" si="21"/>
        <v/>
      </c>
      <c r="B159" s="40" t="str">
        <f ca="1">IF(COUNTIF($W$2:W1144,A159)=1,VLOOKUP(A159,O:P,2), IF(COUNTIF($W$2:W1144,A159)=0,$B$9,""))</f>
        <v/>
      </c>
      <c r="C159" s="2" t="str">
        <f t="shared" ca="1" si="22"/>
        <v/>
      </c>
      <c r="D159" s="43"/>
      <c r="E159" s="40" t="str">
        <f ca="1">IF(COUNTIF($W$2:W1144,A159)=1,VLOOKUP(A159,Q:R,2), IF(COUNTIF($W$2:W1144,A159)=0,$C$9,""))</f>
        <v/>
      </c>
      <c r="F159" s="2" t="str">
        <f t="shared" ca="1" si="23"/>
        <v/>
      </c>
      <c r="G159" s="43" t="str">
        <f t="shared" ca="1" si="24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5"/>
        <v/>
      </c>
      <c r="K159" s="43" t="str">
        <f t="shared" ca="1" si="26"/>
        <v/>
      </c>
      <c r="L159" s="43"/>
      <c r="M159" s="44" t="str">
        <f ca="1">IF(ISERROR(B159-2),"",C159+D159-F159-G159-K159+SUM($L$14:L159))</f>
        <v/>
      </c>
      <c r="U159" s="3" t="str">
        <f t="shared" si="18"/>
        <v/>
      </c>
      <c r="V159" s="3" t="str">
        <f t="shared" si="19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0"/>
        <v>46001</v>
      </c>
    </row>
    <row r="160" spans="1:30" x14ac:dyDescent="0.25">
      <c r="A160" s="39" t="str">
        <f t="shared" ca="1" si="21"/>
        <v/>
      </c>
      <c r="B160" s="40" t="str">
        <f ca="1">IF(COUNTIF($W$2:W1145,A160)=1,VLOOKUP(A160,O:P,2), IF(COUNTIF($W$2:W1145,A160)=0,$B$9,""))</f>
        <v/>
      </c>
      <c r="C160" s="2" t="str">
        <f t="shared" ca="1" si="22"/>
        <v/>
      </c>
      <c r="D160" s="43"/>
      <c r="E160" s="40" t="str">
        <f ca="1">IF(COUNTIF($W$2:W1145,A160)=1,VLOOKUP(A160,Q:R,2), IF(COUNTIF($W$2:W1145,A160)=0,$C$9,""))</f>
        <v/>
      </c>
      <c r="F160" s="2" t="str">
        <f t="shared" ca="1" si="23"/>
        <v/>
      </c>
      <c r="G160" s="43" t="str">
        <f t="shared" ca="1" si="24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5"/>
        <v/>
      </c>
      <c r="K160" s="43" t="str">
        <f t="shared" ca="1" si="26"/>
        <v/>
      </c>
      <c r="L160" s="43"/>
      <c r="M160" s="44" t="str">
        <f ca="1">IF(ISERROR(B160-2),"",C160+D160-F160-G160-K160+SUM($L$14:L160))</f>
        <v/>
      </c>
      <c r="U160" s="3" t="str">
        <f t="shared" si="18"/>
        <v/>
      </c>
      <c r="V160" s="3" t="str">
        <f t="shared" si="19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0"/>
        <v>46002</v>
      </c>
    </row>
    <row r="161" spans="1:30" x14ac:dyDescent="0.25">
      <c r="A161" s="39" t="str">
        <f t="shared" ca="1" si="21"/>
        <v/>
      </c>
      <c r="B161" s="40" t="str">
        <f ca="1">IF(COUNTIF($W$2:W1146,A161)=1,VLOOKUP(A161,O:P,2), IF(COUNTIF($W$2:W1146,A161)=0,$B$9,""))</f>
        <v/>
      </c>
      <c r="C161" s="2" t="str">
        <f t="shared" ca="1" si="22"/>
        <v/>
      </c>
      <c r="D161" s="43"/>
      <c r="E161" s="40" t="str">
        <f ca="1">IF(COUNTIF($W$2:W1146,A161)=1,VLOOKUP(A161,Q:R,2), IF(COUNTIF($W$2:W1146,A161)=0,$C$9,""))</f>
        <v/>
      </c>
      <c r="F161" s="2" t="str">
        <f t="shared" ca="1" si="23"/>
        <v/>
      </c>
      <c r="G161" s="43" t="str">
        <f t="shared" ca="1" si="24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5"/>
        <v/>
      </c>
      <c r="K161" s="43" t="str">
        <f t="shared" ca="1" si="26"/>
        <v/>
      </c>
      <c r="L161" s="43"/>
      <c r="M161" s="44" t="str">
        <f ca="1">IF(ISERROR(B161-2),"",C161+D161-F161-G161-K161+SUM($L$14:L161))</f>
        <v/>
      </c>
      <c r="U161" s="3" t="str">
        <f t="shared" si="18"/>
        <v/>
      </c>
      <c r="V161" s="3" t="str">
        <f t="shared" si="19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0"/>
        <v>46003</v>
      </c>
    </row>
    <row r="162" spans="1:30" x14ac:dyDescent="0.25">
      <c r="A162" s="39" t="str">
        <f t="shared" ca="1" si="21"/>
        <v/>
      </c>
      <c r="B162" s="40" t="str">
        <f ca="1">IF(COUNTIF($W$2:W1147,A162)=1,VLOOKUP(A162,O:P,2), IF(COUNTIF($W$2:W1147,A162)=0,$B$9,""))</f>
        <v/>
      </c>
      <c r="C162" s="2" t="str">
        <f t="shared" ca="1" si="22"/>
        <v/>
      </c>
      <c r="D162" s="43"/>
      <c r="E162" s="40" t="str">
        <f ca="1">IF(COUNTIF($W$2:W1147,A162)=1,VLOOKUP(A162,Q:R,2), IF(COUNTIF($W$2:W1147,A162)=0,$C$9,""))</f>
        <v/>
      </c>
      <c r="F162" s="2" t="str">
        <f t="shared" ca="1" si="23"/>
        <v/>
      </c>
      <c r="G162" s="43" t="str">
        <f t="shared" ca="1" si="24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5"/>
        <v/>
      </c>
      <c r="K162" s="43" t="str">
        <f t="shared" ca="1" si="26"/>
        <v/>
      </c>
      <c r="L162" s="43"/>
      <c r="M162" s="44" t="str">
        <f ca="1">IF(ISERROR(B162-2),"",C162+D162-F162-G162-K162+SUM($L$14:L162))</f>
        <v/>
      </c>
      <c r="U162" s="3" t="str">
        <f t="shared" si="18"/>
        <v/>
      </c>
      <c r="V162" s="3" t="str">
        <f t="shared" si="19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0"/>
        <v>46006</v>
      </c>
    </row>
    <row r="163" spans="1:30" x14ac:dyDescent="0.25">
      <c r="A163" s="39" t="str">
        <f t="shared" ca="1" si="21"/>
        <v/>
      </c>
      <c r="B163" s="40" t="str">
        <f ca="1">IF(COUNTIF($W$2:W1148,A163)=1,VLOOKUP(A163,O:P,2), IF(COUNTIF($W$2:W1148,A163)=0,$B$9,""))</f>
        <v/>
      </c>
      <c r="C163" s="2" t="str">
        <f t="shared" ca="1" si="22"/>
        <v/>
      </c>
      <c r="D163" s="43"/>
      <c r="E163" s="40" t="str">
        <f ca="1">IF(COUNTIF($W$2:W1148,A163)=1,VLOOKUP(A163,Q:R,2), IF(COUNTIF($W$2:W1148,A163)=0,$C$9,""))</f>
        <v/>
      </c>
      <c r="F163" s="2" t="str">
        <f t="shared" ca="1" si="23"/>
        <v/>
      </c>
      <c r="G163" s="43" t="str">
        <f t="shared" ca="1" si="24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5"/>
        <v/>
      </c>
      <c r="K163" s="43" t="str">
        <f t="shared" ca="1" si="26"/>
        <v/>
      </c>
      <c r="L163" s="43"/>
      <c r="M163" s="44" t="str">
        <f ca="1">IF(ISERROR(B163-2),"",C163+D163-F163-G163-K163+SUM($L$14:L163))</f>
        <v/>
      </c>
      <c r="U163" s="3" t="str">
        <f t="shared" si="18"/>
        <v/>
      </c>
      <c r="V163" s="3" t="str">
        <f t="shared" si="19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0"/>
        <v>46007</v>
      </c>
    </row>
    <row r="164" spans="1:30" x14ac:dyDescent="0.25">
      <c r="A164" s="39" t="str">
        <f t="shared" ca="1" si="21"/>
        <v/>
      </c>
      <c r="B164" s="40" t="str">
        <f ca="1">IF(COUNTIF($W$2:W1149,A164)=1,VLOOKUP(A164,O:P,2), IF(COUNTIF($W$2:W1149,A164)=0,$B$9,""))</f>
        <v/>
      </c>
      <c r="C164" s="2" t="str">
        <f t="shared" ca="1" si="22"/>
        <v/>
      </c>
      <c r="D164" s="43"/>
      <c r="E164" s="40" t="str">
        <f ca="1">IF(COUNTIF($W$2:W1149,A164)=1,VLOOKUP(A164,Q:R,2), IF(COUNTIF($W$2:W1149,A164)=0,$C$9,""))</f>
        <v/>
      </c>
      <c r="F164" s="2" t="str">
        <f t="shared" ca="1" si="23"/>
        <v/>
      </c>
      <c r="G164" s="43" t="str">
        <f t="shared" ca="1" si="24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5"/>
        <v/>
      </c>
      <c r="K164" s="43" t="str">
        <f t="shared" ca="1" si="26"/>
        <v/>
      </c>
      <c r="L164" s="43"/>
      <c r="M164" s="44" t="str">
        <f ca="1">IF(ISERROR(B164-2),"",C164+D164-F164-G164-K164+SUM($L$14:L164))</f>
        <v/>
      </c>
      <c r="U164" s="3" t="str">
        <f t="shared" si="18"/>
        <v/>
      </c>
      <c r="V164" s="3" t="str">
        <f t="shared" si="19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0"/>
        <v>46008</v>
      </c>
    </row>
    <row r="165" spans="1:30" x14ac:dyDescent="0.25">
      <c r="A165" s="39" t="str">
        <f t="shared" ca="1" si="21"/>
        <v/>
      </c>
      <c r="B165" s="40" t="str">
        <f ca="1">IF(COUNTIF($W$2:W1150,A165)=1,VLOOKUP(A165,O:P,2), IF(COUNTIF($W$2:W1150,A165)=0,$B$9,""))</f>
        <v/>
      </c>
      <c r="C165" s="2" t="str">
        <f t="shared" ca="1" si="22"/>
        <v/>
      </c>
      <c r="D165" s="43"/>
      <c r="E165" s="40" t="str">
        <f ca="1">IF(COUNTIF($W$2:W1150,A165)=1,VLOOKUP(A165,Q:R,2), IF(COUNTIF($W$2:W1150,A165)=0,$C$9,""))</f>
        <v/>
      </c>
      <c r="F165" s="2" t="str">
        <f t="shared" ca="1" si="23"/>
        <v/>
      </c>
      <c r="G165" s="43" t="str">
        <f t="shared" ca="1" si="24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5"/>
        <v/>
      </c>
      <c r="K165" s="43" t="str">
        <f t="shared" ca="1" si="26"/>
        <v/>
      </c>
      <c r="L165" s="43"/>
      <c r="M165" s="44" t="str">
        <f ca="1">IF(ISERROR(B165-2),"",C165+D165-F165-G165-K165+SUM($L$14:L165))</f>
        <v/>
      </c>
      <c r="U165" s="3" t="str">
        <f t="shared" si="18"/>
        <v/>
      </c>
      <c r="V165" s="3" t="str">
        <f t="shared" si="19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0"/>
        <v>46009</v>
      </c>
    </row>
    <row r="166" spans="1:30" x14ac:dyDescent="0.25">
      <c r="A166" s="39" t="str">
        <f t="shared" ca="1" si="21"/>
        <v/>
      </c>
      <c r="B166" s="40" t="str">
        <f ca="1">IF(COUNTIF($W$2:W1151,A166)=1,VLOOKUP(A166,O:P,2), IF(COUNTIF($W$2:W1151,A166)=0,$B$9,""))</f>
        <v/>
      </c>
      <c r="C166" s="2" t="str">
        <f t="shared" ca="1" si="22"/>
        <v/>
      </c>
      <c r="D166" s="43"/>
      <c r="E166" s="40" t="str">
        <f ca="1">IF(COUNTIF($W$2:W1151,A166)=1,VLOOKUP(A166,Q:R,2), IF(COUNTIF($W$2:W1151,A166)=0,$C$9,""))</f>
        <v/>
      </c>
      <c r="F166" s="2" t="str">
        <f t="shared" ca="1" si="23"/>
        <v/>
      </c>
      <c r="G166" s="43" t="str">
        <f t="shared" ca="1" si="24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5"/>
        <v/>
      </c>
      <c r="K166" s="43" t="str">
        <f t="shared" ca="1" si="26"/>
        <v/>
      </c>
      <c r="L166" s="43"/>
      <c r="M166" s="44" t="str">
        <f ca="1">IF(ISERROR(B166-2),"",C166+D166-F166-G166-K166+SUM($L$14:L166))</f>
        <v/>
      </c>
      <c r="U166" s="3" t="str">
        <f t="shared" si="18"/>
        <v/>
      </c>
      <c r="V166" s="3" t="str">
        <f t="shared" si="19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0"/>
        <v>46010</v>
      </c>
    </row>
    <row r="167" spans="1:30" x14ac:dyDescent="0.25">
      <c r="A167" s="39" t="str">
        <f t="shared" ca="1" si="21"/>
        <v/>
      </c>
      <c r="B167" s="40" t="str">
        <f ca="1">IF(COUNTIF($W$2:W1152,A167)=1,VLOOKUP(A167,O:P,2), IF(COUNTIF($W$2:W1152,A167)=0,$B$9,""))</f>
        <v/>
      </c>
      <c r="C167" s="2" t="str">
        <f t="shared" ca="1" si="22"/>
        <v/>
      </c>
      <c r="D167" s="43"/>
      <c r="E167" s="40" t="str">
        <f ca="1">IF(COUNTIF($W$2:W1152,A167)=1,VLOOKUP(A167,Q:R,2), IF(COUNTIF($W$2:W1152,A167)=0,$C$9,""))</f>
        <v/>
      </c>
      <c r="F167" s="2" t="str">
        <f t="shared" ca="1" si="23"/>
        <v/>
      </c>
      <c r="G167" s="43" t="str">
        <f t="shared" ca="1" si="24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5"/>
        <v/>
      </c>
      <c r="K167" s="43" t="str">
        <f t="shared" ca="1" si="26"/>
        <v/>
      </c>
      <c r="L167" s="43"/>
      <c r="M167" s="44" t="str">
        <f ca="1">IF(ISERROR(B167-2),"",C167+D167-F167-G167-K167+SUM($L$14:L167))</f>
        <v/>
      </c>
      <c r="U167" s="3" t="str">
        <f t="shared" si="18"/>
        <v/>
      </c>
      <c r="V167" s="3" t="str">
        <f t="shared" si="19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0"/>
        <v>46013</v>
      </c>
    </row>
    <row r="168" spans="1:30" x14ac:dyDescent="0.25">
      <c r="A168" s="39"/>
      <c r="B168" s="40"/>
      <c r="C168" s="2"/>
      <c r="D168" s="43"/>
      <c r="E168" s="40"/>
      <c r="F168" s="2"/>
      <c r="G168" s="43"/>
      <c r="H168" s="40"/>
      <c r="I168" s="41"/>
      <c r="J168" s="41"/>
      <c r="K168" s="43"/>
      <c r="L168" s="43"/>
      <c r="M168" s="44"/>
      <c r="U168" s="3" t="str">
        <f t="shared" si="18"/>
        <v/>
      </c>
      <c r="V168" s="3" t="str">
        <f t="shared" si="19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0"/>
        <v>46014</v>
      </c>
    </row>
    <row r="169" spans="1:30" x14ac:dyDescent="0.25">
      <c r="A169" s="39"/>
      <c r="B169" s="40"/>
      <c r="C169" s="2"/>
      <c r="D169" s="43"/>
      <c r="E169" s="40"/>
      <c r="F169" s="2"/>
      <c r="G169" s="43"/>
      <c r="H169" s="40"/>
      <c r="I169" s="41"/>
      <c r="J169" s="41"/>
      <c r="K169" s="43"/>
      <c r="L169" s="43"/>
      <c r="M169" s="44"/>
      <c r="U169" s="3" t="str">
        <f t="shared" si="18"/>
        <v/>
      </c>
      <c r="V169" s="3" t="str">
        <f t="shared" si="19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0"/>
        <v>46015</v>
      </c>
    </row>
    <row r="170" spans="1:30" x14ac:dyDescent="0.25">
      <c r="A170" s="39"/>
      <c r="B170" s="40"/>
      <c r="C170" s="2"/>
      <c r="D170" s="43"/>
      <c r="E170" s="40"/>
      <c r="F170" s="2"/>
      <c r="G170" s="43"/>
      <c r="H170" s="40"/>
      <c r="I170" s="41"/>
      <c r="J170" s="41"/>
      <c r="K170" s="43"/>
      <c r="L170" s="43"/>
      <c r="M170" s="44"/>
      <c r="U170" s="3" t="str">
        <f t="shared" si="18"/>
        <v/>
      </c>
      <c r="V170" s="3" t="str">
        <f t="shared" si="19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0"/>
        <v>46020</v>
      </c>
    </row>
    <row r="171" spans="1:30" x14ac:dyDescent="0.25">
      <c r="A171" s="39"/>
      <c r="B171" s="40"/>
      <c r="C171" s="2"/>
      <c r="D171" s="43"/>
      <c r="E171" s="40"/>
      <c r="F171" s="2"/>
      <c r="G171" s="43"/>
      <c r="H171" s="40"/>
      <c r="I171" s="41"/>
      <c r="J171" s="41"/>
      <c r="K171" s="43"/>
      <c r="L171" s="43"/>
      <c r="M171" s="44"/>
      <c r="U171" s="3" t="str">
        <f t="shared" si="18"/>
        <v/>
      </c>
      <c r="V171" s="3" t="str">
        <f t="shared" si="19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0"/>
        <v>46021</v>
      </c>
    </row>
    <row r="172" spans="1:30" x14ac:dyDescent="0.25">
      <c r="A172" s="39"/>
      <c r="B172" s="40"/>
      <c r="C172" s="2"/>
      <c r="D172" s="43"/>
      <c r="E172" s="40"/>
      <c r="F172" s="2"/>
      <c r="G172" s="43"/>
      <c r="H172" s="40"/>
      <c r="I172" s="41"/>
      <c r="J172" s="41"/>
      <c r="K172" s="43"/>
      <c r="L172" s="43"/>
      <c r="M172" s="44"/>
      <c r="U172" s="3" t="str">
        <f t="shared" si="18"/>
        <v/>
      </c>
      <c r="V172" s="3" t="str">
        <f t="shared" si="19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0"/>
        <v>46022</v>
      </c>
    </row>
    <row r="173" spans="1:30" x14ac:dyDescent="0.25">
      <c r="A173" s="39"/>
      <c r="B173" s="40"/>
      <c r="C173" s="2"/>
      <c r="D173" s="43"/>
      <c r="E173" s="40"/>
      <c r="F173" s="2"/>
      <c r="G173" s="43"/>
      <c r="H173" s="40"/>
      <c r="I173" s="41"/>
      <c r="J173" s="41"/>
      <c r="K173" s="43"/>
      <c r="L173" s="43"/>
      <c r="M173" s="44"/>
      <c r="U173" s="3" t="str">
        <f t="shared" si="18"/>
        <v/>
      </c>
      <c r="V173" s="3" t="str">
        <f t="shared" si="19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0"/>
        <v>46024</v>
      </c>
    </row>
    <row r="174" spans="1:30" x14ac:dyDescent="0.25">
      <c r="A174" s="39"/>
      <c r="B174" s="40"/>
      <c r="C174" s="2"/>
      <c r="D174" s="43"/>
      <c r="E174" s="40"/>
      <c r="F174" s="2"/>
      <c r="G174" s="43"/>
      <c r="H174" s="40"/>
      <c r="I174" s="41"/>
      <c r="J174" s="41"/>
      <c r="K174" s="43"/>
      <c r="L174" s="43"/>
      <c r="M174" s="44"/>
      <c r="U174" s="3" t="str">
        <f t="shared" si="18"/>
        <v/>
      </c>
      <c r="V174" s="3" t="str">
        <f t="shared" si="19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0"/>
        <v>46027</v>
      </c>
    </row>
    <row r="175" spans="1:30" x14ac:dyDescent="0.25">
      <c r="A175" s="39"/>
      <c r="B175" s="40"/>
      <c r="C175" s="2"/>
      <c r="D175" s="43"/>
      <c r="E175" s="40"/>
      <c r="F175" s="2"/>
      <c r="G175" s="43"/>
      <c r="H175" s="40"/>
      <c r="I175" s="41"/>
      <c r="J175" s="41"/>
      <c r="K175" s="43"/>
      <c r="L175" s="43"/>
      <c r="M175" s="44"/>
      <c r="U175" s="3" t="str">
        <f t="shared" si="18"/>
        <v/>
      </c>
      <c r="V175" s="3" t="str">
        <f t="shared" si="19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0"/>
        <v>46028</v>
      </c>
    </row>
    <row r="176" spans="1:30" x14ac:dyDescent="0.25">
      <c r="A176" s="39"/>
      <c r="B176" s="40"/>
      <c r="C176" s="2"/>
      <c r="D176" s="43"/>
      <c r="E176" s="40"/>
      <c r="F176" s="2"/>
      <c r="G176" s="43"/>
      <c r="H176" s="40"/>
      <c r="I176" s="41"/>
      <c r="J176" s="41"/>
      <c r="K176" s="43"/>
      <c r="L176" s="43"/>
      <c r="M176" s="44"/>
      <c r="U176" s="3" t="str">
        <f t="shared" si="18"/>
        <v/>
      </c>
      <c r="V176" s="3" t="str">
        <f t="shared" si="19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0"/>
        <v>46029</v>
      </c>
    </row>
    <row r="177" spans="1:30" x14ac:dyDescent="0.25">
      <c r="A177" s="39"/>
      <c r="B177" s="40"/>
      <c r="C177" s="2"/>
      <c r="D177" s="43"/>
      <c r="E177" s="40"/>
      <c r="F177" s="2"/>
      <c r="G177" s="43"/>
      <c r="H177" s="40"/>
      <c r="I177" s="41"/>
      <c r="J177" s="41"/>
      <c r="K177" s="43"/>
      <c r="L177" s="43"/>
      <c r="M177" s="44"/>
      <c r="U177" s="3" t="str">
        <f t="shared" si="18"/>
        <v/>
      </c>
      <c r="V177" s="3" t="str">
        <f t="shared" si="19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0"/>
        <v>46030</v>
      </c>
    </row>
    <row r="178" spans="1:30" x14ac:dyDescent="0.25">
      <c r="A178" s="39"/>
      <c r="B178" s="40"/>
      <c r="C178" s="2"/>
      <c r="D178" s="43"/>
      <c r="E178" s="40"/>
      <c r="F178" s="2"/>
      <c r="G178" s="43"/>
      <c r="H178" s="40"/>
      <c r="I178" s="41"/>
      <c r="J178" s="41"/>
      <c r="K178" s="43"/>
      <c r="L178" s="43"/>
      <c r="M178" s="44"/>
      <c r="U178" s="3" t="str">
        <f t="shared" si="18"/>
        <v/>
      </c>
      <c r="V178" s="3" t="str">
        <f t="shared" si="19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0"/>
        <v>46031</v>
      </c>
    </row>
    <row r="179" spans="1:30" x14ac:dyDescent="0.25">
      <c r="A179" s="39"/>
      <c r="B179" s="40"/>
      <c r="C179" s="2"/>
      <c r="D179" s="43"/>
      <c r="E179" s="40"/>
      <c r="F179" s="2"/>
      <c r="G179" s="43"/>
      <c r="H179" s="40"/>
      <c r="I179" s="41"/>
      <c r="J179" s="41"/>
      <c r="K179" s="43"/>
      <c r="L179" s="43"/>
      <c r="M179" s="44"/>
      <c r="U179" s="3" t="str">
        <f t="shared" si="18"/>
        <v/>
      </c>
      <c r="V179" s="3" t="str">
        <f t="shared" si="19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0"/>
        <v>46034</v>
      </c>
    </row>
    <row r="180" spans="1:30" x14ac:dyDescent="0.25">
      <c r="A180" s="39"/>
      <c r="B180" s="40"/>
      <c r="C180" s="2"/>
      <c r="D180" s="43"/>
      <c r="E180" s="40"/>
      <c r="F180" s="2"/>
      <c r="G180" s="43"/>
      <c r="H180" s="40"/>
      <c r="I180" s="41"/>
      <c r="J180" s="41"/>
      <c r="K180" s="43"/>
      <c r="L180" s="43"/>
      <c r="M180" s="44"/>
      <c r="U180" s="3" t="str">
        <f t="shared" si="18"/>
        <v/>
      </c>
      <c r="V180" s="3" t="str">
        <f t="shared" si="19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0"/>
        <v>46035</v>
      </c>
    </row>
    <row r="181" spans="1:30" x14ac:dyDescent="0.25">
      <c r="A181" s="39"/>
      <c r="B181" s="40"/>
      <c r="C181" s="2"/>
      <c r="D181" s="43"/>
      <c r="E181" s="40"/>
      <c r="F181" s="2"/>
      <c r="G181" s="43"/>
      <c r="H181" s="40"/>
      <c r="I181" s="41"/>
      <c r="J181" s="41"/>
      <c r="K181" s="43"/>
      <c r="L181" s="43"/>
      <c r="M181" s="44"/>
      <c r="U181" s="3" t="str">
        <f t="shared" si="18"/>
        <v/>
      </c>
      <c r="V181" s="3" t="str">
        <f t="shared" si="19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0"/>
        <v>46036</v>
      </c>
    </row>
    <row r="182" spans="1:30" x14ac:dyDescent="0.25">
      <c r="A182" s="39"/>
      <c r="B182" s="40"/>
      <c r="C182" s="2"/>
      <c r="D182" s="43"/>
      <c r="E182" s="40"/>
      <c r="F182" s="2"/>
      <c r="G182" s="43"/>
      <c r="H182" s="40"/>
      <c r="I182" s="41"/>
      <c r="J182" s="41"/>
      <c r="K182" s="43"/>
      <c r="L182" s="43"/>
      <c r="M182" s="44"/>
      <c r="U182" s="3" t="str">
        <f t="shared" si="18"/>
        <v/>
      </c>
      <c r="V182" s="3" t="str">
        <f t="shared" si="19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0"/>
        <v>46037</v>
      </c>
    </row>
    <row r="183" spans="1:30" x14ac:dyDescent="0.25">
      <c r="A183" s="39"/>
      <c r="B183" s="40"/>
      <c r="C183" s="2"/>
      <c r="D183" s="43"/>
      <c r="E183" s="40"/>
      <c r="F183" s="2"/>
      <c r="G183" s="43"/>
      <c r="H183" s="40"/>
      <c r="I183" s="41"/>
      <c r="J183" s="41"/>
      <c r="K183" s="43"/>
      <c r="L183" s="43"/>
      <c r="M183" s="44"/>
      <c r="U183" s="3" t="str">
        <f t="shared" si="18"/>
        <v/>
      </c>
      <c r="V183" s="3" t="str">
        <f t="shared" si="19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0"/>
        <v>46038</v>
      </c>
    </row>
    <row r="184" spans="1:30" x14ac:dyDescent="0.25">
      <c r="A184" s="39"/>
      <c r="B184" s="40"/>
      <c r="C184" s="2"/>
      <c r="D184" s="43"/>
      <c r="E184" s="40"/>
      <c r="F184" s="2"/>
      <c r="G184" s="43"/>
      <c r="H184" s="40"/>
      <c r="I184" s="41"/>
      <c r="J184" s="41"/>
      <c r="K184" s="43"/>
      <c r="L184" s="43"/>
      <c r="M184" s="44"/>
      <c r="U184" s="3" t="str">
        <f t="shared" si="18"/>
        <v/>
      </c>
      <c r="V184" s="3" t="str">
        <f t="shared" si="19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0"/>
        <v>46041</v>
      </c>
    </row>
    <row r="185" spans="1:30" x14ac:dyDescent="0.25">
      <c r="A185" s="39"/>
      <c r="B185" s="40"/>
      <c r="C185" s="2"/>
      <c r="D185" s="43"/>
      <c r="E185" s="40"/>
      <c r="F185" s="2"/>
      <c r="G185" s="43"/>
      <c r="H185" s="40"/>
      <c r="I185" s="41"/>
      <c r="J185" s="41"/>
      <c r="K185" s="43"/>
      <c r="L185" s="43"/>
      <c r="M185" s="44"/>
      <c r="U185" s="3" t="str">
        <f t="shared" si="18"/>
        <v/>
      </c>
      <c r="V185" s="3" t="str">
        <f t="shared" si="19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0"/>
        <v>46042</v>
      </c>
    </row>
    <row r="186" spans="1:30" x14ac:dyDescent="0.25">
      <c r="A186" s="39"/>
      <c r="B186" s="40"/>
      <c r="C186" s="2"/>
      <c r="D186" s="43"/>
      <c r="E186" s="40"/>
      <c r="F186" s="2"/>
      <c r="G186" s="43"/>
      <c r="H186" s="40"/>
      <c r="I186" s="41"/>
      <c r="J186" s="41"/>
      <c r="K186" s="43"/>
      <c r="L186" s="43"/>
      <c r="M186" s="44"/>
      <c r="U186" s="3" t="str">
        <f t="shared" si="18"/>
        <v/>
      </c>
      <c r="V186" s="3" t="str">
        <f t="shared" si="19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0"/>
        <v>46043</v>
      </c>
    </row>
    <row r="187" spans="1:30" x14ac:dyDescent="0.25">
      <c r="A187" s="39"/>
      <c r="B187" s="40"/>
      <c r="C187" s="2"/>
      <c r="D187" s="43"/>
      <c r="E187" s="40"/>
      <c r="F187" s="2"/>
      <c r="G187" s="43"/>
      <c r="H187" s="40"/>
      <c r="I187" s="41"/>
      <c r="J187" s="41"/>
      <c r="K187" s="43"/>
      <c r="L187" s="43"/>
      <c r="M187" s="44"/>
      <c r="U187" s="3" t="str">
        <f t="shared" si="18"/>
        <v/>
      </c>
      <c r="V187" s="3" t="str">
        <f t="shared" si="19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0"/>
        <v>46044</v>
      </c>
    </row>
    <row r="188" spans="1:30" x14ac:dyDescent="0.25">
      <c r="A188" s="39"/>
      <c r="B188" s="40"/>
      <c r="C188" s="2"/>
      <c r="D188" s="43"/>
      <c r="E188" s="40"/>
      <c r="F188" s="2"/>
      <c r="G188" s="43"/>
      <c r="H188" s="40"/>
      <c r="I188" s="41"/>
      <c r="J188" s="41"/>
      <c r="K188" s="43"/>
      <c r="L188" s="43"/>
      <c r="M188" s="44"/>
      <c r="U188" s="3" t="str">
        <f t="shared" si="18"/>
        <v/>
      </c>
      <c r="V188" s="3" t="str">
        <f t="shared" si="19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0"/>
        <v>46045</v>
      </c>
    </row>
    <row r="189" spans="1:30" x14ac:dyDescent="0.25">
      <c r="A189" s="39"/>
      <c r="B189" s="40"/>
      <c r="C189" s="2"/>
      <c r="D189" s="43"/>
      <c r="E189" s="40"/>
      <c r="F189" s="2"/>
      <c r="G189" s="43"/>
      <c r="H189" s="40"/>
      <c r="I189" s="41"/>
      <c r="J189" s="41"/>
      <c r="K189" s="43"/>
      <c r="L189" s="43"/>
      <c r="M189" s="44"/>
      <c r="U189" s="3" t="str">
        <f t="shared" si="18"/>
        <v/>
      </c>
      <c r="V189" s="3" t="str">
        <f t="shared" si="19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0"/>
        <v>46048</v>
      </c>
    </row>
    <row r="190" spans="1:30" x14ac:dyDescent="0.25">
      <c r="A190" s="39"/>
      <c r="B190" s="40"/>
      <c r="C190" s="2"/>
      <c r="D190" s="43"/>
      <c r="E190" s="40"/>
      <c r="F190" s="2"/>
      <c r="G190" s="43"/>
      <c r="H190" s="40"/>
      <c r="I190" s="41"/>
      <c r="J190" s="41"/>
      <c r="K190" s="43"/>
      <c r="L190" s="43"/>
      <c r="M190" s="44"/>
      <c r="U190" s="3" t="str">
        <f t="shared" si="18"/>
        <v/>
      </c>
      <c r="V190" s="3" t="str">
        <f t="shared" si="19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0"/>
        <v>46049</v>
      </c>
    </row>
    <row r="191" spans="1:30" x14ac:dyDescent="0.25">
      <c r="A191" s="39"/>
      <c r="B191" s="40"/>
      <c r="C191" s="2"/>
      <c r="D191" s="43"/>
      <c r="E191" s="40"/>
      <c r="F191" s="2"/>
      <c r="G191" s="43"/>
      <c r="H191" s="40"/>
      <c r="I191" s="41"/>
      <c r="J191" s="41"/>
      <c r="K191" s="43"/>
      <c r="L191" s="43"/>
      <c r="M191" s="44"/>
      <c r="U191" s="3" t="str">
        <f t="shared" si="18"/>
        <v/>
      </c>
      <c r="V191" s="3" t="str">
        <f t="shared" si="19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0"/>
        <v>46050</v>
      </c>
    </row>
    <row r="192" spans="1:30" x14ac:dyDescent="0.25">
      <c r="A192" s="39"/>
      <c r="B192" s="40"/>
      <c r="C192" s="2"/>
      <c r="D192" s="43"/>
      <c r="E192" s="40"/>
      <c r="F192" s="2"/>
      <c r="G192" s="43"/>
      <c r="H192" s="40"/>
      <c r="I192" s="41"/>
      <c r="J192" s="41"/>
      <c r="K192" s="43"/>
      <c r="L192" s="43"/>
      <c r="M192" s="44"/>
      <c r="U192" s="3" t="str">
        <f t="shared" si="18"/>
        <v/>
      </c>
      <c r="V192" s="3" t="str">
        <f t="shared" si="19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0"/>
        <v>46051</v>
      </c>
    </row>
    <row r="193" spans="1:30" x14ac:dyDescent="0.25">
      <c r="A193" s="39"/>
      <c r="B193" s="40"/>
      <c r="C193" s="2"/>
      <c r="D193" s="43"/>
      <c r="E193" s="40"/>
      <c r="F193" s="2"/>
      <c r="G193" s="43"/>
      <c r="H193" s="40"/>
      <c r="I193" s="41"/>
      <c r="J193" s="41"/>
      <c r="K193" s="43"/>
      <c r="L193" s="43"/>
      <c r="M193" s="44"/>
      <c r="U193" s="3" t="str">
        <f t="shared" si="18"/>
        <v/>
      </c>
      <c r="V193" s="3" t="str">
        <f t="shared" si="19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0"/>
        <v>46052</v>
      </c>
    </row>
    <row r="194" spans="1:30" x14ac:dyDescent="0.25">
      <c r="A194" s="39"/>
      <c r="B194" s="40"/>
      <c r="C194" s="2"/>
      <c r="D194" s="43"/>
      <c r="E194" s="40"/>
      <c r="F194" s="2"/>
      <c r="G194" s="43"/>
      <c r="H194" s="40"/>
      <c r="I194" s="41"/>
      <c r="J194" s="41"/>
      <c r="K194" s="43"/>
      <c r="L194" s="43"/>
      <c r="M194" s="44"/>
      <c r="U194" s="3" t="str">
        <f t="shared" si="18"/>
        <v/>
      </c>
      <c r="V194" s="3" t="str">
        <f t="shared" si="19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0"/>
        <v>46055</v>
      </c>
    </row>
    <row r="195" spans="1:30" x14ac:dyDescent="0.25">
      <c r="A195" s="39"/>
      <c r="B195" s="40"/>
      <c r="C195" s="2"/>
      <c r="D195" s="43"/>
      <c r="E195" s="40"/>
      <c r="F195" s="2"/>
      <c r="G195" s="43"/>
      <c r="H195" s="40"/>
      <c r="I195" s="41"/>
      <c r="J195" s="41"/>
      <c r="K195" s="43"/>
      <c r="L195" s="43"/>
      <c r="M195" s="44"/>
      <c r="U195" s="3" t="str">
        <f t="shared" si="18"/>
        <v/>
      </c>
      <c r="V195" s="3" t="str">
        <f t="shared" si="19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0"/>
        <v>46056</v>
      </c>
    </row>
    <row r="196" spans="1:30" x14ac:dyDescent="0.25">
      <c r="A196" s="39"/>
      <c r="B196" s="40"/>
      <c r="C196" s="2"/>
      <c r="D196" s="43"/>
      <c r="E196" s="40"/>
      <c r="F196" s="2"/>
      <c r="G196" s="43"/>
      <c r="H196" s="40"/>
      <c r="I196" s="41"/>
      <c r="J196" s="41"/>
      <c r="K196" s="43"/>
      <c r="L196" s="43"/>
      <c r="M196" s="44"/>
      <c r="U196" s="3" t="str">
        <f t="shared" ref="U196:U259" si="27">IF(COUNTIF(Q:Q,O196)*COUNTIF(S:S,O196),O196,"")</f>
        <v/>
      </c>
      <c r="V196" s="3" t="str">
        <f t="shared" ref="V196:V259" si="28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29">IF(COUNTIF(AB:AB,Z196),Z196,"")</f>
        <v>46057</v>
      </c>
    </row>
    <row r="197" spans="1:30" x14ac:dyDescent="0.25">
      <c r="A197" s="39"/>
      <c r="B197" s="40"/>
      <c r="C197" s="2"/>
      <c r="D197" s="43"/>
      <c r="E197" s="40"/>
      <c r="F197" s="2"/>
      <c r="G197" s="43"/>
      <c r="H197" s="40"/>
      <c r="I197" s="41"/>
      <c r="J197" s="41"/>
      <c r="K197" s="43"/>
      <c r="L197" s="43"/>
      <c r="M197" s="44"/>
      <c r="U197" s="3" t="str">
        <f t="shared" si="27"/>
        <v/>
      </c>
      <c r="V197" s="3" t="str">
        <f t="shared" si="28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29"/>
        <v>46058</v>
      </c>
    </row>
    <row r="198" spans="1:30" x14ac:dyDescent="0.25">
      <c r="A198" s="39"/>
      <c r="B198" s="40"/>
      <c r="C198" s="2"/>
      <c r="D198" s="43"/>
      <c r="E198" s="40"/>
      <c r="F198" s="2"/>
      <c r="G198" s="43"/>
      <c r="H198" s="40"/>
      <c r="I198" s="41"/>
      <c r="J198" s="41"/>
      <c r="K198" s="43"/>
      <c r="L198" s="43"/>
      <c r="M198" s="44"/>
      <c r="U198" s="3" t="str">
        <f t="shared" si="27"/>
        <v/>
      </c>
      <c r="V198" s="3" t="str">
        <f t="shared" si="28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29"/>
        <v>46059</v>
      </c>
    </row>
    <row r="199" spans="1:30" x14ac:dyDescent="0.25">
      <c r="A199" s="39"/>
      <c r="B199" s="40"/>
      <c r="C199" s="2"/>
      <c r="D199" s="43"/>
      <c r="E199" s="40"/>
      <c r="F199" s="2"/>
      <c r="G199" s="43"/>
      <c r="H199" s="40"/>
      <c r="I199" s="41"/>
      <c r="J199" s="41"/>
      <c r="K199" s="43"/>
      <c r="L199" s="43"/>
      <c r="M199" s="44"/>
      <c r="U199" s="3" t="str">
        <f t="shared" si="27"/>
        <v/>
      </c>
      <c r="V199" s="3" t="str">
        <f t="shared" si="28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29"/>
        <v>46062</v>
      </c>
    </row>
    <row r="200" spans="1:30" x14ac:dyDescent="0.25">
      <c r="A200" s="39"/>
      <c r="B200" s="40"/>
      <c r="C200" s="2"/>
      <c r="D200" s="43"/>
      <c r="E200" s="40"/>
      <c r="F200" s="2"/>
      <c r="G200" s="43"/>
      <c r="H200" s="40"/>
      <c r="I200" s="41"/>
      <c r="J200" s="41"/>
      <c r="K200" s="43"/>
      <c r="L200" s="43"/>
      <c r="M200" s="44"/>
      <c r="U200" s="3" t="str">
        <f t="shared" si="27"/>
        <v/>
      </c>
      <c r="V200" s="3" t="str">
        <f t="shared" si="28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29"/>
        <v>46063</v>
      </c>
    </row>
    <row r="201" spans="1:30" x14ac:dyDescent="0.25">
      <c r="A201" s="39"/>
      <c r="B201" s="40"/>
      <c r="C201" s="2"/>
      <c r="D201" s="43"/>
      <c r="E201" s="40"/>
      <c r="F201" s="2"/>
      <c r="G201" s="43"/>
      <c r="H201" s="40"/>
      <c r="I201" s="41"/>
      <c r="J201" s="41"/>
      <c r="K201" s="43"/>
      <c r="L201" s="43"/>
      <c r="M201" s="44"/>
      <c r="U201" s="3" t="str">
        <f t="shared" si="27"/>
        <v/>
      </c>
      <c r="V201" s="3" t="str">
        <f t="shared" si="28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29"/>
        <v>46064</v>
      </c>
    </row>
    <row r="202" spans="1:30" x14ac:dyDescent="0.25">
      <c r="A202" s="39"/>
      <c r="B202" s="40"/>
      <c r="C202" s="2"/>
      <c r="D202" s="43"/>
      <c r="E202" s="40"/>
      <c r="F202" s="2"/>
      <c r="G202" s="43"/>
      <c r="H202" s="40"/>
      <c r="I202" s="41"/>
      <c r="J202" s="41"/>
      <c r="K202" s="43"/>
      <c r="L202" s="43"/>
      <c r="M202" s="44"/>
      <c r="U202" s="3" t="str">
        <f t="shared" si="27"/>
        <v/>
      </c>
      <c r="V202" s="3" t="str">
        <f t="shared" si="28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29"/>
        <v>46065</v>
      </c>
    </row>
    <row r="203" spans="1:30" x14ac:dyDescent="0.25">
      <c r="A203" s="39"/>
      <c r="B203" s="40"/>
      <c r="C203" s="2"/>
      <c r="D203" s="43"/>
      <c r="E203" s="40"/>
      <c r="F203" s="2"/>
      <c r="G203" s="43"/>
      <c r="H203" s="40"/>
      <c r="I203" s="41"/>
      <c r="J203" s="41"/>
      <c r="K203" s="43"/>
      <c r="L203" s="43"/>
      <c r="M203" s="44"/>
      <c r="U203" s="3" t="str">
        <f t="shared" si="27"/>
        <v/>
      </c>
      <c r="V203" s="3" t="str">
        <f t="shared" si="28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29"/>
        <v>46066</v>
      </c>
    </row>
    <row r="204" spans="1:30" x14ac:dyDescent="0.25">
      <c r="A204" s="39"/>
      <c r="B204" s="40"/>
      <c r="C204" s="2"/>
      <c r="D204" s="43"/>
      <c r="E204" s="40"/>
      <c r="F204" s="2"/>
      <c r="G204" s="43"/>
      <c r="H204" s="40"/>
      <c r="I204" s="41"/>
      <c r="J204" s="41"/>
      <c r="K204" s="43"/>
      <c r="L204" s="43"/>
      <c r="M204" s="44"/>
      <c r="U204" s="3" t="str">
        <f t="shared" si="27"/>
        <v/>
      </c>
      <c r="V204" s="3" t="str">
        <f t="shared" si="28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29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27"/>
        <v/>
      </c>
      <c r="V205" s="3" t="str">
        <f t="shared" si="28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29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27"/>
        <v/>
      </c>
      <c r="V206" s="3" t="str">
        <f t="shared" si="28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29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27"/>
        <v/>
      </c>
      <c r="V207" s="3" t="str">
        <f t="shared" si="28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29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27"/>
        <v/>
      </c>
      <c r="V208" s="3" t="str">
        <f t="shared" si="28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29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27"/>
        <v/>
      </c>
      <c r="V209" s="3" t="str">
        <f t="shared" si="28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29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27"/>
        <v/>
      </c>
      <c r="V210" s="3" t="str">
        <f t="shared" si="28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29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27"/>
        <v/>
      </c>
      <c r="V211" s="3" t="str">
        <f t="shared" si="28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29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27"/>
        <v/>
      </c>
      <c r="V212" s="3" t="str">
        <f t="shared" si="28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29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27"/>
        <v/>
      </c>
      <c r="V213" s="3" t="str">
        <f t="shared" si="28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29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27"/>
        <v/>
      </c>
      <c r="V214" s="3" t="str">
        <f t="shared" si="28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29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27"/>
        <v/>
      </c>
      <c r="V215" s="3" t="str">
        <f t="shared" si="28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29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27"/>
        <v/>
      </c>
      <c r="V216" s="3" t="str">
        <f t="shared" si="28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29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27"/>
        <v/>
      </c>
      <c r="V217" s="3" t="str">
        <f t="shared" si="28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29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27"/>
        <v/>
      </c>
      <c r="V218" s="3" t="str">
        <f t="shared" si="28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29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27"/>
        <v/>
      </c>
      <c r="V219" s="3" t="str">
        <f t="shared" si="28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29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27"/>
        <v/>
      </c>
      <c r="V220" s="3" t="str">
        <f t="shared" si="28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29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27"/>
        <v/>
      </c>
      <c r="V221" s="3" t="str">
        <f t="shared" si="28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29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27"/>
        <v/>
      </c>
      <c r="V222" s="3" t="str">
        <f t="shared" si="28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29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27"/>
        <v/>
      </c>
      <c r="V223" s="3" t="str">
        <f t="shared" si="28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29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27"/>
        <v/>
      </c>
      <c r="V224" s="3" t="str">
        <f t="shared" si="28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29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27"/>
        <v/>
      </c>
      <c r="V225" s="3" t="str">
        <f t="shared" si="28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29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27"/>
        <v/>
      </c>
      <c r="V226" s="3" t="str">
        <f t="shared" si="28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29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27"/>
        <v/>
      </c>
      <c r="V227" s="3" t="str">
        <f t="shared" si="28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29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27"/>
        <v/>
      </c>
      <c r="V228" s="3" t="str">
        <f t="shared" si="28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29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27"/>
        <v/>
      </c>
      <c r="V229" s="3" t="str">
        <f t="shared" si="28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29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27"/>
        <v/>
      </c>
      <c r="V230" s="3" t="str">
        <f t="shared" si="28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29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27"/>
        <v/>
      </c>
      <c r="V231" s="3" t="str">
        <f t="shared" si="28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29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27"/>
        <v/>
      </c>
      <c r="V232" s="3" t="str">
        <f t="shared" si="28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29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27"/>
        <v/>
      </c>
      <c r="V233" s="3" t="str">
        <f t="shared" si="28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29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27"/>
        <v/>
      </c>
      <c r="V234" s="3" t="str">
        <f t="shared" si="28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29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27"/>
        <v/>
      </c>
      <c r="V235" s="3" t="str">
        <f t="shared" si="28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29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27"/>
        <v/>
      </c>
      <c r="V236" s="3" t="str">
        <f t="shared" si="28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29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27"/>
        <v/>
      </c>
      <c r="V237" s="3" t="str">
        <f t="shared" si="28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29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27"/>
        <v/>
      </c>
      <c r="V238" s="3" t="str">
        <f t="shared" si="28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29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27"/>
        <v/>
      </c>
      <c r="V239" s="3" t="str">
        <f t="shared" si="28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29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27"/>
        <v/>
      </c>
      <c r="V240" s="3" t="str">
        <f t="shared" si="28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29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27"/>
        <v/>
      </c>
      <c r="V241" s="3" t="str">
        <f t="shared" si="28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29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27"/>
        <v/>
      </c>
      <c r="V242" s="3" t="str">
        <f t="shared" si="28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29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27"/>
        <v/>
      </c>
      <c r="V243" s="3" t="str">
        <f t="shared" si="28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29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27"/>
        <v/>
      </c>
      <c r="V244" s="3" t="str">
        <f t="shared" si="28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29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27"/>
        <v/>
      </c>
      <c r="V245" s="3" t="str">
        <f t="shared" si="28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29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27"/>
        <v/>
      </c>
      <c r="V246" s="3" t="str">
        <f t="shared" si="28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29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27"/>
        <v/>
      </c>
      <c r="V247" s="3" t="str">
        <f t="shared" si="28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29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27"/>
        <v/>
      </c>
      <c r="V248" s="3" t="str">
        <f t="shared" si="28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29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27"/>
        <v/>
      </c>
      <c r="V249" s="3" t="str">
        <f t="shared" si="28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29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27"/>
        <v/>
      </c>
      <c r="V250" s="3" t="str">
        <f t="shared" si="28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29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27"/>
        <v/>
      </c>
      <c r="V251" s="3" t="str">
        <f t="shared" si="28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29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27"/>
        <v/>
      </c>
      <c r="V252" s="3" t="str">
        <f t="shared" si="28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29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27"/>
        <v/>
      </c>
      <c r="V253" s="3" t="str">
        <f t="shared" si="28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29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27"/>
        <v/>
      </c>
      <c r="V254" s="3" t="str">
        <f t="shared" si="28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29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27"/>
        <v/>
      </c>
      <c r="V255" s="3" t="str">
        <f t="shared" si="28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29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27"/>
        <v/>
      </c>
      <c r="V256" s="3" t="str">
        <f t="shared" si="28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29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27"/>
        <v/>
      </c>
      <c r="V257" s="3" t="str">
        <f t="shared" si="28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29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27"/>
        <v/>
      </c>
      <c r="V258" s="3" t="str">
        <f t="shared" si="28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29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27"/>
        <v/>
      </c>
      <c r="V259" s="3" t="str">
        <f t="shared" si="28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29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0">IF(COUNTIF(Q:Q,O260)*COUNTIF(S:S,O260),O260,"")</f>
        <v/>
      </c>
      <c r="V260" s="3" t="str">
        <f t="shared" ref="V260:V323" si="31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2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0"/>
        <v/>
      </c>
      <c r="V261" s="3" t="str">
        <f t="shared" si="31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2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0"/>
        <v/>
      </c>
      <c r="V262" s="3" t="str">
        <f t="shared" si="31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2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0"/>
        <v/>
      </c>
      <c r="V263" s="3" t="str">
        <f t="shared" si="31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2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0"/>
        <v/>
      </c>
      <c r="V264" s="3" t="str">
        <f t="shared" si="31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2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0"/>
        <v/>
      </c>
      <c r="V265" s="3" t="str">
        <f t="shared" si="31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2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0"/>
        <v/>
      </c>
      <c r="V266" s="3" t="str">
        <f t="shared" si="31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2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0"/>
        <v/>
      </c>
      <c r="V267" s="3" t="str">
        <f t="shared" si="31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2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0"/>
        <v/>
      </c>
      <c r="V268" s="3" t="str">
        <f t="shared" si="31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2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0"/>
        <v/>
      </c>
      <c r="V269" s="3" t="str">
        <f t="shared" si="31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2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0"/>
        <v/>
      </c>
      <c r="V270" s="3" t="str">
        <f t="shared" si="31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2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0"/>
        <v/>
      </c>
      <c r="V271" s="3" t="str">
        <f t="shared" si="31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2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0"/>
        <v/>
      </c>
      <c r="V272" s="3" t="str">
        <f t="shared" si="31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2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0"/>
        <v/>
      </c>
      <c r="V273" s="3" t="str">
        <f t="shared" si="31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2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0"/>
        <v/>
      </c>
      <c r="V274" s="3" t="str">
        <f t="shared" si="31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2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0"/>
        <v/>
      </c>
      <c r="V275" s="3" t="str">
        <f t="shared" si="31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2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0"/>
        <v/>
      </c>
      <c r="V276" s="3" t="str">
        <f t="shared" si="31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2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0"/>
        <v/>
      </c>
      <c r="V277" s="3" t="str">
        <f t="shared" si="31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2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0"/>
        <v/>
      </c>
      <c r="V278" s="3" t="str">
        <f t="shared" si="31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2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0"/>
        <v/>
      </c>
      <c r="V279" s="3" t="str">
        <f t="shared" si="31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2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0"/>
        <v/>
      </c>
      <c r="V280" s="3" t="str">
        <f t="shared" si="31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2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0"/>
        <v/>
      </c>
      <c r="V281" s="3" t="str">
        <f t="shared" si="31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2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0"/>
        <v/>
      </c>
      <c r="V282" s="3" t="str">
        <f t="shared" si="31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2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0"/>
        <v/>
      </c>
      <c r="V283" s="3" t="str">
        <f t="shared" si="31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2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0"/>
        <v/>
      </c>
      <c r="V284" s="3" t="str">
        <f t="shared" si="31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2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0"/>
        <v/>
      </c>
      <c r="V285" s="3" t="str">
        <f t="shared" si="31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2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0"/>
        <v/>
      </c>
      <c r="V286" s="3" t="str">
        <f t="shared" si="31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2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0"/>
        <v/>
      </c>
      <c r="V287" s="3" t="str">
        <f t="shared" si="31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2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0"/>
        <v/>
      </c>
      <c r="V288" s="3" t="str">
        <f t="shared" si="31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2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0"/>
        <v/>
      </c>
      <c r="V289" s="3" t="str">
        <f t="shared" si="31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2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0"/>
        <v/>
      </c>
      <c r="V290" s="3" t="str">
        <f t="shared" si="31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2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0"/>
        <v/>
      </c>
      <c r="V291" s="3" t="str">
        <f t="shared" si="31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2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0"/>
        <v/>
      </c>
      <c r="V292" s="3" t="str">
        <f t="shared" si="31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2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0"/>
        <v/>
      </c>
      <c r="V293" s="3" t="str">
        <f t="shared" si="31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2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0"/>
        <v/>
      </c>
      <c r="V294" s="3" t="str">
        <f t="shared" si="31"/>
        <v/>
      </c>
      <c r="AD294" s="6" t="str">
        <f t="shared" si="32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0"/>
        <v/>
      </c>
      <c r="V295" s="3" t="str">
        <f t="shared" si="31"/>
        <v/>
      </c>
      <c r="AD295" s="6" t="str">
        <f t="shared" si="32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0"/>
        <v/>
      </c>
      <c r="V296" s="3" t="str">
        <f t="shared" si="31"/>
        <v/>
      </c>
      <c r="AD296" s="6" t="str">
        <f t="shared" si="32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0"/>
        <v/>
      </c>
      <c r="V297" s="3" t="str">
        <f t="shared" si="31"/>
        <v/>
      </c>
      <c r="AD297" s="6" t="str">
        <f t="shared" si="32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0"/>
        <v/>
      </c>
      <c r="V298" s="3" t="str">
        <f t="shared" si="31"/>
        <v/>
      </c>
      <c r="AD298" s="6" t="str">
        <f t="shared" si="32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0"/>
        <v/>
      </c>
      <c r="V299" s="3" t="str">
        <f t="shared" si="31"/>
        <v/>
      </c>
      <c r="AD299" s="6" t="str">
        <f t="shared" si="32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0"/>
        <v/>
      </c>
      <c r="V300" s="3" t="str">
        <f t="shared" si="31"/>
        <v/>
      </c>
      <c r="AD300" s="6" t="str">
        <f t="shared" si="32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0"/>
        <v/>
      </c>
      <c r="V301" s="3" t="str">
        <f t="shared" si="31"/>
        <v/>
      </c>
      <c r="AD301" s="6" t="str">
        <f t="shared" si="32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0"/>
        <v/>
      </c>
      <c r="V302" s="3" t="str">
        <f t="shared" si="31"/>
        <v/>
      </c>
      <c r="AD302" s="6" t="str">
        <f t="shared" si="32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0"/>
        <v/>
      </c>
      <c r="V303" s="3" t="str">
        <f t="shared" si="31"/>
        <v/>
      </c>
      <c r="AD303" s="6" t="str">
        <f t="shared" si="32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0"/>
        <v/>
      </c>
      <c r="V304" s="3" t="str">
        <f t="shared" si="31"/>
        <v/>
      </c>
      <c r="AD304" s="6" t="str">
        <f t="shared" si="32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0"/>
        <v/>
      </c>
      <c r="V305" s="3" t="str">
        <f t="shared" si="31"/>
        <v/>
      </c>
      <c r="AD305" s="6" t="str">
        <f t="shared" si="32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0"/>
        <v/>
      </c>
      <c r="V306" s="3" t="str">
        <f t="shared" si="31"/>
        <v/>
      </c>
      <c r="AD306" s="6" t="str">
        <f t="shared" si="32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0"/>
        <v/>
      </c>
      <c r="V307" s="3" t="str">
        <f t="shared" si="31"/>
        <v/>
      </c>
      <c r="AD307" s="6" t="str">
        <f t="shared" si="32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0"/>
        <v/>
      </c>
      <c r="V308" s="3" t="str">
        <f t="shared" si="31"/>
        <v/>
      </c>
      <c r="AD308" s="6" t="str">
        <f t="shared" si="32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0"/>
        <v/>
      </c>
      <c r="V309" s="3" t="str">
        <f t="shared" si="31"/>
        <v/>
      </c>
      <c r="AD309" s="6" t="str">
        <f t="shared" si="32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0"/>
        <v/>
      </c>
      <c r="V310" s="3" t="str">
        <f t="shared" si="31"/>
        <v/>
      </c>
      <c r="AD310" s="6" t="str">
        <f t="shared" si="32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0"/>
        <v/>
      </c>
      <c r="V311" s="3" t="str">
        <f t="shared" si="31"/>
        <v/>
      </c>
      <c r="AD311" s="6" t="str">
        <f t="shared" si="32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0"/>
        <v/>
      </c>
      <c r="V312" s="3" t="str">
        <f t="shared" si="31"/>
        <v/>
      </c>
      <c r="AD312" s="6" t="str">
        <f t="shared" si="32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0"/>
        <v/>
      </c>
      <c r="V313" s="3" t="str">
        <f t="shared" si="31"/>
        <v/>
      </c>
      <c r="AD313" s="6" t="str">
        <f t="shared" si="32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0"/>
        <v/>
      </c>
      <c r="V314" s="3" t="str">
        <f t="shared" si="31"/>
        <v/>
      </c>
      <c r="AD314" s="6" t="str">
        <f t="shared" si="32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0"/>
        <v/>
      </c>
      <c r="V315" s="3" t="str">
        <f t="shared" si="31"/>
        <v/>
      </c>
      <c r="AD315" s="6" t="str">
        <f t="shared" si="32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0"/>
        <v/>
      </c>
      <c r="V316" s="3" t="str">
        <f t="shared" si="31"/>
        <v/>
      </c>
      <c r="AD316" s="6" t="str">
        <f t="shared" si="32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0"/>
        <v/>
      </c>
      <c r="V317" s="3" t="str">
        <f t="shared" si="31"/>
        <v/>
      </c>
      <c r="AD317" s="6" t="str">
        <f t="shared" si="32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0"/>
        <v/>
      </c>
      <c r="V318" s="3" t="str">
        <f t="shared" si="31"/>
        <v/>
      </c>
      <c r="AD318" s="6" t="str">
        <f t="shared" si="32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0"/>
        <v/>
      </c>
      <c r="V319" s="3" t="str">
        <f t="shared" si="31"/>
        <v/>
      </c>
      <c r="AD319" s="6" t="str">
        <f t="shared" si="32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0"/>
        <v/>
      </c>
      <c r="V320" s="3" t="str">
        <f t="shared" si="31"/>
        <v/>
      </c>
      <c r="AD320" s="6" t="str">
        <f t="shared" si="32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0"/>
        <v/>
      </c>
      <c r="V321" s="3" t="str">
        <f t="shared" si="31"/>
        <v/>
      </c>
      <c r="AD321" s="6" t="str">
        <f t="shared" si="32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0"/>
        <v/>
      </c>
      <c r="V322" s="3" t="str">
        <f t="shared" si="31"/>
        <v/>
      </c>
      <c r="AD322" s="6" t="str">
        <f t="shared" si="32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0"/>
        <v/>
      </c>
      <c r="V323" s="3" t="str">
        <f t="shared" si="31"/>
        <v/>
      </c>
      <c r="AD323" s="6" t="str">
        <f t="shared" si="32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3">IF(COUNTIF(Q:Q,O324)*COUNTIF(S:S,O324),O324,"")</f>
        <v/>
      </c>
      <c r="V324" s="3" t="str">
        <f t="shared" ref="V324:V387" si="34">IF(U324&gt;$A$14,U324,"")</f>
        <v/>
      </c>
      <c r="AD324" s="6" t="str">
        <f t="shared" ref="AD324:AD387" si="35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3"/>
        <v/>
      </c>
      <c r="V325" s="3" t="str">
        <f t="shared" si="34"/>
        <v/>
      </c>
      <c r="AD325" s="6" t="str">
        <f t="shared" si="35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3"/>
        <v/>
      </c>
      <c r="V326" s="3" t="str">
        <f t="shared" si="34"/>
        <v/>
      </c>
      <c r="AD326" s="6" t="str">
        <f t="shared" si="35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3"/>
        <v/>
      </c>
      <c r="V327" s="3" t="str">
        <f t="shared" si="34"/>
        <v/>
      </c>
      <c r="AD327" s="6" t="str">
        <f t="shared" si="35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3"/>
        <v/>
      </c>
      <c r="V328" s="3" t="str">
        <f t="shared" si="34"/>
        <v/>
      </c>
      <c r="AD328" s="6" t="str">
        <f t="shared" si="35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3"/>
        <v/>
      </c>
      <c r="V329" s="3" t="str">
        <f t="shared" si="34"/>
        <v/>
      </c>
      <c r="AD329" s="6" t="str">
        <f t="shared" si="35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3"/>
        <v/>
      </c>
      <c r="V330" s="3" t="str">
        <f t="shared" si="34"/>
        <v/>
      </c>
      <c r="AD330" s="6" t="str">
        <f t="shared" si="35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3"/>
        <v/>
      </c>
      <c r="V331" s="3" t="str">
        <f t="shared" si="34"/>
        <v/>
      </c>
      <c r="AD331" s="6" t="str">
        <f t="shared" si="35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3"/>
        <v/>
      </c>
      <c r="V332" s="3" t="str">
        <f t="shared" si="34"/>
        <v/>
      </c>
      <c r="AD332" s="6" t="str">
        <f t="shared" si="35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3"/>
        <v/>
      </c>
      <c r="V333" s="3" t="str">
        <f t="shared" si="34"/>
        <v/>
      </c>
      <c r="AD333" s="6" t="str">
        <f t="shared" si="35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3"/>
        <v/>
      </c>
      <c r="V334" s="3" t="str">
        <f t="shared" si="34"/>
        <v/>
      </c>
      <c r="AD334" s="6" t="str">
        <f t="shared" si="35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3"/>
        <v/>
      </c>
      <c r="V335" s="3" t="str">
        <f t="shared" si="34"/>
        <v/>
      </c>
      <c r="AD335" s="6" t="str">
        <f t="shared" si="35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3"/>
        <v/>
      </c>
      <c r="V336" s="3" t="str">
        <f t="shared" si="34"/>
        <v/>
      </c>
      <c r="AD336" s="6" t="str">
        <f t="shared" si="35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3"/>
        <v/>
      </c>
      <c r="V337" s="3" t="str">
        <f t="shared" si="34"/>
        <v/>
      </c>
      <c r="AD337" s="6" t="str">
        <f t="shared" si="35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3"/>
        <v/>
      </c>
      <c r="V338" s="3" t="str">
        <f t="shared" si="34"/>
        <v/>
      </c>
      <c r="AD338" s="6" t="str">
        <f t="shared" si="35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3"/>
        <v/>
      </c>
      <c r="V339" s="3" t="str">
        <f t="shared" si="34"/>
        <v/>
      </c>
      <c r="AD339" s="6" t="str">
        <f t="shared" si="35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3"/>
        <v/>
      </c>
      <c r="V340" s="3" t="str">
        <f t="shared" si="34"/>
        <v/>
      </c>
      <c r="AD340" s="6" t="str">
        <f t="shared" si="35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3"/>
        <v/>
      </c>
      <c r="V341" s="3" t="str">
        <f t="shared" si="34"/>
        <v/>
      </c>
      <c r="AD341" s="6" t="str">
        <f t="shared" si="35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3"/>
        <v/>
      </c>
      <c r="V342" s="3" t="str">
        <f t="shared" si="34"/>
        <v/>
      </c>
      <c r="AD342" s="6" t="str">
        <f t="shared" si="35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3"/>
        <v/>
      </c>
      <c r="V343" s="3" t="str">
        <f t="shared" si="34"/>
        <v/>
      </c>
      <c r="AD343" s="6" t="str">
        <f t="shared" si="35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3"/>
        <v/>
      </c>
      <c r="V344" s="3" t="str">
        <f t="shared" si="34"/>
        <v/>
      </c>
      <c r="AD344" s="6" t="str">
        <f t="shared" si="35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3"/>
        <v/>
      </c>
      <c r="V345" s="3" t="str">
        <f t="shared" si="34"/>
        <v/>
      </c>
      <c r="AD345" s="6" t="str">
        <f t="shared" si="35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3"/>
        <v/>
      </c>
      <c r="V346" s="3" t="str">
        <f t="shared" si="34"/>
        <v/>
      </c>
      <c r="AD346" s="6" t="str">
        <f t="shared" si="35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3"/>
        <v/>
      </c>
      <c r="V347" s="3" t="str">
        <f t="shared" si="34"/>
        <v/>
      </c>
      <c r="AD347" s="6" t="str">
        <f t="shared" si="35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3"/>
        <v/>
      </c>
      <c r="V348" s="3" t="str">
        <f t="shared" si="34"/>
        <v/>
      </c>
      <c r="AD348" s="6" t="str">
        <f t="shared" si="35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3"/>
        <v/>
      </c>
      <c r="V349" s="3" t="str">
        <f t="shared" si="34"/>
        <v/>
      </c>
      <c r="AD349" s="6" t="str">
        <f t="shared" si="35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3"/>
        <v/>
      </c>
      <c r="V350" s="3" t="str">
        <f t="shared" si="34"/>
        <v/>
      </c>
      <c r="AD350" s="6" t="str">
        <f t="shared" si="35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3"/>
        <v/>
      </c>
      <c r="V351" s="3" t="str">
        <f t="shared" si="34"/>
        <v/>
      </c>
      <c r="AD351" s="6" t="str">
        <f t="shared" si="35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3"/>
        <v/>
      </c>
      <c r="V352" s="3" t="str">
        <f t="shared" si="34"/>
        <v/>
      </c>
      <c r="AD352" s="6" t="str">
        <f t="shared" si="35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3"/>
        <v/>
      </c>
      <c r="V353" s="3" t="str">
        <f t="shared" si="34"/>
        <v/>
      </c>
      <c r="AD353" s="6" t="str">
        <f t="shared" si="35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3"/>
        <v/>
      </c>
      <c r="V354" s="3" t="str">
        <f t="shared" si="34"/>
        <v/>
      </c>
      <c r="AD354" s="6" t="str">
        <f t="shared" si="35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3"/>
        <v/>
      </c>
      <c r="V355" s="3" t="str">
        <f t="shared" si="34"/>
        <v/>
      </c>
      <c r="AD355" s="6" t="str">
        <f t="shared" si="35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3"/>
        <v/>
      </c>
      <c r="V356" s="3" t="str">
        <f t="shared" si="34"/>
        <v/>
      </c>
      <c r="AD356" s="6" t="str">
        <f t="shared" si="35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3"/>
        <v/>
      </c>
      <c r="V357" s="3" t="str">
        <f t="shared" si="34"/>
        <v/>
      </c>
      <c r="AD357" s="6" t="str">
        <f t="shared" si="35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3"/>
        <v/>
      </c>
      <c r="V358" s="3" t="str">
        <f t="shared" si="34"/>
        <v/>
      </c>
      <c r="AD358" s="6" t="str">
        <f t="shared" si="35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3"/>
        <v/>
      </c>
      <c r="V359" s="3" t="str">
        <f t="shared" si="34"/>
        <v/>
      </c>
      <c r="AD359" s="6" t="str">
        <f t="shared" si="35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3"/>
        <v/>
      </c>
      <c r="V360" s="3" t="str">
        <f t="shared" si="34"/>
        <v/>
      </c>
      <c r="AD360" s="6" t="str">
        <f t="shared" si="35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3"/>
        <v/>
      </c>
      <c r="V361" s="3" t="str">
        <f t="shared" si="34"/>
        <v/>
      </c>
      <c r="AD361" s="6" t="str">
        <f t="shared" si="35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3"/>
        <v/>
      </c>
      <c r="V362" s="3" t="str">
        <f t="shared" si="34"/>
        <v/>
      </c>
      <c r="AD362" s="6" t="str">
        <f t="shared" si="35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3"/>
        <v/>
      </c>
      <c r="V363" s="3" t="str">
        <f t="shared" si="34"/>
        <v/>
      </c>
      <c r="AD363" s="6" t="str">
        <f t="shared" si="35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3"/>
        <v/>
      </c>
      <c r="V364" s="3" t="str">
        <f t="shared" si="34"/>
        <v/>
      </c>
      <c r="AD364" s="6" t="str">
        <f t="shared" si="35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3"/>
        <v/>
      </c>
      <c r="V365" s="3" t="str">
        <f t="shared" si="34"/>
        <v/>
      </c>
      <c r="AD365" s="6" t="str">
        <f t="shared" si="35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3"/>
        <v/>
      </c>
      <c r="V366" s="3" t="str">
        <f t="shared" si="34"/>
        <v/>
      </c>
      <c r="AD366" s="6" t="str">
        <f t="shared" si="35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3"/>
        <v/>
      </c>
      <c r="V367" s="3" t="str">
        <f t="shared" si="34"/>
        <v/>
      </c>
      <c r="AD367" s="6" t="str">
        <f t="shared" si="35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3"/>
        <v/>
      </c>
      <c r="V368" s="3" t="str">
        <f t="shared" si="34"/>
        <v/>
      </c>
      <c r="AD368" s="6" t="str">
        <f t="shared" si="35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3"/>
        <v/>
      </c>
      <c r="V369" s="3" t="str">
        <f t="shared" si="34"/>
        <v/>
      </c>
      <c r="AD369" s="6" t="str">
        <f t="shared" si="35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3"/>
        <v/>
      </c>
      <c r="V370" s="3" t="str">
        <f t="shared" si="34"/>
        <v/>
      </c>
      <c r="AD370" s="6" t="str">
        <f t="shared" si="35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3"/>
        <v/>
      </c>
      <c r="V371" s="3" t="str">
        <f t="shared" si="34"/>
        <v/>
      </c>
      <c r="AD371" s="6" t="str">
        <f t="shared" si="35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3"/>
        <v/>
      </c>
      <c r="V372" s="3" t="str">
        <f t="shared" si="34"/>
        <v/>
      </c>
      <c r="AD372" s="6" t="str">
        <f t="shared" si="35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3"/>
        <v/>
      </c>
      <c r="V373" s="3" t="str">
        <f t="shared" si="34"/>
        <v/>
      </c>
      <c r="AD373" s="6" t="str">
        <f t="shared" si="35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3"/>
        <v/>
      </c>
      <c r="V374" s="3" t="str">
        <f t="shared" si="34"/>
        <v/>
      </c>
      <c r="AD374" s="6" t="str">
        <f t="shared" si="35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3"/>
        <v/>
      </c>
      <c r="V375" s="3" t="str">
        <f t="shared" si="34"/>
        <v/>
      </c>
      <c r="AD375" s="6" t="str">
        <f t="shared" si="35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3"/>
        <v/>
      </c>
      <c r="V376" s="3" t="str">
        <f t="shared" si="34"/>
        <v/>
      </c>
      <c r="AD376" s="6" t="str">
        <f t="shared" si="35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3"/>
        <v/>
      </c>
      <c r="V377" s="3" t="str">
        <f t="shared" si="34"/>
        <v/>
      </c>
      <c r="AD377" s="6" t="str">
        <f t="shared" si="35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3"/>
        <v/>
      </c>
      <c r="V378" s="3" t="str">
        <f t="shared" si="34"/>
        <v/>
      </c>
      <c r="AD378" s="6" t="str">
        <f t="shared" si="35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3"/>
        <v/>
      </c>
      <c r="V379" s="3" t="str">
        <f t="shared" si="34"/>
        <v/>
      </c>
      <c r="AD379" s="6" t="str">
        <f t="shared" si="35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3"/>
        <v/>
      </c>
      <c r="V380" s="3" t="str">
        <f t="shared" si="34"/>
        <v/>
      </c>
      <c r="AD380" s="6" t="str">
        <f t="shared" si="35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3"/>
        <v/>
      </c>
      <c r="V381" s="3" t="str">
        <f t="shared" si="34"/>
        <v/>
      </c>
      <c r="AD381" s="6" t="str">
        <f t="shared" si="35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3"/>
        <v/>
      </c>
      <c r="V382" s="3" t="str">
        <f t="shared" si="34"/>
        <v/>
      </c>
      <c r="AD382" s="6" t="str">
        <f t="shared" si="35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3"/>
        <v/>
      </c>
      <c r="V383" s="3" t="str">
        <f t="shared" si="34"/>
        <v/>
      </c>
      <c r="AD383" s="6" t="str">
        <f t="shared" si="35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3"/>
        <v/>
      </c>
      <c r="V384" s="3" t="str">
        <f t="shared" si="34"/>
        <v/>
      </c>
      <c r="AD384" s="6" t="str">
        <f t="shared" si="35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3"/>
        <v/>
      </c>
      <c r="V385" s="3" t="str">
        <f t="shared" si="34"/>
        <v/>
      </c>
      <c r="AD385" s="6" t="str">
        <f t="shared" si="35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3"/>
        <v/>
      </c>
      <c r="V386" s="3" t="str">
        <f t="shared" si="34"/>
        <v/>
      </c>
      <c r="AD386" s="6" t="str">
        <f t="shared" si="35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3"/>
        <v/>
      </c>
      <c r="V387" s="3" t="str">
        <f t="shared" si="34"/>
        <v/>
      </c>
      <c r="AD387" s="6" t="str">
        <f t="shared" si="35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6">IF(COUNTIF(Q:Q,O388)*COUNTIF(S:S,O388),O388,"")</f>
        <v/>
      </c>
      <c r="V388" s="3" t="str">
        <f t="shared" ref="V388:V451" si="37">IF(U388&gt;$A$14,U388,"")</f>
        <v/>
      </c>
      <c r="AD388" s="6" t="str">
        <f t="shared" ref="AD388:AD421" si="38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6"/>
        <v/>
      </c>
      <c r="V389" s="3" t="str">
        <f t="shared" si="37"/>
        <v/>
      </c>
      <c r="AD389" s="6" t="str">
        <f t="shared" si="38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6"/>
        <v/>
      </c>
      <c r="V390" s="3" t="str">
        <f t="shared" si="37"/>
        <v/>
      </c>
      <c r="AD390" s="6" t="str">
        <f t="shared" si="38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6"/>
        <v/>
      </c>
      <c r="V391" s="3" t="str">
        <f t="shared" si="37"/>
        <v/>
      </c>
      <c r="AD391" s="6" t="str">
        <f t="shared" si="38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6"/>
        <v/>
      </c>
      <c r="V392" s="3" t="str">
        <f t="shared" si="37"/>
        <v/>
      </c>
      <c r="AD392" s="6" t="str">
        <f t="shared" si="38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6"/>
        <v/>
      </c>
      <c r="V393" s="3" t="str">
        <f t="shared" si="37"/>
        <v/>
      </c>
      <c r="AD393" s="6" t="str">
        <f t="shared" si="38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6"/>
        <v/>
      </c>
      <c r="V394" s="3" t="str">
        <f t="shared" si="37"/>
        <v/>
      </c>
      <c r="AD394" s="6" t="str">
        <f t="shared" si="38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6"/>
        <v/>
      </c>
      <c r="V395" s="3" t="str">
        <f t="shared" si="37"/>
        <v/>
      </c>
      <c r="AD395" s="6" t="str">
        <f t="shared" si="38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6"/>
        <v/>
      </c>
      <c r="V396" s="3" t="str">
        <f t="shared" si="37"/>
        <v/>
      </c>
      <c r="AD396" s="6" t="str">
        <f t="shared" si="38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6"/>
        <v/>
      </c>
      <c r="V397" s="3" t="str">
        <f t="shared" si="37"/>
        <v/>
      </c>
      <c r="AD397" s="6" t="str">
        <f t="shared" si="38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6"/>
        <v/>
      </c>
      <c r="V398" s="3" t="str">
        <f t="shared" si="37"/>
        <v/>
      </c>
      <c r="AD398" s="6" t="str">
        <f t="shared" si="38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6"/>
        <v/>
      </c>
      <c r="V399" s="3" t="str">
        <f t="shared" si="37"/>
        <v/>
      </c>
      <c r="AD399" s="6" t="str">
        <f t="shared" si="38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6"/>
        <v/>
      </c>
      <c r="V400" s="3" t="str">
        <f t="shared" si="37"/>
        <v/>
      </c>
      <c r="AD400" s="6" t="str">
        <f t="shared" si="38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6"/>
        <v/>
      </c>
      <c r="V401" s="3" t="str">
        <f t="shared" si="37"/>
        <v/>
      </c>
      <c r="AD401" s="6" t="str">
        <f t="shared" si="38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6"/>
        <v/>
      </c>
      <c r="V402" s="3" t="str">
        <f t="shared" si="37"/>
        <v/>
      </c>
      <c r="AD402" s="6" t="str">
        <f t="shared" si="38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6"/>
        <v/>
      </c>
      <c r="V403" s="3" t="str">
        <f t="shared" si="37"/>
        <v/>
      </c>
      <c r="AD403" s="6" t="str">
        <f t="shared" si="38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6"/>
        <v/>
      </c>
      <c r="V404" s="3" t="str">
        <f t="shared" si="37"/>
        <v/>
      </c>
      <c r="AD404" s="6" t="str">
        <f t="shared" si="38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6"/>
        <v/>
      </c>
      <c r="V405" s="3" t="str">
        <f t="shared" si="37"/>
        <v/>
      </c>
      <c r="AD405" s="6" t="str">
        <f t="shared" si="38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6"/>
        <v/>
      </c>
      <c r="V406" s="3" t="str">
        <f t="shared" si="37"/>
        <v/>
      </c>
      <c r="AD406" s="6" t="str">
        <f t="shared" si="38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6"/>
        <v/>
      </c>
      <c r="V407" s="3" t="str">
        <f t="shared" si="37"/>
        <v/>
      </c>
      <c r="AD407" s="6" t="str">
        <f t="shared" si="38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6"/>
        <v/>
      </c>
      <c r="V408" s="3" t="str">
        <f t="shared" si="37"/>
        <v/>
      </c>
      <c r="AD408" s="6" t="str">
        <f t="shared" si="38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6"/>
        <v/>
      </c>
      <c r="V409" s="3" t="str">
        <f t="shared" si="37"/>
        <v/>
      </c>
      <c r="AD409" s="6" t="str">
        <f t="shared" si="38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6"/>
        <v/>
      </c>
      <c r="V410" s="3" t="str">
        <f t="shared" si="37"/>
        <v/>
      </c>
      <c r="AD410" s="6" t="str">
        <f t="shared" si="38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6"/>
        <v/>
      </c>
      <c r="V411" s="3" t="str">
        <f t="shared" si="37"/>
        <v/>
      </c>
      <c r="AD411" s="6" t="str">
        <f t="shared" si="38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6"/>
        <v/>
      </c>
      <c r="V412" s="3" t="str">
        <f t="shared" si="37"/>
        <v/>
      </c>
      <c r="AD412" s="6" t="str">
        <f t="shared" si="38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6"/>
        <v/>
      </c>
      <c r="V413" s="3" t="str">
        <f t="shared" si="37"/>
        <v/>
      </c>
      <c r="AD413" s="6" t="str">
        <f t="shared" si="38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6"/>
        <v/>
      </c>
      <c r="V414" s="3" t="str">
        <f t="shared" si="37"/>
        <v/>
      </c>
      <c r="AD414" s="6" t="str">
        <f t="shared" si="38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6"/>
        <v/>
      </c>
      <c r="V415" s="3" t="str">
        <f t="shared" si="37"/>
        <v/>
      </c>
      <c r="AD415" s="6" t="str">
        <f t="shared" si="38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6"/>
        <v/>
      </c>
      <c r="V416" s="3" t="str">
        <f t="shared" si="37"/>
        <v/>
      </c>
      <c r="AD416" s="6" t="str">
        <f t="shared" si="38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6"/>
        <v/>
      </c>
      <c r="V417" s="3" t="str">
        <f t="shared" si="37"/>
        <v/>
      </c>
      <c r="AD417" s="6" t="str">
        <f t="shared" si="38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6"/>
        <v/>
      </c>
      <c r="V418" s="3" t="str">
        <f t="shared" si="37"/>
        <v/>
      </c>
      <c r="AD418" s="6" t="str">
        <f t="shared" si="38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6"/>
        <v/>
      </c>
      <c r="V419" s="3" t="str">
        <f t="shared" si="37"/>
        <v/>
      </c>
      <c r="AD419" s="6" t="str">
        <f t="shared" si="38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6"/>
        <v/>
      </c>
      <c r="V420" s="3" t="str">
        <f t="shared" si="37"/>
        <v/>
      </c>
      <c r="AD420" s="6" t="str">
        <f t="shared" si="38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6"/>
        <v/>
      </c>
      <c r="V421" s="3" t="str">
        <f t="shared" si="37"/>
        <v/>
      </c>
      <c r="AD421" s="6" t="str">
        <f t="shared" si="38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6"/>
        <v/>
      </c>
      <c r="V422" s="3" t="str">
        <f t="shared" si="37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6"/>
        <v/>
      </c>
      <c r="V423" s="3" t="str">
        <f t="shared" si="37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6"/>
        <v/>
      </c>
      <c r="V424" s="3" t="str">
        <f t="shared" si="37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6"/>
        <v/>
      </c>
      <c r="V425" s="3" t="str">
        <f t="shared" si="37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6"/>
        <v/>
      </c>
      <c r="V426" s="3" t="str">
        <f t="shared" si="37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6"/>
        <v/>
      </c>
      <c r="V427" s="3" t="str">
        <f t="shared" si="37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6"/>
        <v/>
      </c>
      <c r="V428" s="3" t="str">
        <f t="shared" si="37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6"/>
        <v/>
      </c>
      <c r="V429" s="3" t="str">
        <f t="shared" si="37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6"/>
        <v/>
      </c>
      <c r="V430" s="3" t="str">
        <f t="shared" si="37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6"/>
        <v/>
      </c>
      <c r="V431" s="3" t="str">
        <f t="shared" si="37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6"/>
        <v/>
      </c>
      <c r="V432" s="3" t="str">
        <f t="shared" si="37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6"/>
        <v/>
      </c>
      <c r="V433" s="3" t="str">
        <f t="shared" si="37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6"/>
        <v/>
      </c>
      <c r="V434" s="3" t="str">
        <f t="shared" si="37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6"/>
        <v/>
      </c>
      <c r="V435" s="3" t="str">
        <f t="shared" si="37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6"/>
        <v/>
      </c>
      <c r="V436" s="3" t="str">
        <f t="shared" si="37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6"/>
        <v/>
      </c>
      <c r="V437" s="3" t="str">
        <f t="shared" si="37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6"/>
        <v/>
      </c>
      <c r="V438" s="3" t="str">
        <f t="shared" si="37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6"/>
        <v/>
      </c>
      <c r="V439" s="3" t="str">
        <f t="shared" si="37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6"/>
        <v/>
      </c>
      <c r="V440" s="3" t="str">
        <f t="shared" si="37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6"/>
        <v/>
      </c>
      <c r="V441" s="3" t="str">
        <f t="shared" si="37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6"/>
        <v/>
      </c>
      <c r="V442" s="3" t="str">
        <f t="shared" si="37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6"/>
        <v/>
      </c>
      <c r="V443" s="3" t="str">
        <f t="shared" si="37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6"/>
        <v/>
      </c>
      <c r="V444" s="3" t="str">
        <f t="shared" si="37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6"/>
        <v/>
      </c>
      <c r="V445" s="3" t="str">
        <f t="shared" si="37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6"/>
        <v/>
      </c>
      <c r="V446" s="3" t="str">
        <f t="shared" si="37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6"/>
        <v/>
      </c>
      <c r="V447" s="3" t="str">
        <f t="shared" si="37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6"/>
        <v/>
      </c>
      <c r="V448" s="3" t="str">
        <f t="shared" si="37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6"/>
        <v/>
      </c>
      <c r="V449" s="3" t="str">
        <f t="shared" si="37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6"/>
        <v/>
      </c>
      <c r="V450" s="3" t="str">
        <f t="shared" si="37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6"/>
        <v/>
      </c>
      <c r="V451" s="3" t="str">
        <f t="shared" si="37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39">IF(COUNTIF(Q:Q,O452)*COUNTIF(S:S,O452),O452,"")</f>
        <v/>
      </c>
      <c r="V452" s="3" t="str">
        <f t="shared" ref="V452:V515" si="40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39"/>
        <v/>
      </c>
      <c r="V453" s="3" t="str">
        <f t="shared" si="40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39"/>
        <v/>
      </c>
      <c r="V454" s="3" t="str">
        <f t="shared" si="40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39"/>
        <v/>
      </c>
      <c r="V455" s="3" t="str">
        <f t="shared" si="40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39"/>
        <v/>
      </c>
      <c r="V456" s="3" t="str">
        <f t="shared" si="40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39"/>
        <v/>
      </c>
      <c r="V457" s="3" t="str">
        <f t="shared" si="40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39"/>
        <v/>
      </c>
      <c r="V458" s="3" t="str">
        <f t="shared" si="40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39"/>
        <v/>
      </c>
      <c r="V459" s="3" t="str">
        <f t="shared" si="40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39"/>
        <v/>
      </c>
      <c r="V460" s="3" t="str">
        <f t="shared" si="40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39"/>
        <v/>
      </c>
      <c r="V461" s="3" t="str">
        <f t="shared" si="40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39"/>
        <v/>
      </c>
      <c r="V462" s="3" t="str">
        <f t="shared" si="40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39"/>
        <v/>
      </c>
      <c r="V463" s="3" t="str">
        <f t="shared" si="40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39"/>
        <v/>
      </c>
      <c r="V464" s="3" t="str">
        <f t="shared" si="40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39"/>
        <v/>
      </c>
      <c r="V465" s="3" t="str">
        <f t="shared" si="40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39"/>
        <v/>
      </c>
      <c r="V466" s="3" t="str">
        <f t="shared" si="40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39"/>
        <v/>
      </c>
      <c r="V467" s="3" t="str">
        <f t="shared" si="40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39"/>
        <v/>
      </c>
      <c r="V468" s="3" t="str">
        <f t="shared" si="40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39"/>
        <v/>
      </c>
      <c r="V469" s="3" t="str">
        <f t="shared" si="40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39"/>
        <v/>
      </c>
      <c r="V470" s="3" t="str">
        <f t="shared" si="40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39"/>
        <v/>
      </c>
      <c r="V471" s="3" t="str">
        <f t="shared" si="40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39"/>
        <v/>
      </c>
      <c r="V472" s="3" t="str">
        <f t="shared" si="40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39"/>
        <v/>
      </c>
      <c r="V473" s="3" t="str">
        <f t="shared" si="40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39"/>
        <v/>
      </c>
      <c r="V474" s="3" t="str">
        <f t="shared" si="40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39"/>
        <v/>
      </c>
      <c r="V475" s="3" t="str">
        <f t="shared" si="40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39"/>
        <v/>
      </c>
      <c r="V476" s="3" t="str">
        <f t="shared" si="40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39"/>
        <v/>
      </c>
      <c r="V477" s="3" t="str">
        <f t="shared" si="40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39"/>
        <v/>
      </c>
      <c r="V478" s="3" t="str">
        <f t="shared" si="40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39"/>
        <v/>
      </c>
      <c r="V479" s="3" t="str">
        <f t="shared" si="40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39"/>
        <v/>
      </c>
      <c r="V480" s="3" t="str">
        <f t="shared" si="40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39"/>
        <v/>
      </c>
      <c r="V481" s="3" t="str">
        <f t="shared" si="40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39"/>
        <v/>
      </c>
      <c r="V482" s="3" t="str">
        <f t="shared" si="40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39"/>
        <v/>
      </c>
      <c r="V483" s="3" t="str">
        <f t="shared" si="40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39"/>
        <v/>
      </c>
      <c r="V484" s="3" t="str">
        <f t="shared" si="40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39"/>
        <v/>
      </c>
      <c r="V485" s="3" t="str">
        <f t="shared" si="40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39"/>
        <v/>
      </c>
      <c r="V486" s="3" t="str">
        <f t="shared" si="40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39"/>
        <v/>
      </c>
      <c r="V487" s="3" t="str">
        <f t="shared" si="40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39"/>
        <v/>
      </c>
      <c r="V488" s="3" t="str">
        <f t="shared" si="40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39"/>
        <v/>
      </c>
      <c r="V489" s="3" t="str">
        <f t="shared" si="40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39"/>
        <v/>
      </c>
      <c r="V490" s="3" t="str">
        <f t="shared" si="40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39"/>
        <v/>
      </c>
      <c r="V491" s="3" t="str">
        <f t="shared" si="40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39"/>
        <v/>
      </c>
      <c r="V492" s="3" t="str">
        <f t="shared" si="40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39"/>
        <v/>
      </c>
      <c r="V493" s="3" t="str">
        <f t="shared" si="40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39"/>
        <v/>
      </c>
      <c r="V494" s="3" t="str">
        <f t="shared" si="40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39"/>
        <v/>
      </c>
      <c r="V495" s="3" t="str">
        <f t="shared" si="40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39"/>
        <v/>
      </c>
      <c r="V496" s="3" t="str">
        <f t="shared" si="40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39"/>
        <v/>
      </c>
      <c r="V497" s="3" t="str">
        <f t="shared" si="40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39"/>
        <v/>
      </c>
      <c r="V498" s="3" t="str">
        <f t="shared" si="40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39"/>
        <v/>
      </c>
      <c r="V499" s="3" t="str">
        <f t="shared" si="40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39"/>
        <v/>
      </c>
      <c r="V500" s="3" t="str">
        <f t="shared" si="40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39"/>
        <v/>
      </c>
      <c r="V501" s="3" t="str">
        <f t="shared" si="40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39"/>
        <v/>
      </c>
      <c r="V502" s="3" t="str">
        <f t="shared" si="40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39"/>
        <v/>
      </c>
      <c r="V503" s="3" t="str">
        <f t="shared" si="40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39"/>
        <v/>
      </c>
      <c r="V504" s="3" t="str">
        <f t="shared" si="40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39"/>
        <v/>
      </c>
      <c r="V505" s="3" t="str">
        <f t="shared" si="40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39"/>
        <v/>
      </c>
      <c r="V506" s="3" t="str">
        <f t="shared" si="40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39"/>
        <v/>
      </c>
      <c r="V507" s="3" t="str">
        <f t="shared" si="40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39"/>
        <v/>
      </c>
      <c r="V508" s="3" t="str">
        <f t="shared" si="40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39"/>
        <v/>
      </c>
      <c r="V509" s="3" t="str">
        <f t="shared" si="40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39"/>
        <v/>
      </c>
      <c r="V510" s="3" t="str">
        <f t="shared" si="40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39"/>
        <v/>
      </c>
      <c r="V511" s="3" t="str">
        <f t="shared" si="40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39"/>
        <v/>
      </c>
      <c r="V512" s="3" t="str">
        <f t="shared" si="40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39"/>
        <v/>
      </c>
      <c r="V513" s="3" t="str">
        <f t="shared" si="40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39"/>
        <v/>
      </c>
      <c r="V514" s="3" t="str">
        <f t="shared" si="40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39"/>
        <v/>
      </c>
      <c r="V515" s="3" t="str">
        <f t="shared" si="40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1">IF(COUNTIF(Q:Q,O516)*COUNTIF(S:S,O516),O516,"")</f>
        <v/>
      </c>
      <c r="V516" s="3" t="str">
        <f t="shared" ref="V516:V567" si="42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1"/>
        <v/>
      </c>
      <c r="V517" s="3" t="str">
        <f t="shared" si="42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1"/>
        <v/>
      </c>
      <c r="V518" s="3" t="str">
        <f t="shared" si="42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1"/>
        <v/>
      </c>
      <c r="V519" s="3" t="str">
        <f t="shared" si="42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1"/>
        <v/>
      </c>
      <c r="V520" s="3" t="str">
        <f t="shared" si="42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1"/>
        <v/>
      </c>
      <c r="V521" s="3" t="str">
        <f t="shared" si="42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1"/>
        <v/>
      </c>
      <c r="V522" s="3" t="str">
        <f t="shared" si="42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1"/>
        <v/>
      </c>
      <c r="V523" s="3" t="str">
        <f t="shared" si="42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1"/>
        <v/>
      </c>
      <c r="V524" s="3" t="str">
        <f t="shared" si="42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1"/>
        <v/>
      </c>
      <c r="V525" s="3" t="str">
        <f t="shared" si="42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1"/>
        <v/>
      </c>
      <c r="V526" s="3" t="str">
        <f t="shared" si="42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1"/>
        <v/>
      </c>
      <c r="V527" s="3" t="str">
        <f t="shared" si="42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1"/>
        <v/>
      </c>
      <c r="V528" s="3" t="str">
        <f t="shared" si="42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1"/>
        <v/>
      </c>
      <c r="V529" s="3" t="str">
        <f t="shared" si="42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1"/>
        <v/>
      </c>
      <c r="V530" s="3" t="str">
        <f t="shared" si="42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1"/>
        <v/>
      </c>
      <c r="V531" s="3" t="str">
        <f t="shared" si="42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1"/>
        <v/>
      </c>
      <c r="V532" s="3" t="str">
        <f t="shared" si="42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1"/>
        <v/>
      </c>
      <c r="V533" s="3" t="str">
        <f t="shared" si="42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1"/>
        <v/>
      </c>
      <c r="V534" s="3" t="str">
        <f t="shared" si="42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1"/>
        <v/>
      </c>
      <c r="V535" s="3" t="str">
        <f t="shared" si="42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1"/>
        <v/>
      </c>
      <c r="V536" s="3" t="str">
        <f t="shared" si="42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1"/>
        <v/>
      </c>
      <c r="V537" s="3" t="str">
        <f t="shared" si="42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1"/>
        <v/>
      </c>
      <c r="V538" s="3" t="str">
        <f t="shared" si="42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1"/>
        <v/>
      </c>
      <c r="V539" s="3" t="str">
        <f t="shared" si="42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1"/>
        <v/>
      </c>
      <c r="V540" s="3" t="str">
        <f t="shared" si="42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1"/>
        <v/>
      </c>
      <c r="V541" s="3" t="str">
        <f t="shared" si="42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1"/>
        <v/>
      </c>
      <c r="V542" s="3" t="str">
        <f t="shared" si="42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1"/>
        <v/>
      </c>
      <c r="V543" s="3" t="str">
        <f t="shared" si="42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1"/>
        <v/>
      </c>
      <c r="V544" s="3" t="str">
        <f t="shared" si="42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1"/>
        <v/>
      </c>
      <c r="V545" s="3" t="str">
        <f t="shared" si="42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1"/>
        <v/>
      </c>
      <c r="V546" s="3" t="str">
        <f t="shared" si="42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1"/>
        <v/>
      </c>
      <c r="V547" s="3" t="str">
        <f t="shared" si="42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1"/>
        <v/>
      </c>
      <c r="V548" s="3" t="str">
        <f t="shared" si="42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1"/>
        <v/>
      </c>
      <c r="V549" s="3" t="str">
        <f t="shared" si="42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1"/>
        <v/>
      </c>
      <c r="V550" s="3" t="str">
        <f t="shared" si="42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1"/>
        <v/>
      </c>
      <c r="V551" s="3" t="str">
        <f t="shared" si="42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1"/>
        <v/>
      </c>
      <c r="V552" s="3" t="str">
        <f t="shared" si="42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1"/>
        <v/>
      </c>
      <c r="V553" s="3" t="str">
        <f t="shared" si="42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1"/>
        <v/>
      </c>
      <c r="V554" s="3" t="str">
        <f t="shared" si="42"/>
        <v/>
      </c>
    </row>
    <row r="555" spans="1:22" x14ac:dyDescent="0.25">
      <c r="U555" s="3" t="str">
        <f t="shared" si="41"/>
        <v/>
      </c>
      <c r="V555" s="3" t="str">
        <f t="shared" si="42"/>
        <v/>
      </c>
    </row>
    <row r="556" spans="1:22" x14ac:dyDescent="0.25">
      <c r="U556" s="3" t="str">
        <f t="shared" si="41"/>
        <v/>
      </c>
      <c r="V556" s="3" t="str">
        <f t="shared" si="42"/>
        <v/>
      </c>
    </row>
    <row r="557" spans="1:22" x14ac:dyDescent="0.25">
      <c r="U557" s="3" t="str">
        <f t="shared" si="41"/>
        <v/>
      </c>
      <c r="V557" s="3" t="str">
        <f t="shared" si="42"/>
        <v/>
      </c>
    </row>
    <row r="558" spans="1:22" x14ac:dyDescent="0.25">
      <c r="U558" s="3" t="str">
        <f t="shared" si="41"/>
        <v/>
      </c>
      <c r="V558" s="3" t="str">
        <f t="shared" si="42"/>
        <v/>
      </c>
    </row>
    <row r="559" spans="1:22" x14ac:dyDescent="0.25">
      <c r="U559" s="3" t="str">
        <f t="shared" si="41"/>
        <v/>
      </c>
      <c r="V559" s="3" t="str">
        <f t="shared" si="42"/>
        <v/>
      </c>
    </row>
    <row r="560" spans="1:22" x14ac:dyDescent="0.25">
      <c r="U560" s="3" t="str">
        <f t="shared" si="41"/>
        <v/>
      </c>
      <c r="V560" s="3" t="str">
        <f t="shared" si="42"/>
        <v/>
      </c>
    </row>
    <row r="561" spans="21:22" x14ac:dyDescent="0.25">
      <c r="U561" s="3" t="str">
        <f t="shared" si="41"/>
        <v/>
      </c>
      <c r="V561" s="3" t="str">
        <f t="shared" si="42"/>
        <v/>
      </c>
    </row>
    <row r="562" spans="21:22" x14ac:dyDescent="0.25">
      <c r="U562" s="3" t="str">
        <f t="shared" si="41"/>
        <v/>
      </c>
      <c r="V562" s="3" t="str">
        <f t="shared" si="42"/>
        <v/>
      </c>
    </row>
    <row r="563" spans="21:22" x14ac:dyDescent="0.25">
      <c r="U563" s="3" t="str">
        <f t="shared" si="41"/>
        <v/>
      </c>
      <c r="V563" s="3" t="str">
        <f t="shared" si="42"/>
        <v/>
      </c>
    </row>
    <row r="564" spans="21:22" x14ac:dyDescent="0.25">
      <c r="U564" s="3" t="str">
        <f t="shared" si="41"/>
        <v/>
      </c>
      <c r="V564" s="3" t="str">
        <f t="shared" si="42"/>
        <v/>
      </c>
    </row>
    <row r="565" spans="21:22" x14ac:dyDescent="0.25">
      <c r="U565" s="3" t="str">
        <f t="shared" si="41"/>
        <v/>
      </c>
      <c r="V565" s="3" t="str">
        <f t="shared" si="42"/>
        <v/>
      </c>
    </row>
    <row r="566" spans="21:22" x14ac:dyDescent="0.25">
      <c r="U566" s="3" t="str">
        <f t="shared" si="41"/>
        <v/>
      </c>
      <c r="V566" s="3" t="str">
        <f t="shared" si="42"/>
        <v/>
      </c>
    </row>
    <row r="567" spans="21:22" x14ac:dyDescent="0.25">
      <c r="U567" s="3" t="str">
        <f t="shared" si="41"/>
        <v/>
      </c>
      <c r="V567" s="3" t="str">
        <f t="shared" si="42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4 N50:N100 AI63:AI77 N116:N1048576">
    <cfRule type="cellIs" dxfId="3" priority="1" operator="lessThan">
      <formula>0</formula>
    </cfRule>
  </conditionalFormatting>
  <hyperlinks>
    <hyperlink ref="C4" r:id="rId1" xr:uid="{F638B4EB-443F-46E3-9CA5-E6B86A9FBD7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28E1-12D4-4ABC-9A0A-A3C92FA0A232}">
  <dimension ref="A1:AI569"/>
  <sheetViews>
    <sheetView zoomScale="90" zoomScaleNormal="90" workbookViewId="0">
      <selection activeCell="N16" sqref="N16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8.7109375" style="4" bestFit="1" customWidth="1"/>
    <col min="7" max="7" width="10.5703125" style="4" bestFit="1" customWidth="1"/>
    <col min="8" max="8" width="18" style="4" bestFit="1" customWidth="1"/>
    <col min="9" max="9" width="7.14062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2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46198.625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F2" s="12"/>
      <c r="G2" s="13" t="s">
        <v>4</v>
      </c>
      <c r="H2" s="2">
        <f>B5/B14</f>
        <v>320034.13697461062</v>
      </c>
      <c r="I2" s="1"/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103">_xlfn.UNIQUE(V:V)</f>
        <v>0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7</v>
      </c>
      <c r="C3" s="18" t="s">
        <v>8</v>
      </c>
      <c r="D3" s="8" t="s">
        <v>9</v>
      </c>
      <c r="H3" s="4" t="s">
        <v>10</v>
      </c>
      <c r="N3" s="4"/>
      <c r="O3" s="3" cm="1">
        <f t="array" ref="O3:P104">_xll.BDH(B4, "LAST_PRICE", "01/26/2026 15:00:00", "01/26/2035 16:00:00", "BarSize=60", "BarType=T", "RecurDaily=True", "TZ=London")</f>
        <v>46048.625</v>
      </c>
      <c r="P3" s="4">
        <v>93.62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46048.625</v>
      </c>
      <c r="V3" s="3" t="str">
        <f>IF(U3&gt;$A$14,U3,"")</f>
        <v/>
      </c>
      <c r="W3" s="3" t="str">
        <v/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3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3" t="s">
        <v>13</v>
      </c>
      <c r="C4" s="24" t="s">
        <v>14</v>
      </c>
      <c r="D4" s="23" t="s">
        <v>15</v>
      </c>
      <c r="H4" s="6">
        <v>46100</v>
      </c>
      <c r="I4" s="4" t="s">
        <v>7</v>
      </c>
      <c r="J4" s="4">
        <v>2.3302999999999998</v>
      </c>
      <c r="N4" s="4"/>
      <c r="O4" s="3">
        <v>46049.625</v>
      </c>
      <c r="P4" s="4">
        <v>93.74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46049.625</v>
      </c>
      <c r="V4" s="3" t="str">
        <f t="shared" ref="V4:V67" si="1">IF(U4&gt;$A$14,U4,"")</f>
        <v/>
      </c>
      <c r="W4" s="3">
        <v>46050.625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0</v>
      </c>
    </row>
    <row r="5" spans="1:32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N5" s="4"/>
      <c r="O5" s="3">
        <v>46050.625</v>
      </c>
      <c r="P5" s="4">
        <v>93.63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46050.625</v>
      </c>
      <c r="V5" s="3">
        <f t="shared" si="1"/>
        <v>46050.625</v>
      </c>
      <c r="W5" s="3">
        <v>46051.625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46051.625</v>
      </c>
      <c r="P6" s="4">
        <v>93.53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46051.625</v>
      </c>
      <c r="V6" s="3">
        <f t="shared" si="1"/>
        <v>46051.625</v>
      </c>
      <c r="W6" s="3">
        <v>46052.625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8" cm="1">
        <f t="array" ref="B7">_xll.BDP("EURR002W INDEX","PX_LAST")/100+0.25/100</f>
        <v>2.6499999999999999E-2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46052.625</v>
      </c>
      <c r="P7" s="4">
        <v>93.62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46052.625</v>
      </c>
      <c r="V7" s="3">
        <f t="shared" si="1"/>
        <v>46052.625</v>
      </c>
      <c r="W7" s="3">
        <v>46055.625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46055.625</v>
      </c>
      <c r="P8" s="4">
        <v>93.64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46055.625</v>
      </c>
      <c r="V8" s="3">
        <f t="shared" si="1"/>
        <v>46055.625</v>
      </c>
      <c r="W8" s="3">
        <v>46056.625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30" cm="1">
        <f t="array" ref="B9">_xll.BDP(B4,"PX_LAST")</f>
        <v>91.16</v>
      </c>
      <c r="C9" s="30" cm="1">
        <f t="array" ref="C9">_xll.BDP(C4,"PX_LAST")</f>
        <v>99.747</v>
      </c>
      <c r="D9" s="30" cm="1">
        <f t="array" ref="D9">_xll.BDP(D4,"PX_LAST")</f>
        <v>247.30670000000001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46056.625</v>
      </c>
      <c r="P9" s="4">
        <v>93.64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46056.625</v>
      </c>
      <c r="V9" s="3">
        <f t="shared" si="1"/>
        <v>46056.625</v>
      </c>
      <c r="W9" s="3">
        <v>46057.625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46057.625</v>
      </c>
      <c r="P10" s="4">
        <v>93.61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46057.625</v>
      </c>
      <c r="V10" s="3">
        <f t="shared" si="1"/>
        <v>46057.625</v>
      </c>
      <c r="W10" s="3">
        <v>46058.625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46058.625</v>
      </c>
      <c r="P11" s="4">
        <v>93.49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46058.625</v>
      </c>
      <c r="V11" s="3">
        <f t="shared" si="1"/>
        <v>46058.625</v>
      </c>
      <c r="W11" s="3">
        <v>46059.625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5" t="s">
        <v>24</v>
      </c>
      <c r="B12" s="53" t="s">
        <v>2</v>
      </c>
      <c r="C12" s="54"/>
      <c r="D12" s="55"/>
      <c r="E12" s="56" t="s">
        <v>3</v>
      </c>
      <c r="F12" s="57"/>
      <c r="G12" s="58"/>
      <c r="H12" s="59" t="s">
        <v>3</v>
      </c>
      <c r="I12" s="60"/>
      <c r="J12" s="60"/>
      <c r="K12" s="61"/>
      <c r="L12" s="11" t="s">
        <v>25</v>
      </c>
      <c r="M12" s="35" t="s">
        <v>26</v>
      </c>
      <c r="O12" s="3">
        <v>46059.625</v>
      </c>
      <c r="P12" s="4">
        <v>93.62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46059.625</v>
      </c>
      <c r="V12" s="3">
        <f t="shared" si="1"/>
        <v>46059.625</v>
      </c>
      <c r="W12" s="3">
        <v>46062.625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46062.625</v>
      </c>
      <c r="P13" s="4">
        <v>93.76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46062.625</v>
      </c>
      <c r="V13" s="3">
        <f t="shared" si="1"/>
        <v>46062.625</v>
      </c>
      <c r="W13" s="3">
        <v>46064.625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2" x14ac:dyDescent="0.25">
      <c r="A14" s="39">
        <v>46049.625</v>
      </c>
      <c r="B14" s="40">
        <v>93.74</v>
      </c>
      <c r="C14" s="2"/>
      <c r="D14" s="18"/>
      <c r="E14" s="40">
        <v>100.59</v>
      </c>
      <c r="F14" s="1"/>
      <c r="G14" s="18"/>
      <c r="H14" s="40">
        <v>241.37200000000001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46064.625</v>
      </c>
      <c r="P14" s="4">
        <v>93.63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46064.625</v>
      </c>
      <c r="V14" s="3">
        <f t="shared" si="1"/>
        <v>46064.625</v>
      </c>
      <c r="W14" s="3">
        <v>46065.625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2" x14ac:dyDescent="0.25">
      <c r="A15" s="39">
        <f t="shared" ref="A15:A78" ca="1" si="3">IF(AND(ISBLANK(W4), A14 = $W$1),NOW(),IF(ISBLANK(W4),"",W4))</f>
        <v>46050.625</v>
      </c>
      <c r="B15" s="40">
        <f ca="1">IF(COUNTIF($W$2:W1000,A15)=1,VLOOKUP(A15,O:P,2), IF(COUNTIF($W$2:W1000,A15)=0,$B$9,""))</f>
        <v>93.63</v>
      </c>
      <c r="C15" s="2">
        <f ca="1">IF(ISERROR(B15-2),"",(B15/$B$14-1)*$B$5)</f>
        <v>-35203.755067207967</v>
      </c>
      <c r="D15" s="43">
        <f ca="1">IF(ISERROR(B15-2),"",-1*(INT(A15)-INT($A$14))/360*$B$7*$B$5)</f>
        <v>-2208.3333333333335</v>
      </c>
      <c r="E15" s="40">
        <f ca="1">IF(COUNTIF($W$2:W1000,A15)=1,VLOOKUP(A15,Q:R,2), IF(COUNTIF($W$2:W1000,A15)=0,$C$9,""))</f>
        <v>100.65</v>
      </c>
      <c r="F15" s="2">
        <f ca="1">IF(ISERROR(B15-2),"",(E15-$E$14)/100*$C$5)</f>
        <v>15600.000000000591</v>
      </c>
      <c r="G15" s="43">
        <f ca="1">IF(ISERROR(B15-2),"",(INT(A15)-INT($A$14))/360*$C$6*$C$5-(INT(A15)-INT($A$14))/360*$C$7*$C$5*$E$14/100)</f>
        <v>-10.226666666666915</v>
      </c>
      <c r="H15" s="40">
        <f ca="1">IF(COUNTIF($W$2:W1000,A15)=1,VLOOKUP(A15,S:T,2), IF(COUNTIF($W$2:W1000,A15)=0,$D$9,""))</f>
        <v>244.39099999999999</v>
      </c>
      <c r="I15" s="41">
        <f ca="1">IF(COUNTIF($X$2:X1000,INT(A15))=1,VLOOKUP(INT(A15),X:Y,2), IF(ISERROR(H15-2),"",I14*(1-$D$8*(H15-H14)*0.0001)))</f>
        <v>263.77480000000003</v>
      </c>
      <c r="J15" s="41">
        <f ca="1">IF(ISERROR(H15-2),"",I15)</f>
        <v>263.77480000000003</v>
      </c>
      <c r="K15" s="43">
        <f ca="1">IF(ISERROR(H15-2),"",(J15/$J$14-1)*$D$5)</f>
        <v>-28682.110682109917</v>
      </c>
      <c r="L15" s="43" t="str">
        <f ca="1">IF($A15="","",IF(COUNTIFS(Dividends!$G:$G,"&gt;"&amp;INT($A14),Dividends!$G:$G,"&lt;="&amp;INT($A15))=0,"",$H$2*SUMIFS(Dividends!$H:$H,Dividends!$G:$G,"&gt;"&amp;INT($A14),Dividends!$G:$G,"&lt;="&amp;INT($A15))))</f>
        <v/>
      </c>
      <c r="M15" s="44">
        <f ca="1">IF(ISERROR(B15-2),"",C15+D15-F15-G15-K15+SUM($L$14:L15))</f>
        <v>-24319.751051765306</v>
      </c>
      <c r="O15" s="3">
        <v>46065.625</v>
      </c>
      <c r="P15" s="4">
        <v>93.65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46065.625</v>
      </c>
      <c r="V15" s="3">
        <f t="shared" si="1"/>
        <v>46065.625</v>
      </c>
      <c r="W15" s="3">
        <v>46066.625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2" x14ac:dyDescent="0.25">
      <c r="A16" s="39">
        <f t="shared" ca="1" si="3"/>
        <v>46051.625</v>
      </c>
      <c r="B16" s="40">
        <f ca="1">IF(COUNTIF($W$2:W1001,A16)=1,VLOOKUP(A16,O:P,2), IF(COUNTIF($W$2:W1001,A16)=0,$B$9,""))</f>
        <v>93.53</v>
      </c>
      <c r="C16" s="2">
        <f t="shared" ref="C16:C79" ca="1" si="4">IF(ISERROR(B16-2),"",(B16/$B$14-1)*$B$5)</f>
        <v>-67207.16876466581</v>
      </c>
      <c r="D16" s="43">
        <f t="shared" ref="D16:D79" ca="1" si="5">IF(ISERROR(B16-2),"",-1*(INT(A16)-INT($A$14))/360*$B$7*$B$5)</f>
        <v>-4416.666666666667</v>
      </c>
      <c r="E16" s="40">
        <f ca="1">IF(COUNTIF($W$2:W1001,A16)=1,VLOOKUP(A16,Q:R,2), IF(COUNTIF($W$2:W1001,A16)=0,$C$9,""))</f>
        <v>100.706</v>
      </c>
      <c r="F16" s="2">
        <f t="shared" ref="F16:F79" ca="1" si="6">IF(ISERROR(B16-2),"",(E16-$E$14)/100*$C$5)</f>
        <v>30159.999999999909</v>
      </c>
      <c r="G16" s="43">
        <f t="shared" ref="G16:G79" ca="1" si="7">IF(ISERROR(B16-2),"",(INT(A16)-INT($A$14))/360*$C$6*$C$5-(INT(A16)-INT($A$14))/360*$C$7*$C$5*$E$14/100)</f>
        <v>-20.453333333333831</v>
      </c>
      <c r="H16" s="40">
        <f ca="1">IF(COUNTIF($W$2:W1001,A16)=1,VLOOKUP(A16,S:T,2), IF(COUNTIF($W$2:W1001,A16)=0,$D$9,""))</f>
        <v>249.25</v>
      </c>
      <c r="I16" s="41">
        <f ca="1">IF(COUNTIF($X$2:X1001,INT(A16))=1,VLOOKUP(INT(A16),X:Y,2), IF(ISERROR(H16-2),"",I15*(1-$D$8*(H16-H15)*0.0001)))</f>
        <v>263.46510000000001</v>
      </c>
      <c r="J16" s="41">
        <f t="shared" ref="J16:J79" ca="1" si="8">IF(ISERROR(H16-2),"",I16)</f>
        <v>263.46510000000001</v>
      </c>
      <c r="K16" s="43">
        <f t="shared" ref="K16:K79" ca="1" si="9">IF(ISERROR(H16-2),"",(J16/$J$14-1)*$D$5)</f>
        <v>-50604.247104247959</v>
      </c>
      <c r="L16" s="43" t="str">
        <f ca="1">IF($A16="","",IF(COUNTIFS(Dividends!$G:$G,"&gt;"&amp;INT($A15),Dividends!$G:$G,"&lt;="&amp;INT($A16))=0,"",$H$2*SUMIFS(Dividends!$H:$H,Dividends!$G:$G,"&gt;"&amp;INT($A15),Dividends!$G:$G,"&lt;="&amp;INT($A16))))</f>
        <v/>
      </c>
      <c r="M16" s="44">
        <f ca="1">IF(ISERROR(B16-2),"",C16+D16-F16-G16-K16+SUM($L$14:L16))</f>
        <v>-51159.134993751097</v>
      </c>
      <c r="O16" s="3">
        <v>46066.625</v>
      </c>
      <c r="P16" s="4">
        <v>93.55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46066.625</v>
      </c>
      <c r="V16" s="3">
        <f t="shared" si="1"/>
        <v>46066.625</v>
      </c>
      <c r="W16" s="3">
        <v>46069.625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46052.625</v>
      </c>
      <c r="B17" s="40">
        <f ca="1">IF(COUNTIF($W$2:W1002,A17)=1,VLOOKUP(A17,O:P,2), IF(COUNTIF($W$2:W1002,A17)=0,$B$9,""))</f>
        <v>93.62</v>
      </c>
      <c r="C17" s="2">
        <f t="shared" ca="1" si="4"/>
        <v>-38404.096436951419</v>
      </c>
      <c r="D17" s="43">
        <f t="shared" ca="1" si="5"/>
        <v>-6625</v>
      </c>
      <c r="E17" s="40">
        <f ca="1">IF(COUNTIF($W$2:W1002,A17)=1,VLOOKUP(A17,Q:R,2), IF(COUNTIF($W$2:W1002,A17)=0,$C$9,""))</f>
        <v>100.675</v>
      </c>
      <c r="F17" s="2">
        <f t="shared" ca="1" si="6"/>
        <v>22099.999999998374</v>
      </c>
      <c r="G17" s="43">
        <f t="shared" ca="1" si="7"/>
        <v>-30.680000000000291</v>
      </c>
      <c r="H17" s="40">
        <f ca="1">IF(COUNTIF($W$2:W1002,A17)=1,VLOOKUP(A17,S:T,2), IF(COUNTIF($W$2:W1002,A17)=0,$D$9,""))</f>
        <v>246.12</v>
      </c>
      <c r="I17" s="41">
        <f ca="1">IF(COUNTIF($X$2:X1002,INT(A17))=1,VLOOKUP(INT(A17),X:Y,2), IF(ISERROR(H17-2),"",I16*(1-$D$8*(H17-H16)*0.0001)))</f>
        <v>263.61529999999999</v>
      </c>
      <c r="J17" s="41">
        <f t="shared" ca="1" si="8"/>
        <v>263.61529999999999</v>
      </c>
      <c r="K17" s="43">
        <f t="shared" ca="1" si="9"/>
        <v>-39972.329472330013</v>
      </c>
      <c r="L17" s="43" t="str">
        <f ca="1">IF($A17="","",IF(COUNTIFS(Dividends!$G:$G,"&gt;"&amp;INT($A16),Dividends!$G:$G,"&lt;="&amp;INT($A17))=0,"",$H$2*SUMIFS(Dividends!$H:$H,Dividends!$G:$G,"&gt;"&amp;INT($A16),Dividends!$G:$G,"&lt;="&amp;INT($A17))))</f>
        <v/>
      </c>
      <c r="M17" s="44">
        <f ca="1">IF(ISERROR(B17-2),"",C17+D17-F17-G17-K17+SUM($L$14:L17))</f>
        <v>-27126.08696461979</v>
      </c>
      <c r="O17" s="3">
        <v>46069.625</v>
      </c>
      <c r="P17" s="4">
        <v>93.55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46069.625</v>
      </c>
      <c r="V17" s="3">
        <f t="shared" si="1"/>
        <v>46069.625</v>
      </c>
      <c r="W17" s="3">
        <v>46070.625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46055.625</v>
      </c>
      <c r="B18" s="40">
        <f ca="1">IF(COUNTIF($W$2:W1003,A18)=1,VLOOKUP(A18,O:P,2), IF(COUNTIF($W$2:W1003,A18)=0,$B$9,""))</f>
        <v>93.64</v>
      </c>
      <c r="C18" s="2">
        <f t="shared" ca="1" si="4"/>
        <v>-32003.413697457851</v>
      </c>
      <c r="D18" s="43">
        <f t="shared" ca="1" si="5"/>
        <v>-13250</v>
      </c>
      <c r="E18" s="40">
        <f ca="1">IF(COUNTIF($W$2:W1003,A18)=1,VLOOKUP(A18,Q:R,2), IF(COUNTIF($W$2:W1003,A18)=0,$C$9,""))</f>
        <v>100.607</v>
      </c>
      <c r="F18" s="2">
        <f t="shared" ca="1" si="6"/>
        <v>4419.9999999989359</v>
      </c>
      <c r="G18" s="43">
        <f t="shared" ca="1" si="7"/>
        <v>-61.360000000000582</v>
      </c>
      <c r="H18" s="40">
        <f ca="1">IF(COUNTIF($W$2:W1003,A18)=1,VLOOKUP(A18,S:T,2), IF(COUNTIF($W$2:W1003,A18)=0,$D$9,""))</f>
        <v>243.642</v>
      </c>
      <c r="I18" s="41">
        <f ca="1">IF(COUNTIF($X$2:X1003,INT(A18))=1,VLOOKUP(INT(A18),X:Y,2), IF(ISERROR(H18-2),"",I17*(1-$D$8*(H18-H17)*0.0001)))</f>
        <v>264.12970000000001</v>
      </c>
      <c r="J18" s="41">
        <f t="shared" ca="1" si="8"/>
        <v>264.12970000000001</v>
      </c>
      <c r="K18" s="43">
        <f t="shared" ca="1" si="9"/>
        <v>-3560.4890604889806</v>
      </c>
      <c r="L18" s="43" t="str">
        <f ca="1">IF($A18="","",IF(COUNTIFS(Dividends!$G:$G,"&gt;"&amp;INT($A17),Dividends!$G:$G,"&lt;="&amp;INT($A18))=0,"",$H$2*SUMIFS(Dividends!$H:$H,Dividends!$G:$G,"&gt;"&amp;INT($A17),Dividends!$G:$G,"&lt;="&amp;INT($A18))))</f>
        <v/>
      </c>
      <c r="M18" s="44">
        <f ca="1">IF(ISERROR(B18-2),"",C18+D18-F18-G18-K18+SUM($L$14:L18))</f>
        <v>-46051.564636967807</v>
      </c>
      <c r="O18" s="3">
        <v>46070.625</v>
      </c>
      <c r="P18" s="4">
        <v>93.48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46070.625</v>
      </c>
      <c r="V18" s="3">
        <f t="shared" si="1"/>
        <v>46070.625</v>
      </c>
      <c r="W18" s="3">
        <v>46071.625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46056.625</v>
      </c>
      <c r="B19" s="40">
        <f ca="1">IF(COUNTIF($W$2:W1004,A19)=1,VLOOKUP(A19,O:P,2), IF(COUNTIF($W$2:W1004,A19)=0,$B$9,""))</f>
        <v>93.64</v>
      </c>
      <c r="C19" s="2">
        <f t="shared" ca="1" si="4"/>
        <v>-32003.413697457851</v>
      </c>
      <c r="D19" s="43">
        <f t="shared" ca="1" si="5"/>
        <v>-15458.333333333334</v>
      </c>
      <c r="E19" s="40">
        <f ca="1">IF(COUNTIF($W$2:W1004,A19)=1,VLOOKUP(A19,Q:R,2), IF(COUNTIF($W$2:W1004,A19)=0,$C$9,""))</f>
        <v>100.57599999999999</v>
      </c>
      <c r="F19" s="2">
        <f t="shared" ca="1" si="6"/>
        <v>-3640.0000000026007</v>
      </c>
      <c r="G19" s="43">
        <f t="shared" ca="1" si="7"/>
        <v>-71.586666666666133</v>
      </c>
      <c r="H19" s="40">
        <f ca="1">IF(COUNTIF($W$2:W1004,A19)=1,VLOOKUP(A19,S:T,2), IF(COUNTIF($W$2:W1004,A19)=0,$D$9,""))</f>
        <v>243.64</v>
      </c>
      <c r="I19" s="41">
        <f ca="1">IF(COUNTIF($X$2:X1004,INT(A19))=1,VLOOKUP(INT(A19),X:Y,2), IF(ISERROR(H19-2),"",I18*(1-$D$8*(H19-H18)*0.0001)))</f>
        <v>264</v>
      </c>
      <c r="J19" s="41">
        <f t="shared" ca="1" si="8"/>
        <v>264</v>
      </c>
      <c r="K19" s="43">
        <f t="shared" ca="1" si="9"/>
        <v>-12741.312741312471</v>
      </c>
      <c r="L19" s="43" t="str">
        <f ca="1">IF($A19="","",IF(COUNTIFS(Dividends!$G:$G,"&gt;"&amp;INT($A18),Dividends!$G:$G,"&lt;="&amp;INT($A19))=0,"",$H$2*SUMIFS(Dividends!$H:$H,Dividends!$G:$G,"&gt;"&amp;INT($A18),Dividends!$G:$G,"&lt;="&amp;INT($A19))))</f>
        <v/>
      </c>
      <c r="M19" s="44">
        <f ca="1">IF(ISERROR(B19-2),"",C19+D19-F19-G19-K19+SUM($L$14:L19))</f>
        <v>-31008.847622809455</v>
      </c>
      <c r="O19" s="3">
        <v>46071.625</v>
      </c>
      <c r="P19" s="4">
        <v>93.67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46071.625</v>
      </c>
      <c r="V19" s="3">
        <f t="shared" si="1"/>
        <v>46071.625</v>
      </c>
      <c r="W19" s="3">
        <v>46072.625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46057.625</v>
      </c>
      <c r="B20" s="40">
        <f ca="1">IF(COUNTIF($W$2:W1005,A20)=1,VLOOKUP(A20,O:P,2), IF(COUNTIF($W$2:W1005,A20)=0,$B$9,""))</f>
        <v>93.61</v>
      </c>
      <c r="C20" s="2">
        <f t="shared" ca="1" si="4"/>
        <v>-41604.437806698203</v>
      </c>
      <c r="D20" s="43">
        <f t="shared" ca="1" si="5"/>
        <v>-17666.666666666668</v>
      </c>
      <c r="E20" s="40">
        <f ca="1">IF(COUNTIF($W$2:W1005,A20)=1,VLOOKUP(A20,Q:R,2), IF(COUNTIF($W$2:W1005,A20)=0,$C$9,""))</f>
        <v>100.637</v>
      </c>
      <c r="F20" s="2">
        <f t="shared" ca="1" si="6"/>
        <v>12219.999999999232</v>
      </c>
      <c r="G20" s="43">
        <f t="shared" ca="1" si="7"/>
        <v>-81.813333333335322</v>
      </c>
      <c r="H20" s="40">
        <f ca="1">IF(COUNTIF($W$2:W1005,A20)=1,VLOOKUP(A20,S:T,2), IF(COUNTIF($W$2:W1005,A20)=0,$D$9,""))</f>
        <v>244.55699999999999</v>
      </c>
      <c r="I20" s="41">
        <f ca="1">IF(COUNTIF($X$2:X1005,INT(A20))=1,VLOOKUP(INT(A20),X:Y,2), IF(ISERROR(H20-2),"",I19*(1-$D$8*(H20-H19)*0.0001)))</f>
        <v>263.81950000000001</v>
      </c>
      <c r="J20" s="41">
        <f t="shared" ca="1" si="8"/>
        <v>263.81950000000001</v>
      </c>
      <c r="K20" s="43">
        <f t="shared" ca="1" si="9"/>
        <v>-25518.01801801916</v>
      </c>
      <c r="L20" s="43" t="str">
        <f ca="1">IF($A20="","",IF(COUNTIFS(Dividends!$G:$G,"&gt;"&amp;INT($A19),Dividends!$G:$G,"&lt;="&amp;INT($A20))=0,"",$H$2*SUMIFS(Dividends!$H:$H,Dividends!$G:$G,"&gt;"&amp;INT($A19),Dividends!$G:$G,"&lt;="&amp;INT($A20))))</f>
        <v/>
      </c>
      <c r="M20" s="44">
        <f ca="1">IF(ISERROR(B20-2),"",C20+D20-F20-G20-K20+SUM($L$14:L20))</f>
        <v>-45891.273122011604</v>
      </c>
      <c r="O20" s="3">
        <v>46072.625</v>
      </c>
      <c r="P20" s="4">
        <v>93.64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46072.625</v>
      </c>
      <c r="V20" s="3">
        <f t="shared" si="1"/>
        <v>46072.625</v>
      </c>
      <c r="W20" s="3">
        <v>46073.625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46058.625</v>
      </c>
      <c r="B21" s="40">
        <f ca="1">IF(COUNTIF($W$2:W1006,A21)=1,VLOOKUP(A21,O:P,2), IF(COUNTIF($W$2:W1006,A21)=0,$B$9,""))</f>
        <v>93.49</v>
      </c>
      <c r="C21" s="2">
        <f t="shared" ca="1" si="4"/>
        <v>-80008.534243652946</v>
      </c>
      <c r="D21" s="43">
        <f t="shared" ca="1" si="5"/>
        <v>-19875</v>
      </c>
      <c r="E21" s="40">
        <f ca="1">IF(COUNTIF($W$2:W1006,A21)=1,VLOOKUP(A21,Q:R,2), IF(COUNTIF($W$2:W1006,A21)=0,$C$9,""))</f>
        <v>100.67</v>
      </c>
      <c r="F21" s="2">
        <f t="shared" ca="1" si="6"/>
        <v>20799.999999999556</v>
      </c>
      <c r="G21" s="43">
        <f t="shared" ca="1" si="7"/>
        <v>-92.040000000000873</v>
      </c>
      <c r="H21" s="40">
        <f ca="1">IF(COUNTIF($W$2:W1006,A21)=1,VLOOKUP(A21,S:T,2), IF(COUNTIF($W$2:W1006,A21)=0,$D$9,""))</f>
        <v>249.851</v>
      </c>
      <c r="I21" s="41">
        <f ca="1">IF(COUNTIF($X$2:X1006,INT(A21))=1,VLOOKUP(INT(A21),X:Y,2), IF(ISERROR(H21-2),"",I20*(1-$D$8*(H21-H20)*0.0001)))</f>
        <v>263.54730000000001</v>
      </c>
      <c r="J21" s="41">
        <f t="shared" ca="1" si="8"/>
        <v>263.54730000000001</v>
      </c>
      <c r="K21" s="43">
        <f t="shared" ca="1" si="9"/>
        <v>-44785.714285713293</v>
      </c>
      <c r="L21" s="43" t="str">
        <f ca="1">IF($A21="","",IF(COUNTIFS(Dividends!$G:$G,"&gt;"&amp;INT($A20),Dividends!$G:$G,"&lt;="&amp;INT($A21))=0,"",$H$2*SUMIFS(Dividends!$H:$H,Dividends!$G:$G,"&gt;"&amp;INT($A20),Dividends!$G:$G,"&lt;="&amp;INT($A21))))</f>
        <v/>
      </c>
      <c r="M21" s="44">
        <f ca="1">IF(ISERROR(B21-2),"",C21+D21-F21-G21-K21+SUM($L$14:L21))</f>
        <v>-75805.779957939201</v>
      </c>
      <c r="O21" s="3">
        <v>46073.625</v>
      </c>
      <c r="P21" s="4">
        <v>93.75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46073.625</v>
      </c>
      <c r="V21" s="3">
        <f t="shared" si="1"/>
        <v>46073.625</v>
      </c>
      <c r="W21" s="3">
        <v>46076.625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46059.625</v>
      </c>
      <c r="B22" s="40">
        <f ca="1">IF(COUNTIF($W$2:W1007,A22)=1,VLOOKUP(A22,O:P,2), IF(COUNTIF($W$2:W1007,A22)=0,$B$9,""))</f>
        <v>93.62</v>
      </c>
      <c r="C22" s="2">
        <f t="shared" ca="1" si="4"/>
        <v>-38404.096436951419</v>
      </c>
      <c r="D22" s="43">
        <f t="shared" ca="1" si="5"/>
        <v>-22083.333333333332</v>
      </c>
      <c r="E22" s="40">
        <f ca="1">IF(COUNTIF($W$2:W1007,A22)=1,VLOOKUP(A22,Q:R,2), IF(COUNTIF($W$2:W1007,A22)=0,$C$9,""))</f>
        <v>100.67</v>
      </c>
      <c r="F22" s="2">
        <f t="shared" ca="1" si="6"/>
        <v>20799.999999999556</v>
      </c>
      <c r="G22" s="43">
        <f t="shared" ca="1" si="7"/>
        <v>-102.26666666666642</v>
      </c>
      <c r="H22" s="40">
        <f ca="1">IF(COUNTIF($W$2:W1007,A22)=1,VLOOKUP(A22,S:T,2), IF(COUNTIF($W$2:W1007,A22)=0,$D$9,""))</f>
        <v>244.11</v>
      </c>
      <c r="I22" s="41">
        <f ca="1">IF(COUNTIF($X$2:X1007,INT(A22))=1,VLOOKUP(INT(A22),X:Y,2), IF(ISERROR(H22-2),"",I21*(1-$D$8*(H22-H21)*0.0001)))</f>
        <v>264.17489999999998</v>
      </c>
      <c r="J22" s="41">
        <f t="shared" ca="1" si="8"/>
        <v>264.17489999999998</v>
      </c>
      <c r="K22" s="43">
        <f t="shared" ca="1" si="9"/>
        <v>-361.00386100608171</v>
      </c>
      <c r="L22" s="43" t="str">
        <f ca="1">IF($A22="","",IF(COUNTIFS(Dividends!$G:$G,"&gt;"&amp;INT($A21),Dividends!$G:$G,"&lt;="&amp;INT($A22))=0,"",$H$2*SUMIFS(Dividends!$H:$H,Dividends!$G:$G,"&gt;"&amp;INT($A21),Dividends!$G:$G,"&lt;="&amp;INT($A22))))</f>
        <v/>
      </c>
      <c r="M22" s="44">
        <f ca="1">IF(ISERROR(B22-2),"",C22+D22-F22-G22-K22+SUM($L$14:L22))</f>
        <v>-80824.159242611553</v>
      </c>
      <c r="O22" s="3">
        <v>46076.625</v>
      </c>
      <c r="P22" s="4">
        <v>93.75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46076.625</v>
      </c>
      <c r="V22" s="3">
        <f t="shared" si="1"/>
        <v>46076.625</v>
      </c>
      <c r="W22" s="3">
        <v>46077.625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46062.625</v>
      </c>
      <c r="B23" s="40">
        <f ca="1">IF(COUNTIF($W$2:W1008,A23)=1,VLOOKUP(A23,O:P,2), IF(COUNTIF($W$2:W1008,A23)=0,$B$9,""))</f>
        <v>93.76</v>
      </c>
      <c r="C23" s="2">
        <f t="shared" ca="1" si="4"/>
        <v>6400.6827394935681</v>
      </c>
      <c r="D23" s="43">
        <f t="shared" ca="1" si="5"/>
        <v>-28708.333333333328</v>
      </c>
      <c r="E23" s="40">
        <f ca="1">IF(COUNTIF($W$2:W1008,A23)=1,VLOOKUP(A23,Q:R,2), IF(COUNTIF($W$2:W1008,A23)=0,$C$9,""))</f>
        <v>100.702</v>
      </c>
      <c r="F23" s="2">
        <f t="shared" ca="1" si="6"/>
        <v>29119.999999998639</v>
      </c>
      <c r="G23" s="43">
        <f t="shared" ca="1" si="7"/>
        <v>-132.94666666666672</v>
      </c>
      <c r="H23" s="40">
        <f ca="1">IF(COUNTIF($W$2:W1008,A23)=1,VLOOKUP(A23,S:T,2), IF(COUNTIF($W$2:W1008,A23)=0,$D$9,""))</f>
        <v>241.44</v>
      </c>
      <c r="I23" s="41">
        <f ca="1">IF(COUNTIF($X$2:X1008,INT(A23))=1,VLOOKUP(INT(A23),X:Y,2), IF(ISERROR(H23-2),"",I22*(1-$D$8*(H23-H22)*0.0001)))</f>
        <v>264.56029999999998</v>
      </c>
      <c r="J23" s="41">
        <f t="shared" ca="1" si="8"/>
        <v>264.56029999999998</v>
      </c>
      <c r="K23" s="43">
        <f t="shared" ca="1" si="9"/>
        <v>26919.562419560461</v>
      </c>
      <c r="L23" s="43" t="str">
        <f ca="1">IF($A23="","",IF(COUNTIFS(Dividends!$G:$G,"&gt;"&amp;INT($A22),Dividends!$G:$G,"&lt;="&amp;INT($A23))=0,"",$H$2*SUMIFS(Dividends!$H:$H,Dividends!$G:$G,"&gt;"&amp;INT($A22),Dividends!$G:$G,"&lt;="&amp;INT($A23))))</f>
        <v/>
      </c>
      <c r="M23" s="44">
        <f ca="1">IF(ISERROR(B23-2),"",C23+D23-F23-G23-K23+SUM($L$14:L23))</f>
        <v>-78214.266346732198</v>
      </c>
      <c r="O23" s="3">
        <v>46077.625</v>
      </c>
      <c r="P23" s="4">
        <v>93.71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46077.625</v>
      </c>
      <c r="V23" s="3">
        <f t="shared" si="1"/>
        <v>46077.625</v>
      </c>
      <c r="W23" s="3">
        <v>46078.625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46064.625</v>
      </c>
      <c r="B24" s="40">
        <f ca="1">IF(COUNTIF($W$2:W1009,A24)=1,VLOOKUP(A24,O:P,2), IF(COUNTIF($W$2:W1009,A24)=0,$B$9,""))</f>
        <v>93.63</v>
      </c>
      <c r="C24" s="2">
        <f t="shared" ca="1" si="4"/>
        <v>-35203.755067207967</v>
      </c>
      <c r="D24" s="43">
        <f t="shared" ca="1" si="5"/>
        <v>-33124.999999999993</v>
      </c>
      <c r="E24" s="40">
        <f ca="1">IF(COUNTIF($W$2:W1009,A24)=1,VLOOKUP(A24,Q:R,2), IF(COUNTIF($W$2:W1009,A24)=0,$C$9,""))</f>
        <v>100.73</v>
      </c>
      <c r="F24" s="2">
        <f t="shared" ca="1" si="6"/>
        <v>36400.000000000146</v>
      </c>
      <c r="G24" s="43">
        <f t="shared" ca="1" si="7"/>
        <v>-153.40000000000146</v>
      </c>
      <c r="H24" s="40">
        <f ca="1">IF(COUNTIF($W$2:W1009,A24)=1,VLOOKUP(A24,S:T,2), IF(COUNTIF($W$2:W1009,A24)=0,$D$9,""))</f>
        <v>242.79599999999999</v>
      </c>
      <c r="I24" s="41">
        <f ca="1">IF(COUNTIF($X$2:X1009,INT(A24))=1,VLOOKUP(INT(A24),X:Y,2), IF(ISERROR(H24-2),"",I23*(1-$D$8*(H24-H23)*0.0001)))</f>
        <v>264.35489999999999</v>
      </c>
      <c r="J24" s="41">
        <f t="shared" ca="1" si="8"/>
        <v>264.35489999999999</v>
      </c>
      <c r="K24" s="43">
        <f t="shared" ca="1" si="9"/>
        <v>12380.308880306389</v>
      </c>
      <c r="L24" s="43" t="str">
        <f ca="1">IF($A24="","",IF(COUNTIFS(Dividends!$G:$G,"&gt;"&amp;INT($A23),Dividends!$G:$G,"&lt;="&amp;INT($A24))=0,"",$H$2*SUMIFS(Dividends!$H:$H,Dividends!$G:$G,"&gt;"&amp;INT($A23),Dividends!$G:$G,"&lt;="&amp;INT($A24))))</f>
        <v/>
      </c>
      <c r="M24" s="44">
        <f ca="1">IF(ISERROR(B24-2),"",C24+D24-F24-G24-K24+SUM($L$14:L24))</f>
        <v>-116955.66394751451</v>
      </c>
      <c r="O24" s="3">
        <v>46078.625</v>
      </c>
      <c r="P24" s="4">
        <v>93.78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46078.625</v>
      </c>
      <c r="V24" s="3">
        <f t="shared" si="1"/>
        <v>46078.625</v>
      </c>
      <c r="W24" s="3">
        <v>46079.625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46065.625</v>
      </c>
      <c r="B25" s="40">
        <f ca="1">IF(COUNTIF($W$2:W1010,A25)=1,VLOOKUP(A25,O:P,2), IF(COUNTIF($W$2:W1010,A25)=0,$B$9,""))</f>
        <v>93.65</v>
      </c>
      <c r="C25" s="2">
        <f t="shared" ca="1" si="4"/>
        <v>-28803.072327711066</v>
      </c>
      <c r="D25" s="43">
        <f t="shared" ca="1" si="5"/>
        <v>-35333.333333333336</v>
      </c>
      <c r="E25" s="40">
        <f ca="1">IF(COUNTIF($W$2:W1010,A25)=1,VLOOKUP(A25,Q:R,2), IF(COUNTIF($W$2:W1010,A25)=0,$C$9,""))</f>
        <v>100.751</v>
      </c>
      <c r="F25" s="2">
        <f t="shared" ca="1" si="6"/>
        <v>41860.000000000349</v>
      </c>
      <c r="G25" s="43">
        <f t="shared" ca="1" si="7"/>
        <v>-163.62666666667064</v>
      </c>
      <c r="H25" s="40">
        <f ca="1">IF(COUNTIF($W$2:W1010,A25)=1,VLOOKUP(A25,S:T,2), IF(COUNTIF($W$2:W1010,A25)=0,$D$9,""))</f>
        <v>244.61799999999999</v>
      </c>
      <c r="I25" s="41">
        <f ca="1">IF(COUNTIF($X$2:X1010,INT(A25))=1,VLOOKUP(INT(A25),X:Y,2), IF(ISERROR(H25-2),"",I24*(1-$D$8*(H25-H24)*0.0001)))</f>
        <v>264.04489999999998</v>
      </c>
      <c r="J25" s="41">
        <f t="shared" ca="1" si="8"/>
        <v>264.04489999999998</v>
      </c>
      <c r="K25" s="43">
        <f t="shared" ca="1" si="9"/>
        <v>-9563.0630630648575</v>
      </c>
      <c r="L25" s="43" t="str">
        <f ca="1">IF($A25="","",IF(COUNTIFS(Dividends!$G:$G,"&gt;"&amp;INT($A24),Dividends!$G:$G,"&lt;="&amp;INT($A25))=0,"",$H$2*SUMIFS(Dividends!$H:$H,Dividends!$G:$G,"&gt;"&amp;INT($A24),Dividends!$G:$G,"&lt;="&amp;INT($A25))))</f>
        <v/>
      </c>
      <c r="M25" s="44">
        <f ca="1">IF(ISERROR(B25-2),"",C25+D25-F25-G25-K25+SUM($L$14:L25))</f>
        <v>-96269.715931313229</v>
      </c>
      <c r="O25" s="3">
        <v>46079.625</v>
      </c>
      <c r="P25" s="4">
        <v>93.67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46079.625</v>
      </c>
      <c r="V25" s="3">
        <f t="shared" si="1"/>
        <v>46079.625</v>
      </c>
      <c r="W25" s="3">
        <v>46080.625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46066.625</v>
      </c>
      <c r="B26" s="40">
        <f ca="1">IF(COUNTIF($W$2:W1011,A26)=1,VLOOKUP(A26,O:P,2), IF(COUNTIF($W$2:W1011,A26)=0,$B$9,""))</f>
        <v>93.55</v>
      </c>
      <c r="C26" s="2">
        <f t="shared" ca="1" si="4"/>
        <v>-60806.486025175574</v>
      </c>
      <c r="D26" s="43">
        <f t="shared" ca="1" si="5"/>
        <v>-37541.666666666664</v>
      </c>
      <c r="E26" s="40">
        <f ca="1">IF(COUNTIF($W$2:W1011,A26)=1,VLOOKUP(A26,Q:R,2), IF(COUNTIF($W$2:W1011,A26)=0,$C$9,""))</f>
        <v>100.819</v>
      </c>
      <c r="F26" s="2">
        <f t="shared" ca="1" si="6"/>
        <v>59539.999999999796</v>
      </c>
      <c r="G26" s="43">
        <f t="shared" ca="1" si="7"/>
        <v>-173.85333333333256</v>
      </c>
      <c r="H26" s="40">
        <f ca="1">IF(COUNTIF($W$2:W1011,A26)=1,VLOOKUP(A26,S:T,2), IF(COUNTIF($W$2:W1011,A26)=0,$D$9,""))</f>
        <v>247.57300000000001</v>
      </c>
      <c r="I26" s="41">
        <f ca="1">IF(COUNTIF($X$2:X1011,INT(A26))=1,VLOOKUP(INT(A26),X:Y,2), IF(ISERROR(H26-2),"",I25*(1-$D$8*(H26-H25)*0.0001)))</f>
        <v>263.8886</v>
      </c>
      <c r="J26" s="41">
        <f t="shared" ca="1" si="8"/>
        <v>263.8886</v>
      </c>
      <c r="K26" s="43">
        <f t="shared" ca="1" si="9"/>
        <v>-20626.769626771093</v>
      </c>
      <c r="L26" s="43" t="str">
        <f ca="1">IF($A26="","",IF(COUNTIFS(Dividends!$G:$G,"&gt;"&amp;INT($A25),Dividends!$G:$G,"&lt;="&amp;INT($A26))=0,"",$H$2*SUMIFS(Dividends!$H:$H,Dividends!$G:$G,"&gt;"&amp;INT($A25),Dividends!$G:$G,"&lt;="&amp;INT($A26))))</f>
        <v/>
      </c>
      <c r="M26" s="44">
        <f ca="1">IF(ISERROR(B26-2),"",C26+D26-F26-G26-K26+SUM($L$14:L26))</f>
        <v>-137087.5297317376</v>
      </c>
      <c r="O26" s="3">
        <v>46080.625</v>
      </c>
      <c r="P26" s="4">
        <v>93.58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46080.625</v>
      </c>
      <c r="V26" s="3">
        <f t="shared" si="1"/>
        <v>46080.625</v>
      </c>
      <c r="W26" s="3">
        <v>46083.625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46069.625</v>
      </c>
      <c r="B27" s="40">
        <f ca="1">IF(COUNTIF($W$2:W1012,A27)=1,VLOOKUP(A27,O:P,2), IF(COUNTIF($W$2:W1012,A27)=0,$B$9,""))</f>
        <v>93.55</v>
      </c>
      <c r="C27" s="2">
        <f t="shared" ca="1" si="4"/>
        <v>-60806.486025175574</v>
      </c>
      <c r="D27" s="43">
        <f t="shared" ca="1" si="5"/>
        <v>-44166.666666666664</v>
      </c>
      <c r="E27" s="40">
        <f ca="1">IF(COUNTIF($W$2:W1012,A27)=1,VLOOKUP(A27,Q:R,2), IF(COUNTIF($W$2:W1012,A27)=0,$C$9,""))</f>
        <v>100.827</v>
      </c>
      <c r="F27" s="2">
        <f t="shared" ca="1" si="6"/>
        <v>61619.999999998639</v>
      </c>
      <c r="G27" s="43">
        <f t="shared" ca="1" si="7"/>
        <v>-204.53333333333285</v>
      </c>
      <c r="H27" s="40">
        <f ca="1">IF(COUNTIF($W$2:W1012,A27)=1,VLOOKUP(A27,S:T,2), IF(COUNTIF($W$2:W1012,A27)=0,$D$9,""))</f>
        <v>248.94900000000001</v>
      </c>
      <c r="I27" s="41">
        <f ca="1">IF(COUNTIF($X$2:X1012,INT(A27))=1,VLOOKUP(INT(A27),X:Y,2), IF(ISERROR(H27-2),"",I26*(1-$D$8*(H27-H26)*0.0001)))</f>
        <v>263.76089999999999</v>
      </c>
      <c r="J27" s="41">
        <f t="shared" ca="1" si="8"/>
        <v>263.76089999999999</v>
      </c>
      <c r="K27" s="43">
        <f t="shared" ca="1" si="9"/>
        <v>-29666.023166023937</v>
      </c>
      <c r="L27" s="43" t="str">
        <f ca="1">IF($A27="","",IF(COUNTIFS(Dividends!$G:$G,"&gt;"&amp;INT($A26),Dividends!$G:$G,"&lt;="&amp;INT($A27))=0,"",$H$2*SUMIFS(Dividends!$H:$H,Dividends!$G:$G,"&gt;"&amp;INT($A26),Dividends!$G:$G,"&lt;="&amp;INT($A27))))</f>
        <v/>
      </c>
      <c r="M27" s="44">
        <f ca="1">IF(ISERROR(B27-2),"",C27+D27-F27-G27-K27+SUM($L$14:L27))</f>
        <v>-136722.59619248362</v>
      </c>
      <c r="O27" s="3">
        <v>46083.625</v>
      </c>
      <c r="P27" s="4">
        <v>93.24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46083.625</v>
      </c>
      <c r="V27" s="3">
        <f t="shared" si="1"/>
        <v>46083.625</v>
      </c>
      <c r="W27" s="3">
        <v>46084.625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46070.625</v>
      </c>
      <c r="B28" s="40">
        <f ca="1">IF(COUNTIF($W$2:W1013,A28)=1,VLOOKUP(A28,O:P,2), IF(COUNTIF($W$2:W1013,A28)=0,$B$9,""))</f>
        <v>93.48</v>
      </c>
      <c r="C28" s="2">
        <f t="shared" ca="1" si="4"/>
        <v>-83208.875613396405</v>
      </c>
      <c r="D28" s="43">
        <f t="shared" ca="1" si="5"/>
        <v>-46375</v>
      </c>
      <c r="E28" s="40">
        <f ca="1">IF(COUNTIF($W$2:W1013,A28)=1,VLOOKUP(A28,Q:R,2), IF(COUNTIF($W$2:W1013,A28)=0,$C$9,""))</f>
        <v>100.84399999999999</v>
      </c>
      <c r="F28" s="2">
        <f t="shared" ca="1" si="6"/>
        <v>66039.999999997584</v>
      </c>
      <c r="G28" s="43">
        <f t="shared" ca="1" si="7"/>
        <v>-214.76000000000204</v>
      </c>
      <c r="H28" s="40">
        <f ca="1">IF(COUNTIF($W$2:W1013,A28)=1,VLOOKUP(A28,S:T,2), IF(COUNTIF($W$2:W1013,A28)=0,$D$9,""))</f>
        <v>252.08199999999999</v>
      </c>
      <c r="I28" s="41">
        <f ca="1">IF(COUNTIF($X$2:X1013,INT(A28))=1,VLOOKUP(INT(A28),X:Y,2), IF(ISERROR(H28-2),"",I27*(1-$D$8*(H28-H27)*0.0001)))</f>
        <v>263.60289999999998</v>
      </c>
      <c r="J28" s="41">
        <f t="shared" ca="1" si="8"/>
        <v>263.60289999999998</v>
      </c>
      <c r="K28" s="43">
        <f t="shared" ca="1" si="9"/>
        <v>-40850.064350065528</v>
      </c>
      <c r="L28" s="43" t="str">
        <f ca="1">IF($A28="","",IF(COUNTIFS(Dividends!$G:$G,"&gt;"&amp;INT($A27),Dividends!$G:$G,"&lt;="&amp;INT($A28))=0,"",$H$2*SUMIFS(Dividends!$H:$H,Dividends!$G:$G,"&gt;"&amp;INT($A27),Dividends!$G:$G,"&lt;="&amp;INT($A28))))</f>
        <v/>
      </c>
      <c r="M28" s="44">
        <f ca="1">IF(ISERROR(B28-2),"",C28+D28-F28-G28-K28+SUM($L$14:L28))</f>
        <v>-154559.05126332847</v>
      </c>
      <c r="O28" s="3">
        <v>46084.625</v>
      </c>
      <c r="P28" s="4">
        <v>92.69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46084.625</v>
      </c>
      <c r="V28" s="3">
        <f t="shared" si="1"/>
        <v>46084.625</v>
      </c>
      <c r="W28" s="3">
        <v>46085.625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46071.625</v>
      </c>
      <c r="B29" s="40">
        <f ca="1">IF(COUNTIF($W$2:W1014,A29)=1,VLOOKUP(A29,O:P,2), IF(COUNTIF($W$2:W1014,A29)=0,$B$9,""))</f>
        <v>93.67</v>
      </c>
      <c r="C29" s="2">
        <f t="shared" ca="1" si="4"/>
        <v>-22402.389588220827</v>
      </c>
      <c r="D29" s="43">
        <f t="shared" ca="1" si="5"/>
        <v>-48583.333333333328</v>
      </c>
      <c r="E29" s="40">
        <f ca="1">IF(COUNTIF($W$2:W1014,A29)=1,VLOOKUP(A29,Q:R,2), IF(COUNTIF($W$2:W1014,A29)=0,$C$9,""))</f>
        <v>100.795</v>
      </c>
      <c r="F29" s="2">
        <f t="shared" ca="1" si="6"/>
        <v>53299.999999999556</v>
      </c>
      <c r="G29" s="43">
        <f t="shared" ca="1" si="7"/>
        <v>-224.98666666667123</v>
      </c>
      <c r="H29" s="40">
        <f ca="1">IF(COUNTIF($W$2:W1014,A29)=1,VLOOKUP(A29,S:T,2), IF(COUNTIF($W$2:W1014,A29)=0,$D$9,""))</f>
        <v>245.43600000000001</v>
      </c>
      <c r="I29" s="41">
        <f ca="1">IF(COUNTIF($X$2:X1014,INT(A29))=1,VLOOKUP(INT(A29),X:Y,2), IF(ISERROR(H29-2),"",I28*(1-$D$8*(H29-H28)*0.0001)))</f>
        <v>264.26510000000002</v>
      </c>
      <c r="J29" s="41">
        <f t="shared" ca="1" si="8"/>
        <v>264.26510000000002</v>
      </c>
      <c r="K29" s="43">
        <f t="shared" ca="1" si="9"/>
        <v>6023.8095238111637</v>
      </c>
      <c r="L29" s="43" t="str">
        <f ca="1">IF($A29="","",IF(COUNTIFS(Dividends!$G:$G,"&gt;"&amp;INT($A28),Dividends!$G:$G,"&lt;="&amp;INT($A29))=0,"",$H$2*SUMIFS(Dividends!$H:$H,Dividends!$G:$G,"&gt;"&amp;INT($A28),Dividends!$G:$G,"&lt;="&amp;INT($A29))))</f>
        <v/>
      </c>
      <c r="M29" s="44">
        <f ca="1">IF(ISERROR(B29-2),"",C29+D29-F29-G29-K29+SUM($L$14:L29))</f>
        <v>-130084.5457786982</v>
      </c>
      <c r="O29" s="3">
        <v>46085.625</v>
      </c>
      <c r="P29" s="4">
        <v>93.3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46085.625</v>
      </c>
      <c r="V29" s="3">
        <f t="shared" si="1"/>
        <v>46085.625</v>
      </c>
      <c r="W29" s="3">
        <v>46087.625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46072.625</v>
      </c>
      <c r="B30" s="40">
        <f ca="1">IF(COUNTIF($W$2:W1015,A30)=1,VLOOKUP(A30,O:P,2), IF(COUNTIF($W$2:W1015,A30)=0,$B$9,""))</f>
        <v>93.64</v>
      </c>
      <c r="C30" s="2">
        <f t="shared" ca="1" si="4"/>
        <v>-32003.413697457851</v>
      </c>
      <c r="D30" s="43">
        <f t="shared" ca="1" si="5"/>
        <v>-50791.666666666657</v>
      </c>
      <c r="E30" s="40">
        <f ca="1">IF(COUNTIF($W$2:W1015,A30)=1,VLOOKUP(A30,Q:R,2), IF(COUNTIF($W$2:W1015,A30)=0,$C$9,""))</f>
        <v>100.789</v>
      </c>
      <c r="F30" s="2">
        <f t="shared" ca="1" si="6"/>
        <v>51739.999999999491</v>
      </c>
      <c r="G30" s="43">
        <f t="shared" ca="1" si="7"/>
        <v>-235.21333333333314</v>
      </c>
      <c r="H30" s="40">
        <f ca="1">IF(COUNTIF($W$2:W1015,A30)=1,VLOOKUP(A30,S:T,2), IF(COUNTIF($W$2:W1015,A30)=0,$D$9,""))</f>
        <v>249.529</v>
      </c>
      <c r="I30" s="41">
        <f ca="1">IF(COUNTIF($X$2:X1015,INT(A30))=1,VLOOKUP(INT(A30),X:Y,2), IF(ISERROR(H30-2),"",I29*(1-$D$8*(H30-H29)*0.0001)))</f>
        <v>263.74880000000002</v>
      </c>
      <c r="J30" s="41">
        <f t="shared" ca="1" si="8"/>
        <v>263.74880000000002</v>
      </c>
      <c r="K30" s="43">
        <f t="shared" ca="1" si="9"/>
        <v>-30522.522522522089</v>
      </c>
      <c r="L30" s="43" t="str">
        <f ca="1">IF($A30="","",IF(COUNTIFS(Dividends!$G:$G,"&gt;"&amp;INT($A29),Dividends!$G:$G,"&lt;="&amp;INT($A30))=0,"",$H$2*SUMIFS(Dividends!$H:$H,Dividends!$G:$G,"&gt;"&amp;INT($A29),Dividends!$G:$G,"&lt;="&amp;INT($A30))))</f>
        <v/>
      </c>
      <c r="M30" s="44">
        <f ca="1">IF(ISERROR(B30-2),"",C30+D30-F30-G30-K30+SUM($L$14:L30))</f>
        <v>-103777.34450826856</v>
      </c>
      <c r="O30" s="3">
        <v>46087.625</v>
      </c>
      <c r="P30" s="4">
        <v>92.48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46087.625</v>
      </c>
      <c r="V30" s="3">
        <f t="shared" si="1"/>
        <v>46087.625</v>
      </c>
      <c r="W30" s="3">
        <v>46090.625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46073.625</v>
      </c>
      <c r="B31" s="40">
        <f ca="1">IF(COUNTIF($W$2:W1016,A31)=1,VLOOKUP(A31,O:P,2), IF(COUNTIF($W$2:W1016,A31)=0,$B$9,""))</f>
        <v>93.75</v>
      </c>
      <c r="C31" s="2">
        <f t="shared" ca="1" si="4"/>
        <v>3200.341369746784</v>
      </c>
      <c r="D31" s="43">
        <f t="shared" ca="1" si="5"/>
        <v>-53000</v>
      </c>
      <c r="E31" s="40">
        <f ca="1">IF(COUNTIF($W$2:W1016,A31)=1,VLOOKUP(A31,Q:R,2), IF(COUNTIF($W$2:W1016,A31)=0,$C$9,""))</f>
        <v>100.77500000000001</v>
      </c>
      <c r="F31" s="2">
        <f t="shared" ca="1" si="6"/>
        <v>48100.000000000589</v>
      </c>
      <c r="G31" s="43">
        <f t="shared" ca="1" si="7"/>
        <v>-245.44000000000233</v>
      </c>
      <c r="H31" s="40">
        <f ca="1">IF(COUNTIF($W$2:W1016,A31)=1,VLOOKUP(A31,S:T,2), IF(COUNTIF($W$2:W1016,A31)=0,$D$9,""))</f>
        <v>246.54499999999999</v>
      </c>
      <c r="I31" s="41">
        <f ca="1">IF(COUNTIF($X$2:X1016,INT(A31))=1,VLOOKUP(INT(A31),X:Y,2), IF(ISERROR(H31-2),"",I30*(1-$D$8*(H31-H30)*0.0001)))</f>
        <v>264.06599999999997</v>
      </c>
      <c r="J31" s="41">
        <f t="shared" ca="1" si="8"/>
        <v>264.06599999999997</v>
      </c>
      <c r="K31" s="43">
        <f t="shared" ca="1" si="9"/>
        <v>-8069.4980694998367</v>
      </c>
      <c r="L31" s="43" t="str">
        <f ca="1">IF($A31="","",IF(COUNTIFS(Dividends!$G:$G,"&gt;"&amp;INT($A30),Dividends!$G:$G,"&lt;="&amp;INT($A31))=0,"",$H$2*SUMIFS(Dividends!$H:$H,Dividends!$G:$G,"&gt;"&amp;INT($A30),Dividends!$G:$G,"&lt;="&amp;INT($A31))))</f>
        <v/>
      </c>
      <c r="M31" s="44">
        <f ca="1">IF(ISERROR(B31-2),"",C31+D31-F31-G31-K31+SUM($L$14:L31))</f>
        <v>-89584.720560753965</v>
      </c>
      <c r="O31" s="3">
        <v>46090.625</v>
      </c>
      <c r="P31" s="4">
        <v>92.3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46090.625</v>
      </c>
      <c r="V31" s="3">
        <f t="shared" si="1"/>
        <v>46090.625</v>
      </c>
      <c r="W31" s="3">
        <v>46091.625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46076.625</v>
      </c>
      <c r="B32" s="40">
        <f ca="1">IF(COUNTIF($W$2:W1017,A32)=1,VLOOKUP(A32,O:P,2), IF(COUNTIF($W$2:W1017,A32)=0,$B$9,""))</f>
        <v>93.75</v>
      </c>
      <c r="C32" s="2">
        <f t="shared" ca="1" si="4"/>
        <v>3200.341369746784</v>
      </c>
      <c r="D32" s="43">
        <f t="shared" ca="1" si="5"/>
        <v>-59624.999999999993</v>
      </c>
      <c r="E32" s="40">
        <f ca="1">IF(COUNTIF($W$2:W1017,A32)=1,VLOOKUP(A32,Q:R,2), IF(COUNTIF($W$2:W1017,A32)=0,$C$9,""))</f>
        <v>100.827</v>
      </c>
      <c r="F32" s="2">
        <f t="shared" ca="1" si="6"/>
        <v>61619.999999998639</v>
      </c>
      <c r="G32" s="43">
        <f t="shared" ca="1" si="7"/>
        <v>-276.12000000000262</v>
      </c>
      <c r="H32" s="40">
        <f ca="1">IF(COUNTIF($W$2:W1017,A32)=1,VLOOKUP(A32,S:T,2), IF(COUNTIF($W$2:W1017,A32)=0,$D$9,""))</f>
        <v>249.63800000000001</v>
      </c>
      <c r="I32" s="41">
        <f ca="1">IF(COUNTIF($X$2:X1017,INT(A32))=1,VLOOKUP(INT(A32),X:Y,2), IF(ISERROR(H32-2),"",I31*(1-$D$8*(H32-H31)*0.0001)))</f>
        <v>263.87049999999999</v>
      </c>
      <c r="J32" s="41">
        <f t="shared" ca="1" si="8"/>
        <v>263.87049999999999</v>
      </c>
      <c r="K32" s="43">
        <f t="shared" ca="1" si="9"/>
        <v>-21907.979407981184</v>
      </c>
      <c r="L32" s="43" t="str">
        <f ca="1">IF($A32="","",IF(COUNTIFS(Dividends!$G:$G,"&gt;"&amp;INT($A31),Dividends!$G:$G,"&lt;="&amp;INT($A32))=0,"",$H$2*SUMIFS(Dividends!$H:$H,Dividends!$G:$G,"&gt;"&amp;INT($A31),Dividends!$G:$G,"&lt;="&amp;INT($A32))))</f>
        <v/>
      </c>
      <c r="M32" s="44">
        <f ca="1">IF(ISERROR(B32-2),"",C32+D32-F32-G32-K32+SUM($L$14:L32))</f>
        <v>-95860.559222270676</v>
      </c>
      <c r="O32" s="3">
        <v>46091.625</v>
      </c>
      <c r="P32" s="4">
        <v>92.84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46091.625</v>
      </c>
      <c r="V32" s="3">
        <f t="shared" si="1"/>
        <v>46091.625</v>
      </c>
      <c r="W32" s="3">
        <v>46092.625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46077.625</v>
      </c>
      <c r="B33" s="40">
        <f ca="1">IF(COUNTIF($W$2:W1018,A33)=1,VLOOKUP(A33,O:P,2), IF(COUNTIF($W$2:W1018,A33)=0,$B$9,""))</f>
        <v>93.71</v>
      </c>
      <c r="C33" s="2">
        <f t="shared" ca="1" si="4"/>
        <v>-9601.0241092370215</v>
      </c>
      <c r="D33" s="43">
        <f t="shared" ca="1" si="5"/>
        <v>-61833.333333333336</v>
      </c>
      <c r="E33" s="40">
        <f ca="1">IF(COUNTIF($W$2:W1018,A33)=1,VLOOKUP(A33,Q:R,2), IF(COUNTIF($W$2:W1018,A33)=0,$C$9,""))</f>
        <v>100.815</v>
      </c>
      <c r="F33" s="2">
        <f t="shared" ca="1" si="6"/>
        <v>58499.999999998516</v>
      </c>
      <c r="G33" s="43">
        <f t="shared" ca="1" si="7"/>
        <v>-286.34666666666453</v>
      </c>
      <c r="H33" s="40">
        <f ca="1">IF(COUNTIF($W$2:W1018,A33)=1,VLOOKUP(A33,S:T,2), IF(COUNTIF($W$2:W1018,A33)=0,$D$9,""))</f>
        <v>252.33600000000001</v>
      </c>
      <c r="I33" s="41">
        <f ca="1">IF(COUNTIF($X$2:X1018,INT(A33))=1,VLOOKUP(INT(A33),X:Y,2), IF(ISERROR(H33-2),"",I32*(1-$D$8*(H33-H32)*0.0001)))</f>
        <v>263.58609999999999</v>
      </c>
      <c r="J33" s="41">
        <f t="shared" ca="1" si="8"/>
        <v>263.58609999999999</v>
      </c>
      <c r="K33" s="43">
        <f t="shared" ca="1" si="9"/>
        <v>-42039.253539253972</v>
      </c>
      <c r="L33" s="43" t="str">
        <f ca="1">IF($A33="","",IF(COUNTIFS(Dividends!$G:$G,"&gt;"&amp;INT($A32),Dividends!$G:$G,"&lt;="&amp;INT($A33))=0,"",$H$2*SUMIFS(Dividends!$H:$H,Dividends!$G:$G,"&gt;"&amp;INT($A32),Dividends!$G:$G,"&lt;="&amp;INT($A33))))</f>
        <v/>
      </c>
      <c r="M33" s="44">
        <f ca="1">IF(ISERROR(B33-2),"",C33+D33-F33-G33-K33+SUM($L$14:L33))</f>
        <v>-87608.757236648235</v>
      </c>
      <c r="O33" s="3">
        <v>46092.625</v>
      </c>
      <c r="P33" s="4">
        <v>92.41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>
        <f t="shared" si="0"/>
        <v>46092.625</v>
      </c>
      <c r="V33" s="3">
        <f t="shared" si="1"/>
        <v>46092.625</v>
      </c>
      <c r="W33" s="3">
        <v>46093.625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46078.625</v>
      </c>
      <c r="B34" s="40">
        <f ca="1">IF(COUNTIF($W$2:W1019,A34)=1,VLOOKUP(A34,O:P,2), IF(COUNTIF($W$2:W1019,A34)=0,$B$9,""))</f>
        <v>93.78</v>
      </c>
      <c r="C34" s="2">
        <f t="shared" ca="1" si="4"/>
        <v>12801.365478987136</v>
      </c>
      <c r="D34" s="43">
        <f t="shared" ca="1" si="5"/>
        <v>-64041.666666666672</v>
      </c>
      <c r="E34" s="40">
        <f ca="1">IF(COUNTIF($W$2:W1019,A34)=1,VLOOKUP(A34,Q:R,2), IF(COUNTIF($W$2:W1019,A34)=0,$C$9,""))</f>
        <v>100.824</v>
      </c>
      <c r="F34" s="2">
        <f t="shared" ca="1" si="6"/>
        <v>60839.999999998618</v>
      </c>
      <c r="G34" s="43">
        <f t="shared" ca="1" si="7"/>
        <v>-296.573333333341</v>
      </c>
      <c r="H34" s="40">
        <f ca="1">IF(COUNTIF($W$2:W1019,A34)=1,VLOOKUP(A34,S:T,2), IF(COUNTIF($W$2:W1019,A34)=0,$D$9,""))</f>
        <v>251.27199999999999</v>
      </c>
      <c r="I34" s="41">
        <f ca="1">IF(COUNTIF($X$2:X1019,INT(A34))=1,VLOOKUP(INT(A34),X:Y,2), IF(ISERROR(H34-2),"",I33*(1-$D$8*(H34-H33)*0.0001)))</f>
        <v>263.79109999999997</v>
      </c>
      <c r="J34" s="41">
        <f t="shared" ca="1" si="8"/>
        <v>263.79109999999997</v>
      </c>
      <c r="K34" s="43">
        <f t="shared" ca="1" si="9"/>
        <v>-27528.314028315694</v>
      </c>
      <c r="L34" s="43" t="str">
        <f ca="1">IF($A34="","",IF(COUNTIFS(Dividends!$G:$G,"&gt;"&amp;INT($A33),Dividends!$G:$G,"&lt;="&amp;INT($A34))=0,"",$H$2*SUMIFS(Dividends!$H:$H,Dividends!$G:$G,"&gt;"&amp;INT($A33),Dividends!$G:$G,"&lt;="&amp;INT($A34))))</f>
        <v/>
      </c>
      <c r="M34" s="44">
        <f ca="1">IF(ISERROR(B34-2),"",C34+D34-F34-G34-K34+SUM($L$14:L34))</f>
        <v>-84255.413826029122</v>
      </c>
      <c r="O34" s="3">
        <v>46093.625</v>
      </c>
      <c r="P34" s="4">
        <v>92.08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46093.625</v>
      </c>
      <c r="V34" s="3">
        <f t="shared" si="1"/>
        <v>46093.625</v>
      </c>
      <c r="W34" s="3">
        <v>46094.625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46079.625</v>
      </c>
      <c r="B35" s="40">
        <f ca="1">IF(COUNTIF($W$2:W1020,A35)=1,VLOOKUP(A35,O:P,2), IF(COUNTIF($W$2:W1020,A35)=0,$B$9,""))</f>
        <v>93.67</v>
      </c>
      <c r="C35" s="2">
        <f t="shared" ca="1" si="4"/>
        <v>-22402.389588220827</v>
      </c>
      <c r="D35" s="43">
        <f t="shared" ca="1" si="5"/>
        <v>-66249.999999999985</v>
      </c>
      <c r="E35" s="40">
        <f ca="1">IF(COUNTIF($W$2:W1020,A35)=1,VLOOKUP(A35,Q:R,2), IF(COUNTIF($W$2:W1020,A35)=0,$C$9,""))</f>
        <v>100.834</v>
      </c>
      <c r="F35" s="2">
        <f t="shared" ca="1" si="6"/>
        <v>63439.999999999942</v>
      </c>
      <c r="G35" s="43">
        <f t="shared" ca="1" si="7"/>
        <v>-306.80000000000291</v>
      </c>
      <c r="H35" s="40">
        <f ca="1">IF(COUNTIF($W$2:W1020,A35)=1,VLOOKUP(A35,S:T,2), IF(COUNTIF($W$2:W1020,A35)=0,$D$9,""))</f>
        <v>252.99199999999999</v>
      </c>
      <c r="I35" s="41">
        <f ca="1">IF(COUNTIF($X$2:X1020,INT(A35))=1,VLOOKUP(INT(A35),X:Y,2), IF(ISERROR(H35-2),"",I34*(1-$D$8*(H35-H34)*0.0001)))</f>
        <v>263.42880000000002</v>
      </c>
      <c r="J35" s="41">
        <f t="shared" ca="1" si="8"/>
        <v>263.42880000000002</v>
      </c>
      <c r="K35" s="43">
        <f t="shared" ca="1" si="9"/>
        <v>-53173.745173744494</v>
      </c>
      <c r="L35" s="43" t="str">
        <f ca="1">IF($A35="","",IF(COUNTIFS(Dividends!$G:$G,"&gt;"&amp;INT($A34),Dividends!$G:$G,"&lt;="&amp;INT($A35))=0,"",$H$2*SUMIFS(Dividends!$H:$H,Dividends!$G:$G,"&gt;"&amp;INT($A34),Dividends!$G:$G,"&lt;="&amp;INT($A35))))</f>
        <v/>
      </c>
      <c r="M35" s="44">
        <f ca="1">IF(ISERROR(B35-2),"",C35+D35-F35-G35-K35+SUM($L$14:L35))</f>
        <v>-98611.844414476262</v>
      </c>
      <c r="O35" s="3">
        <v>46094.625</v>
      </c>
      <c r="P35" s="4">
        <v>91.86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46094.625</v>
      </c>
      <c r="V35" s="3">
        <f t="shared" si="1"/>
        <v>46094.625</v>
      </c>
      <c r="W35" s="3">
        <v>46097.625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46080.625</v>
      </c>
      <c r="B36" s="40">
        <f ca="1">IF(COUNTIF($W$2:W1021,A36)=1,VLOOKUP(A36,O:P,2), IF(COUNTIF($W$2:W1021,A36)=0,$B$9,""))</f>
        <v>93.58</v>
      </c>
      <c r="C36" s="2">
        <f t="shared" ca="1" si="4"/>
        <v>-51205.461915935222</v>
      </c>
      <c r="D36" s="43">
        <f t="shared" ca="1" si="5"/>
        <v>-68458.333333333328</v>
      </c>
      <c r="E36" s="40">
        <f ca="1">IF(COUNTIF($W$2:W1021,A36)=1,VLOOKUP(A36,Q:R,2), IF(COUNTIF($W$2:W1021,A36)=0,$C$9,""))</f>
        <v>100.923</v>
      </c>
      <c r="F36" s="2">
        <f t="shared" ca="1" si="6"/>
        <v>86579.999999999578</v>
      </c>
      <c r="G36" s="43">
        <f t="shared" ca="1" si="7"/>
        <v>-317.02666666666482</v>
      </c>
      <c r="H36" s="40">
        <f ca="1">IF(COUNTIF($W$2:W1021,A36)=1,VLOOKUP(A36,S:T,2), IF(COUNTIF($W$2:W1021,A36)=0,$D$9,""))</f>
        <v>260.255</v>
      </c>
      <c r="I36" s="41">
        <f ca="1">IF(COUNTIF($X$2:X1021,INT(A36))=1,VLOOKUP(INT(A36),X:Y,2), IF(ISERROR(H36-2),"",I35*(1-$D$8*(H36-H35)*0.0001)))</f>
        <v>262.72750000000002</v>
      </c>
      <c r="J36" s="41">
        <f t="shared" ca="1" si="8"/>
        <v>262.72750000000002</v>
      </c>
      <c r="K36" s="43">
        <f t="shared" ca="1" si="9"/>
        <v>-102815.31531531371</v>
      </c>
      <c r="L36" s="43" t="str">
        <f ca="1">IF($A36="","",IF(COUNTIFS(Dividends!$G:$G,"&gt;"&amp;INT($A35),Dividends!$G:$G,"&lt;="&amp;INT($A36))=0,"",$H$2*SUMIFS(Dividends!$H:$H,Dividends!$G:$G,"&gt;"&amp;INT($A35),Dividends!$G:$G,"&lt;="&amp;INT($A36))))</f>
        <v/>
      </c>
      <c r="M36" s="44">
        <f ca="1">IF(ISERROR(B36-2),"",C36+D36-F36-G36-K36+SUM($L$14:L36))</f>
        <v>-103111.45326728774</v>
      </c>
      <c r="O36" s="3">
        <v>46097.625</v>
      </c>
      <c r="P36" s="4">
        <v>91.95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46097.625</v>
      </c>
      <c r="V36" s="3">
        <f t="shared" si="1"/>
        <v>46097.625</v>
      </c>
      <c r="W36" s="3">
        <v>46098.625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46083.625</v>
      </c>
      <c r="B37" s="40">
        <f ca="1">IF(COUNTIF($W$2:W1022,A37)=1,VLOOKUP(A37,O:P,2), IF(COUNTIF($W$2:W1022,A37)=0,$B$9,""))</f>
        <v>93.24</v>
      </c>
      <c r="C37" s="2">
        <f t="shared" ca="1" si="4"/>
        <v>-160017.06848730589</v>
      </c>
      <c r="D37" s="43">
        <f t="shared" ca="1" si="5"/>
        <v>-75083.333333333328</v>
      </c>
      <c r="E37" s="40">
        <f ca="1">IF(COUNTIF($W$2:W1022,A37)=1,VLOOKUP(A37,Q:R,2), IF(COUNTIF($W$2:W1022,A37)=0,$C$9,""))</f>
        <v>100.748</v>
      </c>
      <c r="F37" s="2">
        <f t="shared" ca="1" si="6"/>
        <v>41080.000000000327</v>
      </c>
      <c r="G37" s="43">
        <f t="shared" ca="1" si="7"/>
        <v>-347.70666666666511</v>
      </c>
      <c r="H37" s="40">
        <f ca="1">IF(COUNTIF($W$2:W1022,A37)=1,VLOOKUP(A37,S:T,2), IF(COUNTIF($W$2:W1022,A37)=0,$D$9,""))</f>
        <v>267.18200000000002</v>
      </c>
      <c r="I37" s="41">
        <f ca="1">IF(COUNTIF($X$2:X1022,INT(A37))=1,VLOOKUP(INT(A37),X:Y,2), IF(ISERROR(H37-2),"",I36*(1-$D$8*(H37-H36)*0.0001)))</f>
        <v>262.18009999999998</v>
      </c>
      <c r="J37" s="41">
        <f t="shared" ca="1" si="8"/>
        <v>262.18009999999998</v>
      </c>
      <c r="K37" s="43">
        <f t="shared" ca="1" si="9"/>
        <v>-141563.06306306523</v>
      </c>
      <c r="L37" s="43" t="str">
        <f ca="1">IF($A37="","",IF(COUNTIFS(Dividends!$G:$G,"&gt;"&amp;INT($A36),Dividends!$G:$G,"&lt;="&amp;INT($A37))=0,"",$H$2*SUMIFS(Dividends!$H:$H,Dividends!$G:$G,"&gt;"&amp;INT($A36),Dividends!$G:$G,"&lt;="&amp;INT($A37))))</f>
        <v/>
      </c>
      <c r="M37" s="44">
        <f ca="1">IF(ISERROR(B37-2),"",C37+D37-F37-G37-K37+SUM($L$14:L37))</f>
        <v>-134269.63209090766</v>
      </c>
      <c r="O37" s="3">
        <v>46098.625</v>
      </c>
      <c r="P37" s="4">
        <v>92.21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46098.625</v>
      </c>
      <c r="V37" s="3">
        <f t="shared" si="1"/>
        <v>46098.625</v>
      </c>
      <c r="W37" s="3">
        <v>46099.625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46084.625</v>
      </c>
      <c r="B38" s="40">
        <f ca="1">IF(COUNTIF($W$2:W1023,A38)=1,VLOOKUP(A38,O:P,2), IF(COUNTIF($W$2:W1023,A38)=0,$B$9,""))</f>
        <v>92.69</v>
      </c>
      <c r="C38" s="2">
        <f t="shared" ca="1" si="4"/>
        <v>-336035.84382333909</v>
      </c>
      <c r="D38" s="43">
        <f t="shared" ca="1" si="5"/>
        <v>-77291.666666666672</v>
      </c>
      <c r="E38" s="40">
        <f ca="1">IF(COUNTIF($W$2:W1023,A38)=1,VLOOKUP(A38,Q:R,2), IF(COUNTIF($W$2:W1023,A38)=0,$C$9,""))</f>
        <v>100.50700000000001</v>
      </c>
      <c r="F38" s="2">
        <f t="shared" ca="1" si="6"/>
        <v>-21579.999999999585</v>
      </c>
      <c r="G38" s="43">
        <f t="shared" ca="1" si="7"/>
        <v>-357.9333333333343</v>
      </c>
      <c r="H38" s="40">
        <f ca="1">IF(COUNTIF($W$2:W1023,A38)=1,VLOOKUP(A38,S:T,2), IF(COUNTIF($W$2:W1023,A38)=0,$D$9,""))</f>
        <v>279.875</v>
      </c>
      <c r="I38" s="41">
        <f ca="1">IF(COUNTIF($X$2:X1023,INT(A38))=1,VLOOKUP(INT(A38),X:Y,2), IF(ISERROR(H38-2),"",I37*(1-$D$8*(H38-H37)*0.0001)))</f>
        <v>260.81470000000002</v>
      </c>
      <c r="J38" s="41">
        <f t="shared" ca="1" si="8"/>
        <v>260.81470000000002</v>
      </c>
      <c r="K38" s="43">
        <f t="shared" ca="1" si="9"/>
        <v>-238212.99871299713</v>
      </c>
      <c r="L38" s="43" t="str">
        <f ca="1">IF($A38="","",IF(COUNTIFS(Dividends!$G:$G,"&gt;"&amp;INT($A37),Dividends!$G:$G,"&lt;="&amp;INT($A38))=0,"",$H$2*SUMIFS(Dividends!$H:$H,Dividends!$G:$G,"&gt;"&amp;INT($A37),Dividends!$G:$G,"&lt;="&amp;INT($A38))))</f>
        <v/>
      </c>
      <c r="M38" s="44">
        <f ca="1">IF(ISERROR(B38-2),"",C38+D38-F38-G38-K38+SUM($L$14:L38))</f>
        <v>-153176.57844367571</v>
      </c>
      <c r="O38" s="3">
        <v>46099.625</v>
      </c>
      <c r="P38" s="4">
        <v>92.17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46099.625</v>
      </c>
      <c r="V38" s="3">
        <f t="shared" si="1"/>
        <v>46099.625</v>
      </c>
      <c r="W38" s="3">
        <v>46100.625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46085.625</v>
      </c>
      <c r="B39" s="40">
        <f ca="1">IF(COUNTIF($W$2:W1024,A39)=1,VLOOKUP(A39,O:P,2), IF(COUNTIF($W$2:W1024,A39)=0,$B$9,""))</f>
        <v>93.3</v>
      </c>
      <c r="C39" s="2">
        <f t="shared" ca="1" si="4"/>
        <v>-140815.02026882852</v>
      </c>
      <c r="D39" s="43">
        <f t="shared" ca="1" si="5"/>
        <v>-79500</v>
      </c>
      <c r="E39" s="40">
        <f ca="1">IF(COUNTIF($W$2:W1024,A39)=1,VLOOKUP(A39,Q:R,2), IF(COUNTIF($W$2:W1024,A39)=0,$C$9,""))</f>
        <v>100.57899999999999</v>
      </c>
      <c r="F39" s="2">
        <f t="shared" ca="1" si="6"/>
        <v>-2860.0000000025716</v>
      </c>
      <c r="G39" s="43">
        <f t="shared" ca="1" si="7"/>
        <v>-368.16000000000349</v>
      </c>
      <c r="H39" s="40">
        <f ca="1">IF(COUNTIF($W$2:W1024,A39)=1,VLOOKUP(A39,S:T,2), IF(COUNTIF($W$2:W1024,A39)=0,$D$9,""))</f>
        <v>265.24</v>
      </c>
      <c r="I39" s="41">
        <f ca="1">IF(COUNTIF($X$2:X1024,INT(A39))=1,VLOOKUP(INT(A39),X:Y,2), IF(ISERROR(H39-2),"",I38*(1-$D$8*(H39-H38)*0.0001)))</f>
        <v>262.13139999999999</v>
      </c>
      <c r="J39" s="41">
        <f t="shared" ca="1" si="8"/>
        <v>262.13139999999999</v>
      </c>
      <c r="K39" s="43">
        <f t="shared" ca="1" si="9"/>
        <v>-145010.29601029726</v>
      </c>
      <c r="L39" s="43" t="str">
        <f ca="1">IF($A39="","",IF(COUNTIFS(Dividends!$G:$G,"&gt;"&amp;INT($A38),Dividends!$G:$G,"&lt;="&amp;INT($A39))=0,"",$H$2*SUMIFS(Dividends!$H:$H,Dividends!$G:$G,"&gt;"&amp;INT($A38),Dividends!$G:$G,"&lt;="&amp;INT($A39))))</f>
        <v/>
      </c>
      <c r="M39" s="44">
        <f ca="1">IF(ISERROR(B39-2),"",C39+D39-F39-G39-K39+SUM($L$14:L39))</f>
        <v>-72076.564258528699</v>
      </c>
      <c r="O39" s="3">
        <v>46100.625</v>
      </c>
      <c r="P39" s="4">
        <v>89.42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46100.625</v>
      </c>
      <c r="V39" s="3">
        <f t="shared" si="1"/>
        <v>46100.625</v>
      </c>
      <c r="W39" s="3">
        <v>46101.625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46087.625</v>
      </c>
      <c r="B40" s="40">
        <f ca="1">IF(COUNTIF($W$2:W1025,A40)=1,VLOOKUP(A40,O:P,2), IF(COUNTIF($W$2:W1025,A40)=0,$B$9,""))</f>
        <v>92.48</v>
      </c>
      <c r="C40" s="2">
        <f t="shared" ca="1" si="4"/>
        <v>-403243.01258800487</v>
      </c>
      <c r="D40" s="43">
        <f t="shared" ca="1" si="5"/>
        <v>-83916.666666666672</v>
      </c>
      <c r="E40" s="40">
        <f ca="1">IF(COUNTIF($W$2:W1025,A40)=1,VLOOKUP(A40,Q:R,2), IF(COUNTIF($W$2:W1025,A40)=0,$C$9,""))</f>
        <v>100.179</v>
      </c>
      <c r="F40" s="2">
        <f t="shared" ca="1" si="6"/>
        <v>-106860.00000000036</v>
      </c>
      <c r="G40" s="43">
        <f t="shared" ca="1" si="7"/>
        <v>-388.61333333332732</v>
      </c>
      <c r="H40" s="40">
        <f ca="1">IF(COUNTIF($W$2:W1025,A40)=1,VLOOKUP(A40,S:T,2), IF(COUNTIF($W$2:W1025,A40)=0,$D$9,""))</f>
        <v>288.95600000000002</v>
      </c>
      <c r="I40" s="41">
        <f ca="1">IF(COUNTIF($X$2:X1025,INT(A40))=1,VLOOKUP(INT(A40),X:Y,2), IF(ISERROR(H40-2),"",I39*(1-$D$8*(H40-H39)*0.0001)))</f>
        <v>259.30169999999998</v>
      </c>
      <c r="J40" s="41">
        <f t="shared" ca="1" si="8"/>
        <v>259.30169999999998</v>
      </c>
      <c r="K40" s="43">
        <f t="shared" ca="1" si="9"/>
        <v>-345310.81081081199</v>
      </c>
      <c r="L40" s="43" t="str">
        <f ca="1">IF($A40="","",IF(COUNTIFS(Dividends!$G:$G,"&gt;"&amp;INT($A39),Dividends!$G:$G,"&lt;="&amp;INT($A40))=0,"",$H$2*SUMIFS(Dividends!$H:$H,Dividends!$G:$G,"&gt;"&amp;INT($A39),Dividends!$G:$G,"&lt;="&amp;INT($A40))))</f>
        <v/>
      </c>
      <c r="M40" s="44">
        <f ca="1">IF(ISERROR(B40-2),"",C40+D40-F40-G40-K40+SUM($L$14:L40))</f>
        <v>-34600.255110525875</v>
      </c>
      <c r="O40" s="3">
        <v>46101.625</v>
      </c>
      <c r="P40" s="4">
        <v>89.08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46101.625</v>
      </c>
      <c r="V40" s="3">
        <f t="shared" si="1"/>
        <v>46101.625</v>
      </c>
      <c r="W40" s="3">
        <v>46104.625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46090.625</v>
      </c>
      <c r="B41" s="40">
        <f ca="1">IF(COUNTIF($W$2:W1026,A41)=1,VLOOKUP(A41,O:P,2), IF(COUNTIF($W$2:W1026,A41)=0,$B$9,""))</f>
        <v>92.3</v>
      </c>
      <c r="C41" s="2">
        <f t="shared" ca="1" si="4"/>
        <v>-460849.15724343702</v>
      </c>
      <c r="D41" s="43">
        <f t="shared" ca="1" si="5"/>
        <v>-90541.666666666672</v>
      </c>
      <c r="E41" s="40">
        <f ca="1">IF(COUNTIF($W$2:W1026,A41)=1,VLOOKUP(A41,Q:R,2), IF(COUNTIF($W$2:W1026,A41)=0,$C$9,""))</f>
        <v>100.143</v>
      </c>
      <c r="F41" s="2">
        <f t="shared" ca="1" si="6"/>
        <v>-116220.0000000007</v>
      </c>
      <c r="G41" s="43">
        <f t="shared" ca="1" si="7"/>
        <v>-419.29333333333489</v>
      </c>
      <c r="H41" s="40">
        <f ca="1">IF(COUNTIF($W$2:W1026,A41)=1,VLOOKUP(A41,S:T,2), IF(COUNTIF($W$2:W1026,A41)=0,$D$9,""))</f>
        <v>293.44200000000001</v>
      </c>
      <c r="I41" s="41">
        <f ca="1">IF(COUNTIF($X$2:X1026,INT(A41))=1,VLOOKUP(INT(A41),X:Y,2), IF(ISERROR(H41-2),"",I40*(1-$D$8*(H41-H40)*0.0001)))</f>
        <v>259.07319999999999</v>
      </c>
      <c r="J41" s="41">
        <f t="shared" ca="1" si="8"/>
        <v>259.07319999999999</v>
      </c>
      <c r="K41" s="43">
        <f t="shared" ca="1" si="9"/>
        <v>-361485.19948520174</v>
      </c>
      <c r="L41" s="43" t="str">
        <f ca="1">IF($A41="","",IF(COUNTIFS(Dividends!$G:$G,"&gt;"&amp;INT($A40),Dividends!$G:$G,"&lt;="&amp;INT($A41))=0,"",$H$2*SUMIFS(Dividends!$H:$H,Dividends!$G:$G,"&gt;"&amp;INT($A40),Dividends!$G:$G,"&lt;="&amp;INT($A41))))</f>
        <v/>
      </c>
      <c r="M41" s="44">
        <f ca="1">IF(ISERROR(B41-2),"",C41+D41-F41-G41-K41+SUM($L$14:L41))</f>
        <v>-73266.331091567874</v>
      </c>
      <c r="O41" s="3">
        <v>46104.625</v>
      </c>
      <c r="P41" s="4">
        <v>89.33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46104.625</v>
      </c>
      <c r="V41" s="3">
        <f t="shared" si="1"/>
        <v>46104.625</v>
      </c>
      <c r="W41" s="3">
        <v>46105.625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46091.625</v>
      </c>
      <c r="B42" s="40">
        <f ca="1">IF(COUNTIF($W$2:W1027,A42)=1,VLOOKUP(A42,O:P,2), IF(COUNTIF($W$2:W1027,A42)=0,$B$9,""))</f>
        <v>92.84</v>
      </c>
      <c r="C42" s="2">
        <f t="shared" ca="1" si="4"/>
        <v>-288030.72327714728</v>
      </c>
      <c r="D42" s="43">
        <f t="shared" ca="1" si="5"/>
        <v>-92750</v>
      </c>
      <c r="E42" s="40">
        <f ca="1">IF(COUNTIF($W$2:W1027,A42)=1,VLOOKUP(A42,Q:R,2), IF(COUNTIF($W$2:W1027,A42)=0,$C$9,""))</f>
        <v>100.342</v>
      </c>
      <c r="F42" s="2">
        <f t="shared" ca="1" si="6"/>
        <v>-64480.000000001208</v>
      </c>
      <c r="G42" s="43">
        <f t="shared" ca="1" si="7"/>
        <v>-429.52000000000407</v>
      </c>
      <c r="H42" s="40">
        <f ca="1">IF(COUNTIF($W$2:W1027,A42)=1,VLOOKUP(A42,S:T,2), IF(COUNTIF($W$2:W1027,A42)=0,$D$9,""))</f>
        <v>273.53199999999998</v>
      </c>
      <c r="I42" s="41">
        <f ca="1">IF(COUNTIF($X$2:X1027,INT(A42))=1,VLOOKUP(INT(A42),X:Y,2), IF(ISERROR(H42-2),"",I41*(1-$D$8*(H42-H41)*0.0001)))</f>
        <v>261.08800000000002</v>
      </c>
      <c r="J42" s="41">
        <f t="shared" ca="1" si="8"/>
        <v>261.08800000000002</v>
      </c>
      <c r="K42" s="43">
        <f t="shared" ca="1" si="9"/>
        <v>-218867.43886743821</v>
      </c>
      <c r="L42" s="43" t="str">
        <f ca="1">IF($A42="","",IF(COUNTIFS(Dividends!$G:$G,"&gt;"&amp;INT($A41),Dividends!$G:$G,"&lt;="&amp;INT($A42))=0,"",$H$2*SUMIFS(Dividends!$H:$H,Dividends!$G:$G,"&gt;"&amp;INT($A41),Dividends!$G:$G,"&lt;="&amp;INT($A42))))</f>
        <v/>
      </c>
      <c r="M42" s="44">
        <f ca="1">IF(ISERROR(B42-2),"",C42+D42-F42-G42-K42+SUM($L$14:L42))</f>
        <v>-97003.76440970783</v>
      </c>
      <c r="O42" s="3">
        <v>46105.625</v>
      </c>
      <c r="P42" s="4">
        <v>89.26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46105.625</v>
      </c>
      <c r="V42" s="3">
        <f t="shared" si="1"/>
        <v>46105.625</v>
      </c>
      <c r="W42" s="3">
        <v>46106.625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46092.625</v>
      </c>
      <c r="B43" s="40">
        <f ca="1">IF(COUNTIF($W$2:W1028,A43)=1,VLOOKUP(A43,O:P,2), IF(COUNTIF($W$2:W1028,A43)=0,$B$9,""))</f>
        <v>92.41</v>
      </c>
      <c r="C43" s="2">
        <f t="shared" ca="1" si="4"/>
        <v>-425645.40217623237</v>
      </c>
      <c r="D43" s="43">
        <f t="shared" ca="1" si="5"/>
        <v>-94958.333333333328</v>
      </c>
      <c r="E43" s="40">
        <f ca="1">IF(COUNTIF($W$2:W1028,A43)=1,VLOOKUP(A43,Q:R,2), IF(COUNTIF($W$2:W1028,A43)=0,$C$9,""))</f>
        <v>99.995000000000005</v>
      </c>
      <c r="F43" s="2">
        <f t="shared" ca="1" si="6"/>
        <v>-154699.99999999971</v>
      </c>
      <c r="G43" s="43">
        <f t="shared" ca="1" si="7"/>
        <v>-439.74666666667326</v>
      </c>
      <c r="H43" s="40">
        <f ca="1">IF(COUNTIF($W$2:W1028,A43)=1,VLOOKUP(A43,S:T,2), IF(COUNTIF($W$2:W1028,A43)=0,$D$9,""))</f>
        <v>289.27199999999999</v>
      </c>
      <c r="I43" s="41">
        <f ca="1">IF(COUNTIF($X$2:X1028,INT(A43))=1,VLOOKUP(INT(A43),X:Y,2), IF(ISERROR(H43-2),"",I42*(1-$D$8*(H43-H42)*0.0001)))</f>
        <v>259.59120000000001</v>
      </c>
      <c r="J43" s="41">
        <f t="shared" ca="1" si="8"/>
        <v>259.59120000000001</v>
      </c>
      <c r="K43" s="43">
        <f t="shared" ca="1" si="9"/>
        <v>-324818.53281853313</v>
      </c>
      <c r="L43" s="43" t="str">
        <f ca="1">IF($A43="","",IF(COUNTIFS(Dividends!$G:$G,"&gt;"&amp;INT($A42),Dividends!$G:$G,"&lt;="&amp;INT($A43))=0,"",$H$2*SUMIFS(Dividends!$H:$H,Dividends!$G:$G,"&gt;"&amp;INT($A42),Dividends!$G:$G,"&lt;="&amp;INT($A43))))</f>
        <v/>
      </c>
      <c r="M43" s="44">
        <f ca="1">IF(ISERROR(B43-2),"",C43+D43-F43-G43-K43+SUM($L$14:L43))</f>
        <v>-40645.456024366198</v>
      </c>
      <c r="O43" s="3">
        <v>46106.625</v>
      </c>
      <c r="P43" s="4">
        <v>89.54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46106.625</v>
      </c>
      <c r="V43" s="3">
        <f t="shared" si="1"/>
        <v>46106.625</v>
      </c>
      <c r="W43" s="3">
        <v>46107.625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46093.625</v>
      </c>
      <c r="B44" s="40">
        <f ca="1">IF(COUNTIF($W$2:W1029,A44)=1,VLOOKUP(A44,O:P,2), IF(COUNTIF($W$2:W1029,A44)=0,$B$9,""))</f>
        <v>92.08</v>
      </c>
      <c r="C44" s="2">
        <f t="shared" ca="1" si="4"/>
        <v>-531256.66737785295</v>
      </c>
      <c r="D44" s="43">
        <f t="shared" ca="1" si="5"/>
        <v>-97166.666666666657</v>
      </c>
      <c r="E44" s="40">
        <f ca="1">IF(COUNTIF($W$2:W1029,A44)=1,VLOOKUP(A44,Q:R,2), IF(COUNTIF($W$2:W1029,A44)=0,$C$9,""))</f>
        <v>99.95</v>
      </c>
      <c r="F44" s="2">
        <f t="shared" ca="1" si="6"/>
        <v>-166400.00000000015</v>
      </c>
      <c r="G44" s="43">
        <f t="shared" ca="1" si="7"/>
        <v>-449.97333333334245</v>
      </c>
      <c r="H44" s="40">
        <f ca="1">IF(COUNTIF($W$2:W1029,A44)=1,VLOOKUP(A44,S:T,2), IF(COUNTIF($W$2:W1029,A44)=0,$D$9,""))</f>
        <v>296.22500000000002</v>
      </c>
      <c r="I44" s="41">
        <f ca="1">IF(COUNTIF($X$2:X1029,INT(A44))=1,VLOOKUP(INT(A44),X:Y,2), IF(ISERROR(H44-2),"",I43*(1-$D$8*(H44-H43)*0.0001)))</f>
        <v>258.51130000000001</v>
      </c>
      <c r="J44" s="41">
        <f t="shared" ca="1" si="8"/>
        <v>258.51130000000001</v>
      </c>
      <c r="K44" s="43">
        <f t="shared" ca="1" si="9"/>
        <v>-401259.33075933158</v>
      </c>
      <c r="L44" s="43" t="str">
        <f ca="1">IF($A44="","",IF(COUNTIFS(Dividends!$G:$G,"&gt;"&amp;INT($A43),Dividends!$G:$G,"&lt;="&amp;INT($A44))=0,"",$H$2*SUMIFS(Dividends!$H:$H,Dividends!$G:$G,"&gt;"&amp;INT($A43),Dividends!$G:$G,"&lt;="&amp;INT($A44))))</f>
        <v/>
      </c>
      <c r="M44" s="44">
        <f ca="1">IF(ISERROR(B44-2),"",C44+D44-F44-G44-K44+SUM($L$14:L44))</f>
        <v>-60314.029951854551</v>
      </c>
      <c r="O44" s="3">
        <v>46107.625</v>
      </c>
      <c r="P44" s="4">
        <v>89.29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>
        <f t="shared" si="0"/>
        <v>46107.625</v>
      </c>
      <c r="V44" s="3">
        <f t="shared" si="1"/>
        <v>46107.625</v>
      </c>
      <c r="W44" s="3">
        <v>46108.625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46094.625</v>
      </c>
      <c r="B45" s="40">
        <f ca="1">IF(COUNTIF($W$2:W1030,A45)=1,VLOOKUP(A45,O:P,2), IF(COUNTIF($W$2:W1030,A45)=0,$B$9,""))</f>
        <v>91.86</v>
      </c>
      <c r="C45" s="2">
        <f t="shared" ca="1" si="4"/>
        <v>-601664.17751226551</v>
      </c>
      <c r="D45" s="43">
        <f t="shared" ca="1" si="5"/>
        <v>-99375</v>
      </c>
      <c r="E45" s="40">
        <f ca="1">IF(COUNTIF($W$2:W1030,A45)=1,VLOOKUP(A45,Q:R,2), IF(COUNTIF($W$2:W1030,A45)=0,$C$9,""))</f>
        <v>99.905000000000001</v>
      </c>
      <c r="F45" s="2">
        <f t="shared" ca="1" si="6"/>
        <v>-178100.00000000058</v>
      </c>
      <c r="G45" s="43">
        <f t="shared" ca="1" si="7"/>
        <v>-460.19999999999709</v>
      </c>
      <c r="H45" s="40">
        <f ca="1">IF(COUNTIF($W$2:W1030,A45)=1,VLOOKUP(A45,S:T,2), IF(COUNTIF($W$2:W1030,A45)=0,$D$9,""))</f>
        <v>306.91800000000001</v>
      </c>
      <c r="I45" s="41">
        <f ca="1">IF(COUNTIF($X$2:X1030,INT(A45))=1,VLOOKUP(INT(A45),X:Y,2), IF(ISERROR(H45-2),"",I44*(1-$D$8*(H45-H44)*0.0001)))</f>
        <v>257.45740000000001</v>
      </c>
      <c r="J45" s="41">
        <f t="shared" ca="1" si="8"/>
        <v>257.45740000000001</v>
      </c>
      <c r="K45" s="43">
        <f t="shared" ca="1" si="9"/>
        <v>-475859.71685971582</v>
      </c>
      <c r="L45" s="43" t="str">
        <f ca="1">IF($A45="","",IF(COUNTIFS(Dividends!$G:$G,"&gt;"&amp;INT($A44),Dividends!$G:$G,"&lt;="&amp;INT($A45))=0,"",$H$2*SUMIFS(Dividends!$H:$H,Dividends!$G:$G,"&gt;"&amp;INT($A44),Dividends!$G:$G,"&lt;="&amp;INT($A45))))</f>
        <v/>
      </c>
      <c r="M45" s="44">
        <f ca="1">IF(ISERROR(B45-2),"",C45+D45-F45-G45-K45+SUM($L$14:L45))</f>
        <v>-46619.260652549099</v>
      </c>
      <c r="O45" s="3">
        <v>46108.625</v>
      </c>
      <c r="P45" s="4">
        <v>88.99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46108.625</v>
      </c>
      <c r="V45" s="3">
        <f t="shared" si="1"/>
        <v>46108.625</v>
      </c>
      <c r="W45" s="3">
        <v>46111.625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46097.625</v>
      </c>
      <c r="B46" s="40">
        <f ca="1">IF(COUNTIF($W$2:W1031,A46)=1,VLOOKUP(A46,O:P,2), IF(COUNTIF($W$2:W1031,A46)=0,$B$9,""))</f>
        <v>91.95</v>
      </c>
      <c r="C46" s="2">
        <f t="shared" ca="1" si="4"/>
        <v>-572861.1051845511</v>
      </c>
      <c r="D46" s="43">
        <f t="shared" ca="1" si="5"/>
        <v>-106000</v>
      </c>
      <c r="E46" s="40">
        <f ca="1">IF(COUNTIF($W$2:W1031,A46)=1,VLOOKUP(A46,Q:R,2), IF(COUNTIF($W$2:W1031,A46)=0,$C$9,""))</f>
        <v>99.959000000000003</v>
      </c>
      <c r="F46" s="2">
        <f t="shared" ca="1" si="6"/>
        <v>-164060.00000000006</v>
      </c>
      <c r="G46" s="43">
        <f t="shared" ca="1" si="7"/>
        <v>-490.88000000000466</v>
      </c>
      <c r="H46" s="40">
        <f ca="1">IF(COUNTIF($W$2:W1031,A46)=1,VLOOKUP(A46,S:T,2), IF(COUNTIF($W$2:W1031,A46)=0,$D$9,""))</f>
        <v>300.69400000000002</v>
      </c>
      <c r="I46" s="41">
        <f ca="1">IF(COUNTIF($X$2:X1031,INT(A46))=1,VLOOKUP(INT(A46),X:Y,2), IF(ISERROR(H46-2),"",I45*(1-$D$8*(H46-H45)*0.0001)))</f>
        <v>257.82310000000001</v>
      </c>
      <c r="J46" s="41">
        <f t="shared" ca="1" si="8"/>
        <v>257.82310000000001</v>
      </c>
      <c r="K46" s="43">
        <f t="shared" ca="1" si="9"/>
        <v>-449973.61647361628</v>
      </c>
      <c r="L46" s="43" t="str">
        <f ca="1">IF($A46="","",IF(COUNTIFS(Dividends!$G:$G,"&gt;"&amp;INT($A45),Dividends!$G:$G,"&lt;="&amp;INT($A46))=0,"",$H$2*SUMIFS(Dividends!$H:$H,Dividends!$G:$G,"&gt;"&amp;INT($A45),Dividends!$G:$G,"&lt;="&amp;INT($A46))))</f>
        <v/>
      </c>
      <c r="M46" s="44">
        <f ca="1">IF(ISERROR(B46-2),"",C46+D46-F46-G46-K46+SUM($L$14:L46))</f>
        <v>-64336.608710934757</v>
      </c>
      <c r="O46" s="3">
        <v>46111.625</v>
      </c>
      <c r="P46" s="4">
        <v>88.85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46111.625</v>
      </c>
      <c r="V46" s="3">
        <f t="shared" si="1"/>
        <v>46111.625</v>
      </c>
      <c r="W46" s="3">
        <v>46112.625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46098.625</v>
      </c>
      <c r="B47" s="40">
        <f ca="1">IF(COUNTIF($W$2:W1032,A47)=1,VLOOKUP(A47,O:P,2), IF(COUNTIF($W$2:W1032,A47)=0,$B$9,""))</f>
        <v>92.21</v>
      </c>
      <c r="C47" s="2">
        <f t="shared" ca="1" si="4"/>
        <v>-489652.22957115475</v>
      </c>
      <c r="D47" s="43">
        <f t="shared" ca="1" si="5"/>
        <v>-108208.33333333331</v>
      </c>
      <c r="E47" s="40">
        <f ca="1">IF(COUNTIF($W$2:W1032,A47)=1,VLOOKUP(A47,Q:R,2), IF(COUNTIF($W$2:W1032,A47)=0,$C$9,""))</f>
        <v>99.992999999999995</v>
      </c>
      <c r="F47" s="2">
        <f t="shared" ca="1" si="6"/>
        <v>-155220.00000000218</v>
      </c>
      <c r="G47" s="43">
        <f t="shared" ca="1" si="7"/>
        <v>-501.10666666667385</v>
      </c>
      <c r="H47" s="40">
        <f ca="1">IF(COUNTIF($W$2:W1032,A47)=1,VLOOKUP(A47,S:T,2), IF(COUNTIF($W$2:W1032,A47)=0,$D$9,""))</f>
        <v>294.98399999999998</v>
      </c>
      <c r="I47" s="41">
        <f ca="1">IF(COUNTIF($X$2:X1032,INT(A47))=1,VLOOKUP(INT(A47),X:Y,2), IF(ISERROR(H47-2),"",I46*(1-$D$8*(H47-H46)*0.0001)))</f>
        <v>258.83109999999999</v>
      </c>
      <c r="J47" s="41">
        <f t="shared" ca="1" si="8"/>
        <v>258.83109999999999</v>
      </c>
      <c r="K47" s="43">
        <f t="shared" ca="1" si="9"/>
        <v>-378622.26512226602</v>
      </c>
      <c r="L47" s="43" t="str">
        <f ca="1">IF($A47="","",IF(COUNTIFS(Dividends!$G:$G,"&gt;"&amp;INT($A46),Dividends!$G:$G,"&lt;="&amp;INT($A47))=0,"",$H$2*SUMIFS(Dividends!$H:$H,Dividends!$G:$G,"&gt;"&amp;INT($A46),Dividends!$G:$G,"&lt;="&amp;INT($A47))))</f>
        <v/>
      </c>
      <c r="M47" s="44">
        <f ca="1">IF(ISERROR(B47-2),"",C47+D47-F47-G47-K47+SUM($L$14:L47))</f>
        <v>-63517.191115553142</v>
      </c>
      <c r="O47" s="3">
        <v>46112.625</v>
      </c>
      <c r="P47" s="4">
        <v>89.12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46112.625</v>
      </c>
      <c r="V47" s="3">
        <f t="shared" si="1"/>
        <v>46112.625</v>
      </c>
      <c r="W47" s="3">
        <v>46113.625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46099.625</v>
      </c>
      <c r="B48" s="40">
        <f ca="1">IF(COUNTIF($W$2:W1033,A48)=1,VLOOKUP(A48,O:P,2), IF(COUNTIF($W$2:W1033,A48)=0,$B$9,""))</f>
        <v>92.17</v>
      </c>
      <c r="C48" s="2">
        <f t="shared" ca="1" si="4"/>
        <v>-502453.59505013522</v>
      </c>
      <c r="D48" s="43">
        <f t="shared" ca="1" si="5"/>
        <v>-110416.66666666666</v>
      </c>
      <c r="E48" s="40">
        <f ca="1">IF(COUNTIF($W$2:W1033,A48)=1,VLOOKUP(A48,Q:R,2), IF(COUNTIF($W$2:W1033,A48)=0,$C$9,""))</f>
        <v>99.841999999999999</v>
      </c>
      <c r="F48" s="2">
        <f t="shared" ca="1" si="6"/>
        <v>-194480.00000000122</v>
      </c>
      <c r="G48" s="43">
        <f t="shared" ca="1" si="7"/>
        <v>-511.33333333332848</v>
      </c>
      <c r="H48" s="40">
        <f ca="1">IF(COUNTIF($W$2:W1033,A48)=1,VLOOKUP(A48,S:T,2), IF(COUNTIF($W$2:W1033,A48)=0,$D$9,""))</f>
        <v>298.827</v>
      </c>
      <c r="I48" s="41">
        <f ca="1">IF(COUNTIF($X$2:X1033,INT(A48))=1,VLOOKUP(INT(A48),X:Y,2), IF(ISERROR(H48-2),"",I47*(1-$D$8*(H48-H47)*0.0001)))</f>
        <v>258.3931</v>
      </c>
      <c r="J48" s="41">
        <f t="shared" ca="1" si="8"/>
        <v>258.3931</v>
      </c>
      <c r="K48" s="43">
        <f t="shared" ca="1" si="9"/>
        <v>-409626.1261261254</v>
      </c>
      <c r="L48" s="43" t="str">
        <f ca="1">IF($A48="","",IF(COUNTIFS(Dividends!$G:$G,"&gt;"&amp;INT($A47),Dividends!$G:$G,"&lt;="&amp;INT($A48))=0,"",$H$2*SUMIFS(Dividends!$H:$H,Dividends!$G:$G,"&gt;"&amp;INT($A47),Dividends!$G:$G,"&lt;="&amp;INT($A48))))</f>
        <v/>
      </c>
      <c r="M48" s="44">
        <f ca="1">IF(ISERROR(B48-2),"",C48+D48-F48-G48-K48+SUM($L$14:L48))</f>
        <v>-8252.802257341973</v>
      </c>
      <c r="O48" s="3">
        <v>46113.625</v>
      </c>
      <c r="P48" s="4">
        <v>89.8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46113.625</v>
      </c>
      <c r="V48" s="3">
        <f t="shared" si="1"/>
        <v>46113.625</v>
      </c>
      <c r="W48" s="3">
        <v>46114.625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5" x14ac:dyDescent="0.25">
      <c r="A49" s="39">
        <f t="shared" ca="1" si="3"/>
        <v>46100.625</v>
      </c>
      <c r="B49" s="40">
        <f ca="1">IF(COUNTIF($W$2:W1034,A49)=1,VLOOKUP(A49,O:P,2), IF(COUNTIF($W$2:W1034,A49)=0,$B$9,""))</f>
        <v>89.42</v>
      </c>
      <c r="C49" s="2">
        <f t="shared" ca="1" si="4"/>
        <v>-1382547.4717303144</v>
      </c>
      <c r="D49" s="43">
        <f t="shared" ca="1" si="5"/>
        <v>-112625</v>
      </c>
      <c r="E49" s="40">
        <f ca="1">IF(COUNTIF($W$2:W1034,A49)=1,VLOOKUP(A49,Q:R,2), IF(COUNTIF($W$2:W1034,A49)=0,$C$9,""))</f>
        <v>99.638999999999996</v>
      </c>
      <c r="F49" s="2">
        <f t="shared" ca="1" si="6"/>
        <v>-247260.00000000198</v>
      </c>
      <c r="G49" s="43">
        <f t="shared" ca="1" si="7"/>
        <v>-521.55999999999767</v>
      </c>
      <c r="H49" s="40">
        <f ca="1">IF(COUNTIF($W$2:W1034,A49)=1,VLOOKUP(A49,S:T,2), IF(COUNTIF($W$2:W1034,A49)=0,$D$9,""))</f>
        <v>309.03899999999999</v>
      </c>
      <c r="I49" s="41">
        <f ca="1">IF(COUNTIF($X$2:X1034,INT(A49))=1,VLOOKUP(INT(A49),X:Y,2), IF(ISERROR(H49-2),"",I48*(1-$D$8*(H49-H48)*0.0001)))</f>
        <v>257.0634</v>
      </c>
      <c r="J49" s="41">
        <f t="shared" ca="1" si="8"/>
        <v>257.0634</v>
      </c>
      <c r="K49" s="43">
        <f t="shared" ca="1" si="9"/>
        <v>-503749.03474903549</v>
      </c>
      <c r="L49" s="43">
        <f ca="1">IF($A49="","",IF(COUNTIFS(Dividends!$G:$G,"&gt;"&amp;INT($A48),Dividends!$G:$G,"&lt;="&amp;INT($A49))=0,"",$H$2*SUMIFS(Dividends!$H:$H,Dividends!$G:$G,"&gt;"&amp;INT($A48),Dividends!$G:$G,"&lt;="&amp;INT($A49))))</f>
        <v>745775.54939193511</v>
      </c>
      <c r="M49" s="44">
        <f ca="1">IF(ISERROR(B49-2),"",C49+D49-F49-G49-K49+SUM($L$14:L49))</f>
        <v>2133.6724106583279</v>
      </c>
      <c r="O49" s="3">
        <v>46114.625</v>
      </c>
      <c r="P49" s="4">
        <v>89.7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46114.625</v>
      </c>
      <c r="V49" s="3">
        <f t="shared" si="1"/>
        <v>46114.625</v>
      </c>
      <c r="W49" s="3">
        <v>46119.625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5" x14ac:dyDescent="0.25">
      <c r="A50" s="39">
        <f t="shared" ca="1" si="3"/>
        <v>46101.625</v>
      </c>
      <c r="B50" s="40">
        <f ca="1">IF(COUNTIF($W$2:W1035,A50)=1,VLOOKUP(A50,O:P,2), IF(COUNTIF($W$2:W1035,A50)=0,$B$9,""))</f>
        <v>89.08</v>
      </c>
      <c r="C50" s="2">
        <f t="shared" ca="1" si="4"/>
        <v>-1491359.0783016849</v>
      </c>
      <c r="D50" s="43">
        <f t="shared" ca="1" si="5"/>
        <v>-114833.33333333331</v>
      </c>
      <c r="E50" s="40">
        <f ca="1">IF(COUNTIF($W$2:W1035,A50)=1,VLOOKUP(A50,Q:R,2), IF(COUNTIF($W$2:W1035,A50)=0,$C$9,""))</f>
        <v>99.41</v>
      </c>
      <c r="F50" s="2">
        <f t="shared" ca="1" si="6"/>
        <v>-306800.00000000175</v>
      </c>
      <c r="G50" s="43">
        <f t="shared" ca="1" si="7"/>
        <v>-531.78666666666686</v>
      </c>
      <c r="H50" s="40">
        <f ca="1">IF(COUNTIF($W$2:W1035,A50)=1,VLOOKUP(A50,S:T,2), IF(COUNTIF($W$2:W1035,A50)=0,$D$9,""))</f>
        <v>350.86599999999999</v>
      </c>
      <c r="I50" s="41">
        <f ca="1">IF(COUNTIF($X$2:X1035,INT(A50))=1,VLOOKUP(INT(A50),X:Y,2), IF(ISERROR(H50-2),"",I49*(1-$D$8*(H50-H49)*0.0001)))</f>
        <v>255.87119999999999</v>
      </c>
      <c r="J50" s="41">
        <f t="shared" ca="1" si="8"/>
        <v>255.87119999999999</v>
      </c>
      <c r="K50" s="43">
        <f t="shared" ca="1" si="9"/>
        <v>-588138.99613899842</v>
      </c>
      <c r="L50" s="43" t="str">
        <f ca="1">IF($A50="","",IF(COUNTIFS(Dividends!$G:$G,"&gt;"&amp;INT($A49),Dividends!$G:$G,"&lt;="&amp;INT($A50))=0,"",$H$2*SUMIFS(Dividends!$H:$H,Dividends!$G:$G,"&gt;"&amp;INT($A49),Dividends!$G:$G,"&lt;="&amp;INT($A50))))</f>
        <v/>
      </c>
      <c r="M50" s="44">
        <f ca="1">IF(ISERROR(B50-2),"",C50+D50-F50-G50-K50+SUM($L$14:L50))</f>
        <v>35053.920562583604</v>
      </c>
      <c r="O50" s="3">
        <v>46119.625</v>
      </c>
      <c r="P50" s="4">
        <v>89.6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46119.625</v>
      </c>
      <c r="V50" s="3">
        <f t="shared" si="1"/>
        <v>46119.625</v>
      </c>
      <c r="W50" s="3">
        <v>46120.625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5" x14ac:dyDescent="0.25">
      <c r="A51" s="39">
        <f t="shared" ca="1" si="3"/>
        <v>46104.625</v>
      </c>
      <c r="B51" s="40">
        <f ca="1">IF(COUNTIF($W$2:W1036,A51)=1,VLOOKUP(A51,O:P,2), IF(COUNTIF($W$2:W1036,A51)=0,$B$9,""))</f>
        <v>89.33</v>
      </c>
      <c r="C51" s="2">
        <f t="shared" ca="1" si="4"/>
        <v>-1411350.5440580321</v>
      </c>
      <c r="D51" s="43">
        <f t="shared" ca="1" si="5"/>
        <v>-121458.33333333334</v>
      </c>
      <c r="E51" s="40">
        <f ca="1">IF(COUNTIF($W$2:W1036,A51)=1,VLOOKUP(A51,Q:R,2), IF(COUNTIF($W$2:W1036,A51)=0,$C$9,""))</f>
        <v>99.53</v>
      </c>
      <c r="F51" s="2">
        <f t="shared" ca="1" si="6"/>
        <v>-275600.00000000058</v>
      </c>
      <c r="G51" s="43">
        <f t="shared" ca="1" si="7"/>
        <v>-562.46666666667443</v>
      </c>
      <c r="H51" s="40">
        <f ca="1">IF(COUNTIF($W$2:W1036,A51)=1,VLOOKUP(A51,S:T,2), IF(COUNTIF($W$2:W1036,A51)=0,$D$9,""))</f>
        <v>341.82299999999998</v>
      </c>
      <c r="I51" s="41">
        <f ca="1">IF(COUNTIF($X$2:X1036,INT(A51))=1,VLOOKUP(INT(A51),X:Y,2), IF(ISERROR(H51-2),"",I50*(1-$D$8*(H51-H50)*0.0001)))</f>
        <v>256.74209999999999</v>
      </c>
      <c r="J51" s="41">
        <f t="shared" ca="1" si="8"/>
        <v>256.74209999999999</v>
      </c>
      <c r="K51" s="43">
        <f t="shared" ca="1" si="9"/>
        <v>-526492.27799227962</v>
      </c>
      <c r="L51" s="43" t="str">
        <f ca="1">IF($A51="","",IF(COUNTIFS(Dividends!$G:$G,"&gt;"&amp;INT($A50),Dividends!$G:$G,"&lt;="&amp;INT($A51))=0,"",$H$2*SUMIFS(Dividends!$H:$H,Dividends!$G:$G,"&gt;"&amp;INT($A50),Dividends!$G:$G,"&lt;="&amp;INT($A51))))</f>
        <v/>
      </c>
      <c r="M51" s="44">
        <f ca="1">IF(ISERROR(B51-2),"",C51+D51-F51-G51-K51+SUM($L$14:L51))</f>
        <v>15621.416659516632</v>
      </c>
      <c r="O51" s="3">
        <v>46120.625</v>
      </c>
      <c r="P51" s="4">
        <v>90.56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46120.625</v>
      </c>
      <c r="V51" s="3">
        <f t="shared" si="1"/>
        <v>46120.625</v>
      </c>
      <c r="W51" s="3">
        <v>46121.625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5" x14ac:dyDescent="0.25">
      <c r="A52" s="39">
        <f t="shared" ca="1" si="3"/>
        <v>46105.625</v>
      </c>
      <c r="B52" s="40">
        <f ca="1">IF(COUNTIF($W$2:W1037,A52)=1,VLOOKUP(A52,O:P,2), IF(COUNTIF($W$2:W1037,A52)=0,$B$9,""))</f>
        <v>89.26</v>
      </c>
      <c r="C52" s="2">
        <f t="shared" ca="1" si="4"/>
        <v>-1433752.9336462528</v>
      </c>
      <c r="D52" s="43">
        <f t="shared" ca="1" si="5"/>
        <v>-123666.66666666667</v>
      </c>
      <c r="E52" s="40">
        <f ca="1">IF(COUNTIF($W$2:W1037,A52)=1,VLOOKUP(A52,Q:R,2), IF(COUNTIF($W$2:W1037,A52)=0,$C$9,""))</f>
        <v>99.400999999999996</v>
      </c>
      <c r="F52" s="2">
        <f t="shared" ca="1" si="6"/>
        <v>-309140.00000000186</v>
      </c>
      <c r="G52" s="43">
        <f t="shared" ca="1" si="7"/>
        <v>-572.69333333332906</v>
      </c>
      <c r="H52" s="40">
        <f ca="1">IF(COUNTIF($W$2:W1037,A52)=1,VLOOKUP(A52,S:T,2), IF(COUNTIF($W$2:W1037,A52)=0,$D$9,""))</f>
        <v>342.43400000000003</v>
      </c>
      <c r="I52" s="41">
        <f ca="1">IF(COUNTIF($X$2:X1037,INT(A52))=1,VLOOKUP(INT(A52),X:Y,2), IF(ISERROR(H52-2),"",I51*(1-$D$8*(H52-H51)*0.0001)))</f>
        <v>256.9957</v>
      </c>
      <c r="J52" s="41">
        <f t="shared" ca="1" si="8"/>
        <v>256.9957</v>
      </c>
      <c r="K52" s="43">
        <f t="shared" ca="1" si="9"/>
        <v>-508541.1840411856</v>
      </c>
      <c r="L52" s="43" t="str">
        <f ca="1">IF($A52="","",IF(COUNTIFS(Dividends!$G:$G,"&gt;"&amp;INT($A51),Dividends!$G:$G,"&lt;="&amp;INT($A52))=0,"",$H$2*SUMIFS(Dividends!$H:$H,Dividends!$G:$G,"&gt;"&amp;INT($A51),Dividends!$G:$G,"&lt;="&amp;INT($A52))))</f>
        <v/>
      </c>
      <c r="M52" s="44">
        <f ca="1">IF(ISERROR(B52-2),"",C52+D52-F52-G52-K52+SUM($L$14:L52))</f>
        <v>6609.8264535362832</v>
      </c>
      <c r="O52" s="3">
        <v>46121.625</v>
      </c>
      <c r="P52" s="4">
        <v>90.47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46121.625</v>
      </c>
      <c r="V52" s="3">
        <f t="shared" si="1"/>
        <v>46121.625</v>
      </c>
      <c r="W52" s="3">
        <v>46122.625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5" x14ac:dyDescent="0.25">
      <c r="A53" s="39">
        <f t="shared" ca="1" si="3"/>
        <v>46106.625</v>
      </c>
      <c r="B53" s="40">
        <f ca="1">IF(COUNTIF($W$2:W1038,A53)=1,VLOOKUP(A53,O:P,2), IF(COUNTIF($W$2:W1038,A53)=0,$B$9,""))</f>
        <v>89.54</v>
      </c>
      <c r="C53" s="2">
        <f t="shared" ca="1" si="4"/>
        <v>-1344143.3752933596</v>
      </c>
      <c r="D53" s="43">
        <f t="shared" ca="1" si="5"/>
        <v>-125874.99999999999</v>
      </c>
      <c r="E53" s="40">
        <f ca="1">IF(COUNTIF($W$2:W1038,A53)=1,VLOOKUP(A53,Q:R,2), IF(COUNTIF($W$2:W1038,A53)=0,$C$9,""))</f>
        <v>99.501000000000005</v>
      </c>
      <c r="F53" s="2">
        <f t="shared" ca="1" si="6"/>
        <v>-283139.99999999965</v>
      </c>
      <c r="G53" s="43">
        <f t="shared" ca="1" si="7"/>
        <v>-582.91999999999825</v>
      </c>
      <c r="H53" s="40">
        <f ca="1">IF(COUNTIF($W$2:W1038,A53)=1,VLOOKUP(A53,S:T,2), IF(COUNTIF($W$2:W1038,A53)=0,$D$9,""))</f>
        <v>334.50400000000002</v>
      </c>
      <c r="I53" s="41">
        <f ca="1">IF(COUNTIF($X$2:X1038,INT(A53))=1,VLOOKUP(INT(A53),X:Y,2), IF(ISERROR(H53-2),"",I52*(1-$D$8*(H53-H52)*0.0001)))</f>
        <v>258.20859999999999</v>
      </c>
      <c r="J53" s="41">
        <f t="shared" ca="1" si="8"/>
        <v>258.20859999999999</v>
      </c>
      <c r="K53" s="43">
        <f t="shared" ca="1" si="9"/>
        <v>-422685.9716859734</v>
      </c>
      <c r="L53" s="43" t="str">
        <f ca="1">IF($A53="","",IF(COUNTIFS(Dividends!$G:$G,"&gt;"&amp;INT($A52),Dividends!$G:$G,"&lt;="&amp;INT($A53))=0,"",$H$2*SUMIFS(Dividends!$H:$H,Dividends!$G:$G,"&gt;"&amp;INT($A52),Dividends!$G:$G,"&lt;="&amp;INT($A53))))</f>
        <v/>
      </c>
      <c r="M53" s="44">
        <f ca="1">IF(ISERROR(B53-2),"",C53+D53-F53-G53-K53+SUM($L$14:L53))</f>
        <v>-17833.934215451591</v>
      </c>
      <c r="O53" s="3">
        <v>46122.625</v>
      </c>
      <c r="P53" s="4">
        <v>90.75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46122.625</v>
      </c>
      <c r="V53" s="3">
        <f t="shared" si="1"/>
        <v>46122.625</v>
      </c>
      <c r="W53" s="3">
        <v>46125.625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5" x14ac:dyDescent="0.25">
      <c r="A54" s="39">
        <f t="shared" ca="1" si="3"/>
        <v>46107.625</v>
      </c>
      <c r="B54" s="40">
        <f ca="1">IF(COUNTIF($W$2:W1039,A54)=1,VLOOKUP(A54,O:P,2), IF(COUNTIF($W$2:W1039,A54)=0,$B$9,""))</f>
        <v>89.29</v>
      </c>
      <c r="C54" s="2">
        <f t="shared" ca="1" si="4"/>
        <v>-1424151.9095370125</v>
      </c>
      <c r="D54" s="43">
        <f t="shared" ca="1" si="5"/>
        <v>-128083.33333333334</v>
      </c>
      <c r="E54" s="40">
        <f ca="1">IF(COUNTIF($W$2:W1039,A54)=1,VLOOKUP(A54,Q:R,2), IF(COUNTIF($W$2:W1039,A54)=0,$C$9,""))</f>
        <v>99.313000000000002</v>
      </c>
      <c r="F54" s="2">
        <f t="shared" ca="1" si="6"/>
        <v>-332020.00000000029</v>
      </c>
      <c r="G54" s="43">
        <f t="shared" ca="1" si="7"/>
        <v>-593.14666666668199</v>
      </c>
      <c r="H54" s="40">
        <f ca="1">IF(COUNTIF($W$2:W1039,A54)=1,VLOOKUP(A54,S:T,2), IF(COUNTIF($W$2:W1039,A54)=0,$D$9,""))</f>
        <v>344.47199999999998</v>
      </c>
      <c r="I54" s="41">
        <f ca="1">IF(COUNTIF($X$2:X1039,INT(A54))=1,VLOOKUP(INT(A54),X:Y,2), IF(ISERROR(H54-2),"",I53*(1-$D$8*(H54-H53)*0.0001)))</f>
        <v>255.99350000000001</v>
      </c>
      <c r="J54" s="41">
        <f t="shared" ca="1" si="8"/>
        <v>255.99350000000001</v>
      </c>
      <c r="K54" s="43">
        <f t="shared" ca="1" si="9"/>
        <v>-579481.98198198073</v>
      </c>
      <c r="L54" s="43" t="str">
        <f ca="1">IF($A54="","",IF(COUNTIFS(Dividends!$G:$G,"&gt;"&amp;INT($A53),Dividends!$G:$G,"&lt;="&amp;INT($A54))=0,"",$H$2*SUMIFS(Dividends!$H:$H,Dividends!$G:$G,"&gt;"&amp;INT($A53),Dividends!$G:$G,"&lt;="&amp;INT($A54))))</f>
        <v/>
      </c>
      <c r="M54" s="44">
        <f ca="1">IF(ISERROR(B54-2),"",C54+D54-F54-G54-K54+SUM($L$14:L54))</f>
        <v>105635.43517023709</v>
      </c>
      <c r="O54" s="3">
        <v>46125.625</v>
      </c>
      <c r="P54" s="4">
        <v>90.46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46125.625</v>
      </c>
      <c r="V54" s="3">
        <f t="shared" si="1"/>
        <v>46125.625</v>
      </c>
      <c r="W54" s="3">
        <v>46126.625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5" x14ac:dyDescent="0.25">
      <c r="A55" s="39">
        <f t="shared" ca="1" si="3"/>
        <v>46108.625</v>
      </c>
      <c r="B55" s="40">
        <f ca="1">IF(COUNTIF($W$2:W1040,A55)=1,VLOOKUP(A55,O:P,2), IF(COUNTIF($W$2:W1040,A55)=0,$B$9,""))</f>
        <v>88.99</v>
      </c>
      <c r="C55" s="2">
        <f t="shared" ca="1" si="4"/>
        <v>-1520162.1506293993</v>
      </c>
      <c r="D55" s="43">
        <f t="shared" ca="1" si="5"/>
        <v>-130291.66666666667</v>
      </c>
      <c r="E55" s="40">
        <f ca="1">IF(COUNTIF($W$2:W1040,A55)=1,VLOOKUP(A55,Q:R,2), IF(COUNTIF($W$2:W1040,A55)=0,$C$9,""))</f>
        <v>99.304000000000002</v>
      </c>
      <c r="F55" s="2">
        <f t="shared" ca="1" si="6"/>
        <v>-334360.00000000035</v>
      </c>
      <c r="G55" s="43">
        <f t="shared" ca="1" si="7"/>
        <v>-603.37333333333663</v>
      </c>
      <c r="H55" s="40">
        <f ca="1">IF(COUNTIF($W$2:W1040,A55)=1,VLOOKUP(A55,S:T,2), IF(COUNTIF($W$2:W1040,A55)=0,$D$9,""))</f>
        <v>361.33</v>
      </c>
      <c r="I55" s="41">
        <f ca="1">IF(COUNTIF($X$2:X1040,INT(A55))=1,VLOOKUP(INT(A55),X:Y,2), IF(ISERROR(H55-2),"",I54*(1-$D$8*(H55-H54)*0.0001)))</f>
        <v>254.57159999999999</v>
      </c>
      <c r="J55" s="41">
        <f t="shared" ca="1" si="8"/>
        <v>254.57159999999999</v>
      </c>
      <c r="K55" s="43">
        <f t="shared" ca="1" si="9"/>
        <v>-680131.27413127455</v>
      </c>
      <c r="L55" s="43" t="str">
        <f ca="1">IF($A55="","",IF(COUNTIFS(Dividends!$G:$G,"&gt;"&amp;INT($A54),Dividends!$G:$G,"&lt;="&amp;INT($A55))=0,"",$H$2*SUMIFS(Dividends!$H:$H,Dividends!$G:$G,"&gt;"&amp;INT($A54),Dividends!$G:$G,"&lt;="&amp;INT($A55))))</f>
        <v/>
      </c>
      <c r="M55" s="44">
        <f ca="1">IF(ISERROR(B55-2),"",C55+D55-F55-G55-K55+SUM($L$14:L55))</f>
        <v>110416.3795604771</v>
      </c>
      <c r="O55" s="3">
        <v>46126.625</v>
      </c>
      <c r="P55" s="4">
        <v>90.75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46126.625</v>
      </c>
      <c r="V55" s="3">
        <f t="shared" si="1"/>
        <v>46126.625</v>
      </c>
      <c r="W55" s="3">
        <v>46127.625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5" x14ac:dyDescent="0.25">
      <c r="A56" s="39">
        <f t="shared" ca="1" si="3"/>
        <v>46111.625</v>
      </c>
      <c r="B56" s="40">
        <f ca="1">IF(COUNTIF($W$2:W1041,A56)=1,VLOOKUP(A56,O:P,2), IF(COUNTIF($W$2:W1041,A56)=0,$B$9,""))</f>
        <v>88.85</v>
      </c>
      <c r="C56" s="2">
        <f t="shared" ca="1" si="4"/>
        <v>-1564966.9298058478</v>
      </c>
      <c r="D56" s="43">
        <f t="shared" ca="1" si="5"/>
        <v>-136916.66666666666</v>
      </c>
      <c r="E56" s="40">
        <f ca="1">IF(COUNTIF($W$2:W1041,A56)=1,VLOOKUP(A56,Q:R,2), IF(COUNTIF($W$2:W1041,A56)=0,$C$9,""))</f>
        <v>99.466999999999999</v>
      </c>
      <c r="F56" s="2">
        <f t="shared" ca="1" si="6"/>
        <v>-291980.00000000122</v>
      </c>
      <c r="G56" s="43">
        <f t="shared" ca="1" si="7"/>
        <v>-634.05333333332965</v>
      </c>
      <c r="H56" s="40">
        <f ca="1">IF(COUNTIF($W$2:W1041,A56)=1,VLOOKUP(A56,S:T,2), IF(COUNTIF($W$2:W1041,A56)=0,$D$9,""))</f>
        <v>364.03399999999999</v>
      </c>
      <c r="I56" s="41">
        <f ca="1">IF(COUNTIF($X$2:X1041,INT(A56))=1,VLOOKUP(INT(A56),X:Y,2), IF(ISERROR(H56-2),"",I55*(1-$D$8*(H56-H55)*0.0001)))</f>
        <v>254.6893</v>
      </c>
      <c r="J56" s="41">
        <f t="shared" ca="1" si="8"/>
        <v>254.6893</v>
      </c>
      <c r="K56" s="43">
        <f t="shared" ca="1" si="9"/>
        <v>-671799.87129987078</v>
      </c>
      <c r="L56" s="43" t="str">
        <f ca="1">IF($A56="","",IF(COUNTIFS(Dividends!$G:$G,"&gt;"&amp;INT($A55),Dividends!$G:$G,"&lt;="&amp;INT($A56))=0,"",$H$2*SUMIFS(Dividends!$H:$H,Dividends!$G:$G,"&gt;"&amp;INT($A55),Dividends!$G:$G,"&lt;="&amp;INT($A56))))</f>
        <v/>
      </c>
      <c r="M56" s="44">
        <f ca="1">IF(ISERROR(B56-2),"",C56+D56-F56-G56-K56+SUM($L$14:L56))</f>
        <v>8305.8775526257232</v>
      </c>
      <c r="O56" s="3">
        <v>46127.625</v>
      </c>
      <c r="P56" s="4">
        <v>90.88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>
        <f t="shared" si="0"/>
        <v>46127.625</v>
      </c>
      <c r="V56" s="3">
        <f t="shared" si="1"/>
        <v>46127.625</v>
      </c>
      <c r="W56" s="3">
        <v>46128.625</v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5" x14ac:dyDescent="0.25">
      <c r="A57" s="39">
        <f t="shared" ca="1" si="3"/>
        <v>46112.625</v>
      </c>
      <c r="B57" s="40">
        <f ca="1">IF(COUNTIF($W$2:W1042,A57)=1,VLOOKUP(A57,O:P,2), IF(COUNTIF($W$2:W1042,A57)=0,$B$9,""))</f>
        <v>89.12</v>
      </c>
      <c r="C57" s="2">
        <f t="shared" ca="1" si="4"/>
        <v>-1478557.7128226978</v>
      </c>
      <c r="D57" s="43">
        <f t="shared" ca="1" si="5"/>
        <v>-139124.99999999997</v>
      </c>
      <c r="E57" s="40">
        <f ca="1">IF(COUNTIF($W$2:W1042,A57)=1,VLOOKUP(A57,Q:R,2), IF(COUNTIF($W$2:W1042,A57)=0,$C$9,""))</f>
        <v>99.444000000000003</v>
      </c>
      <c r="F57" s="2">
        <f t="shared" ca="1" si="6"/>
        <v>-297960.00000000023</v>
      </c>
      <c r="G57" s="43">
        <f t="shared" ca="1" si="7"/>
        <v>-644.27999999999884</v>
      </c>
      <c r="H57" s="40">
        <f ca="1">IF(COUNTIF($W$2:W1042,A57)=1,VLOOKUP(A57,S:T,2), IF(COUNTIF($W$2:W1042,A57)=0,$D$9,""))</f>
        <v>355.63</v>
      </c>
      <c r="I57" s="41">
        <f ca="1">IF(COUNTIF($X$2:X1042,INT(A57))=1,VLOOKUP(INT(A57),X:Y,2), IF(ISERROR(H57-2),"",I56*(1-$D$8*(H57-H56)*0.0001)))</f>
        <v>255.8124</v>
      </c>
      <c r="J57" s="41">
        <f t="shared" ca="1" si="8"/>
        <v>255.8124</v>
      </c>
      <c r="K57" s="43">
        <f t="shared" ca="1" si="9"/>
        <v>-592301.15830115799</v>
      </c>
      <c r="L57" s="43" t="str">
        <f ca="1">IF($A57="","",IF(COUNTIFS(Dividends!$G:$G,"&gt;"&amp;INT($A56),Dividends!$G:$G,"&lt;="&amp;INT($A57))=0,"",$H$2*SUMIFS(Dividends!$H:$H,Dividends!$G:$G,"&gt;"&amp;INT($A56),Dividends!$G:$G,"&lt;="&amp;INT($A57))))</f>
        <v/>
      </c>
      <c r="M57" s="44">
        <f ca="1">IF(ISERROR(B57-2),"",C57+D57-F57-G57-K57+SUM($L$14:L57))</f>
        <v>18998.274870395544</v>
      </c>
      <c r="O57" s="3">
        <v>46128.625</v>
      </c>
      <c r="P57" s="4">
        <v>90.85</v>
      </c>
      <c r="Q57" s="3">
        <v>46126.625</v>
      </c>
      <c r="R57" s="4">
        <v>99.619</v>
      </c>
      <c r="S57" s="3">
        <v>46126.625</v>
      </c>
      <c r="T57" s="4">
        <v>282.697</v>
      </c>
      <c r="U57" s="3">
        <f t="shared" si="0"/>
        <v>46128.625</v>
      </c>
      <c r="V57" s="3">
        <f t="shared" si="1"/>
        <v>46128.625</v>
      </c>
      <c r="W57" s="3">
        <v>46129.625</v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5" x14ac:dyDescent="0.25">
      <c r="A58" s="39">
        <f t="shared" ca="1" si="3"/>
        <v>46113.625</v>
      </c>
      <c r="B58" s="40">
        <f ca="1">IF(COUNTIF($W$2:W1043,A58)=1,VLOOKUP(A58,O:P,2), IF(COUNTIF($W$2:W1043,A58)=0,$B$9,""))</f>
        <v>89.8</v>
      </c>
      <c r="C58" s="2">
        <f t="shared" ca="1" si="4"/>
        <v>-1260934.4996799666</v>
      </c>
      <c r="D58" s="43">
        <f t="shared" ca="1" si="5"/>
        <v>-141333.33333333334</v>
      </c>
      <c r="E58" s="40">
        <f ca="1">IF(COUNTIF($W$2:W1043,A58)=1,VLOOKUP(A58,Q:R,2), IF(COUNTIF($W$2:W1043,A58)=0,$C$9,""))</f>
        <v>99.510999999999996</v>
      </c>
      <c r="F58" s="2">
        <f t="shared" ca="1" si="6"/>
        <v>-280540.00000000204</v>
      </c>
      <c r="G58" s="43">
        <f t="shared" ca="1" si="7"/>
        <v>-654.50666666668258</v>
      </c>
      <c r="H58" s="40">
        <f ca="1">IF(COUNTIF($W$2:W1043,A58)=1,VLOOKUP(A58,S:T,2), IF(COUNTIF($W$2:W1043,A58)=0,$D$9,""))</f>
        <v>329.10599999999999</v>
      </c>
      <c r="I58" s="41">
        <f ca="1">IF(COUNTIF($X$2:X1043,INT(A58))=1,VLOOKUP(INT(A58),X:Y,2), IF(ISERROR(H58-2),"",I57*(1-$D$8*(H58-H57)*0.0001)))</f>
        <v>258.79109999999997</v>
      </c>
      <c r="J58" s="41">
        <f t="shared" ca="1" si="8"/>
        <v>258.79109999999997</v>
      </c>
      <c r="K58" s="43">
        <f t="shared" ca="1" si="9"/>
        <v>-381453.66795367067</v>
      </c>
      <c r="L58" s="43" t="str">
        <f ca="1">IF($A58="","",IF(COUNTIFS(Dividends!$G:$G,"&gt;"&amp;INT($A57),Dividends!$G:$G,"&lt;="&amp;INT($A58))=0,"",$H$2*SUMIFS(Dividends!$H:$H,Dividends!$G:$G,"&gt;"&amp;INT($A57),Dividends!$G:$G,"&lt;="&amp;INT($A58))))</f>
        <v/>
      </c>
      <c r="M58" s="44">
        <f ca="1">IF(ISERROR(B58-2),"",C58+D58-F58-G58-K58+SUM($L$14:L58))</f>
        <v>6155.8909989746753</v>
      </c>
      <c r="O58" s="3">
        <v>46129.625</v>
      </c>
      <c r="P58" s="4">
        <v>91.4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>
        <f t="shared" si="0"/>
        <v>46129.625</v>
      </c>
      <c r="V58" s="3">
        <f t="shared" si="1"/>
        <v>46129.625</v>
      </c>
      <c r="W58" s="3">
        <v>46132.625</v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5" x14ac:dyDescent="0.25">
      <c r="A59" s="39">
        <f t="shared" ca="1" si="3"/>
        <v>46114.625</v>
      </c>
      <c r="B59" s="40">
        <f ca="1">IF(COUNTIF($W$2:W1044,A59)=1,VLOOKUP(A59,O:P,2), IF(COUNTIF($W$2:W1044,A59)=0,$B$9,""))</f>
        <v>89.7</v>
      </c>
      <c r="C59" s="2">
        <f t="shared" ca="1" si="4"/>
        <v>-1292937.9133774245</v>
      </c>
      <c r="D59" s="43">
        <f t="shared" ca="1" si="5"/>
        <v>-143541.66666666666</v>
      </c>
      <c r="E59" s="40">
        <f ca="1">IF(COUNTIF($W$2:W1044,A59)=1,VLOOKUP(A59,Q:R,2), IF(COUNTIF($W$2:W1044,A59)=0,$C$9,""))</f>
        <v>99.484999999999999</v>
      </c>
      <c r="F59" s="2">
        <f t="shared" ca="1" si="6"/>
        <v>-287300.00000000099</v>
      </c>
      <c r="G59" s="43">
        <f t="shared" ca="1" si="7"/>
        <v>-664.73333333333721</v>
      </c>
      <c r="H59" s="40">
        <f ca="1">IF(COUNTIF($W$2:W1044,A59)=1,VLOOKUP(A59,S:T,2), IF(COUNTIF($W$2:W1044,A59)=0,$D$9,""))</f>
        <v>326.72000000000003</v>
      </c>
      <c r="I59" s="41">
        <f ca="1">IF(COUNTIF($X$2:X1044,INT(A59))=1,VLOOKUP(INT(A59),X:Y,2), IF(ISERROR(H59-2),"",I58*(1-$D$8*(H59-H58)*0.0001)))</f>
        <v>259.01429999999999</v>
      </c>
      <c r="J59" s="41">
        <f t="shared" ca="1" si="8"/>
        <v>259.01429999999999</v>
      </c>
      <c r="K59" s="43">
        <f t="shared" ca="1" si="9"/>
        <v>-365654.44015444181</v>
      </c>
      <c r="L59" s="43" t="str">
        <f ca="1">IF($A59="","",IF(COUNTIFS(Dividends!$G:$G,"&gt;"&amp;INT($A58),Dividends!$G:$G,"&lt;="&amp;INT($A59))=0,"",$H$2*SUMIFS(Dividends!$H:$H,Dividends!$G:$G,"&gt;"&amp;INT($A58),Dividends!$G:$G,"&lt;="&amp;INT($A59))))</f>
        <v/>
      </c>
      <c r="M59" s="44">
        <f ca="1">IF(ISERROR(B59-2),"",C59+D59-F59-G59-K59+SUM($L$14:L59))</f>
        <v>-37084.857164379908</v>
      </c>
      <c r="O59" s="3">
        <v>46132.625</v>
      </c>
      <c r="P59" s="4">
        <v>91.09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>
        <f t="shared" si="0"/>
        <v>46132.625</v>
      </c>
      <c r="V59" s="3">
        <f t="shared" si="1"/>
        <v>46132.625</v>
      </c>
      <c r="W59" s="3">
        <v>46133.625</v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5" x14ac:dyDescent="0.25">
      <c r="A60" s="39">
        <f t="shared" ca="1" si="3"/>
        <v>46119.625</v>
      </c>
      <c r="B60" s="40">
        <f ca="1">IF(COUNTIF($W$2:W1045,A60)=1,VLOOKUP(A60,O:P,2), IF(COUNTIF($W$2:W1045,A60)=0,$B$9,""))</f>
        <v>89.6</v>
      </c>
      <c r="C60" s="2">
        <f t="shared" ca="1" si="4"/>
        <v>-1324941.3270748889</v>
      </c>
      <c r="D60" s="43">
        <f t="shared" ca="1" si="5"/>
        <v>-154583.33333333334</v>
      </c>
      <c r="E60" s="40">
        <f ca="1">IF(COUNTIF($W$2:W1045,A60)=1,VLOOKUP(A60,Q:R,2), IF(COUNTIF($W$2:W1045,A60)=0,$C$9,""))</f>
        <v>99.212999999999994</v>
      </c>
      <c r="F60" s="2">
        <f t="shared" ca="1" si="6"/>
        <v>-358020.00000000244</v>
      </c>
      <c r="G60" s="43">
        <f t="shared" ca="1" si="7"/>
        <v>-715.86666666666861</v>
      </c>
      <c r="H60" s="40">
        <f ca="1">IF(COUNTIF($W$2:W1045,A60)=1,VLOOKUP(A60,S:T,2), IF(COUNTIF($W$2:W1045,A60)=0,$D$9,""))</f>
        <v>333.96699999999998</v>
      </c>
      <c r="I60" s="41">
        <f ca="1">IF(COUNTIF($X$2:X1045,INT(A60))=1,VLOOKUP(INT(A60),X:Y,2), IF(ISERROR(H60-2),"",I59*(1-$D$8*(H60-H59)*0.0001)))</f>
        <v>258.06200000000001</v>
      </c>
      <c r="J60" s="41">
        <f t="shared" ca="1" si="8"/>
        <v>258.06200000000001</v>
      </c>
      <c r="K60" s="43">
        <f t="shared" ca="1" si="9"/>
        <v>-433063.06306306168</v>
      </c>
      <c r="L60" s="43" t="str">
        <f ca="1">IF($A60="","",IF(COUNTIFS(Dividends!$G:$G,"&gt;"&amp;INT($A59),Dividends!$G:$G,"&lt;="&amp;INT($A60))=0,"",$H$2*SUMIFS(Dividends!$H:$H,Dividends!$G:$G,"&gt;"&amp;INT($A59),Dividends!$G:$G,"&lt;="&amp;INT($A60))))</f>
        <v/>
      </c>
      <c r="M60" s="44">
        <f ca="1">IF(ISERROR(B60-2),"",C60+D60-F60-G60-K60+SUM($L$14:L60))</f>
        <v>58049.818713443703</v>
      </c>
      <c r="O60" s="3">
        <v>46133.625</v>
      </c>
      <c r="P60" s="4">
        <v>91.01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>
        <f t="shared" si="0"/>
        <v>46133.625</v>
      </c>
      <c r="V60" s="3">
        <f t="shared" si="1"/>
        <v>46133.625</v>
      </c>
      <c r="W60" s="3">
        <v>46134.625</v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5" x14ac:dyDescent="0.25">
      <c r="A61" s="39">
        <f t="shared" ca="1" si="3"/>
        <v>46120.625</v>
      </c>
      <c r="B61" s="40">
        <f ca="1">IF(COUNTIF($W$2:W1046,A61)=1,VLOOKUP(A61,O:P,2), IF(COUNTIF($W$2:W1046,A61)=0,$B$9,""))</f>
        <v>90.56</v>
      </c>
      <c r="C61" s="2">
        <f t="shared" ca="1" si="4"/>
        <v>-1017708.5555792609</v>
      </c>
      <c r="D61" s="43">
        <f t="shared" ca="1" si="5"/>
        <v>-156791.66666666666</v>
      </c>
      <c r="E61" s="40">
        <f ca="1">IF(COUNTIF($W$2:W1046,A61)=1,VLOOKUP(A61,Q:R,2), IF(COUNTIF($W$2:W1046,A61)=0,$C$9,""))</f>
        <v>99.777000000000001</v>
      </c>
      <c r="F61" s="2">
        <f t="shared" ca="1" si="6"/>
        <v>-211380.00000000064</v>
      </c>
      <c r="G61" s="43">
        <f t="shared" ca="1" si="7"/>
        <v>-726.09333333332324</v>
      </c>
      <c r="H61" s="40">
        <f ca="1">IF(COUNTIF($W$2:W1046,A61)=1,VLOOKUP(A61,S:T,2), IF(COUNTIF($W$2:W1046,A61)=0,$D$9,""))</f>
        <v>301.61900000000003</v>
      </c>
      <c r="I61" s="41">
        <f ca="1">IF(COUNTIF($X$2:X1046,INT(A61))=1,VLOOKUP(INT(A61),X:Y,2), IF(ISERROR(H61-2),"",I60*(1-$D$8*(H61-H60)*0.0001)))</f>
        <v>262.38350000000003</v>
      </c>
      <c r="J61" s="41">
        <f t="shared" ca="1" si="8"/>
        <v>262.38350000000003</v>
      </c>
      <c r="K61" s="43">
        <f t="shared" ca="1" si="9"/>
        <v>-127165.37966537764</v>
      </c>
      <c r="L61" s="43" t="str">
        <f ca="1">IF($A61="","",IF(COUNTIFS(Dividends!$G:$G,"&gt;"&amp;INT($A60),Dividends!$G:$G,"&lt;="&amp;INT($A61))=0,"",$H$2*SUMIFS(Dividends!$H:$H,Dividends!$G:$G,"&gt;"&amp;INT($A60),Dividends!$G:$G,"&lt;="&amp;INT($A61))))</f>
        <v/>
      </c>
      <c r="M61" s="44">
        <f ca="1">IF(ISERROR(B61-2),"",C61+D61-F61-G61-K61+SUM($L$14:L61))</f>
        <v>-89453.199855280924</v>
      </c>
      <c r="O61" s="3">
        <v>46134.625</v>
      </c>
      <c r="P61" s="4">
        <v>90.94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>
        <f t="shared" si="0"/>
        <v>46134.625</v>
      </c>
      <c r="V61" s="3">
        <f t="shared" si="1"/>
        <v>46134.625</v>
      </c>
      <c r="W61" s="3">
        <v>46135.625</v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5" x14ac:dyDescent="0.25">
      <c r="A62" s="39">
        <f t="shared" ca="1" si="3"/>
        <v>46121.625</v>
      </c>
      <c r="B62" s="40">
        <f ca="1">IF(COUNTIF($W$2:W1047,A62)=1,VLOOKUP(A62,O:P,2), IF(COUNTIF($W$2:W1047,A62)=0,$B$9,""))</f>
        <v>90.47</v>
      </c>
      <c r="C62" s="2">
        <f t="shared" ca="1" si="4"/>
        <v>-1046511.6279069752</v>
      </c>
      <c r="D62" s="43">
        <f t="shared" ca="1" si="5"/>
        <v>-159000</v>
      </c>
      <c r="E62" s="40">
        <f ca="1">IF(COUNTIF($W$2:W1047,A62)=1,VLOOKUP(A62,Q:R,2), IF(COUNTIF($W$2:W1047,A62)=0,$C$9,""))</f>
        <v>99.576999999999998</v>
      </c>
      <c r="F62" s="2">
        <f t="shared" ca="1" si="6"/>
        <v>-263380.00000000134</v>
      </c>
      <c r="G62" s="43">
        <f t="shared" ca="1" si="7"/>
        <v>-736.32000000000698</v>
      </c>
      <c r="H62" s="40">
        <f ca="1">IF(COUNTIF($W$2:W1047,A62)=1,VLOOKUP(A62,S:T,2), IF(COUNTIF($W$2:W1047,A62)=0,$D$9,""))</f>
        <v>299.79199999999997</v>
      </c>
      <c r="I62" s="41">
        <f ca="1">IF(COUNTIF($X$2:X1047,INT(A62))=1,VLOOKUP(INT(A62),X:Y,2), IF(ISERROR(H62-2),"",I61*(1-$D$8*(H62-H61)*0.0001)))</f>
        <v>263.26260000000002</v>
      </c>
      <c r="J62" s="41">
        <f t="shared" ca="1" si="8"/>
        <v>263.26260000000002</v>
      </c>
      <c r="K62" s="43">
        <f t="shared" ca="1" si="9"/>
        <v>-64938.223938223447</v>
      </c>
      <c r="L62" s="43" t="str">
        <f ca="1">IF($A62="","",IF(COUNTIFS(Dividends!$G:$G,"&gt;"&amp;INT($A61),Dividends!$G:$G,"&lt;="&amp;INT($A62))=0,"",$H$2*SUMIFS(Dividends!$H:$H,Dividends!$G:$G,"&gt;"&amp;INT($A61),Dividends!$G:$G,"&lt;="&amp;INT($A62))))</f>
        <v/>
      </c>
      <c r="M62" s="44">
        <f ca="1">IF(ISERROR(B62-2),"",C62+D62-F62-G62-K62+SUM($L$14:L62))</f>
        <v>-130681.53457681532</v>
      </c>
      <c r="O62" s="3">
        <v>46135.625</v>
      </c>
      <c r="P62" s="4">
        <v>90.99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>
        <f t="shared" si="0"/>
        <v>46135.625</v>
      </c>
      <c r="V62" s="3">
        <f t="shared" si="1"/>
        <v>46135.625</v>
      </c>
      <c r="W62" s="3">
        <v>46136.625</v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5" x14ac:dyDescent="0.25">
      <c r="A63" s="39">
        <f t="shared" ca="1" si="3"/>
        <v>46122.625</v>
      </c>
      <c r="B63" s="40">
        <f ca="1">IF(COUNTIF($W$2:W1048,A63)=1,VLOOKUP(A63,O:P,2), IF(COUNTIF($W$2:W1048,A63)=0,$B$9,""))</f>
        <v>90.75</v>
      </c>
      <c r="C63" s="2">
        <f t="shared" ca="1" si="4"/>
        <v>-956902.06955408526</v>
      </c>
      <c r="D63" s="43">
        <f t="shared" ca="1" si="5"/>
        <v>-161208.33333333334</v>
      </c>
      <c r="E63" s="40">
        <f ca="1">IF(COUNTIF($W$2:W1048,A63)=1,VLOOKUP(A63,Q:R,2), IF(COUNTIF($W$2:W1048,A63)=0,$C$9,""))</f>
        <v>99.55</v>
      </c>
      <c r="F63" s="2">
        <f t="shared" ca="1" si="6"/>
        <v>-270400.00000000163</v>
      </c>
      <c r="G63" s="43">
        <f t="shared" ca="1" si="7"/>
        <v>-746.54666666667617</v>
      </c>
      <c r="H63" s="40">
        <f ca="1">IF(COUNTIF($W$2:W1048,A63)=1,VLOOKUP(A63,S:T,2), IF(COUNTIF($W$2:W1048,A63)=0,$D$9,""))</f>
        <v>291.34300000000002</v>
      </c>
      <c r="I63" s="41">
        <f ca="1">IF(COUNTIF($X$2:X1048,INT(A63))=1,VLOOKUP(INT(A63),X:Y,2), IF(ISERROR(H63-2),"",I62*(1-$D$8*(H63-H62)*0.0001)))</f>
        <v>263.29309999999998</v>
      </c>
      <c r="J63" s="41">
        <f t="shared" ca="1" si="8"/>
        <v>263.29309999999998</v>
      </c>
      <c r="K63" s="43">
        <f t="shared" ca="1" si="9"/>
        <v>-62779.279279281996</v>
      </c>
      <c r="L63" s="43" t="str">
        <f ca="1">IF($A63="","",IF(COUNTIFS(Dividends!$G:$G,"&gt;"&amp;INT($A62),Dividends!$G:$G,"&lt;="&amp;INT($A63))=0,"",$H$2*SUMIFS(Dividends!$H:$H,Dividends!$G:$G,"&gt;"&amp;INT($A62),Dividends!$G:$G,"&lt;="&amp;INT($A63))))</f>
        <v/>
      </c>
      <c r="M63" s="44">
        <f ca="1">IF(ISERROR(B63-2),"",C63+D63-F63-G63-K63+SUM($L$14:L63))</f>
        <v>-38409.02754953329</v>
      </c>
      <c r="O63" s="3">
        <v>46136.625</v>
      </c>
      <c r="P63" s="4">
        <v>90.93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>
        <f t="shared" si="0"/>
        <v>46136.625</v>
      </c>
      <c r="V63" s="3">
        <f t="shared" si="1"/>
        <v>46136.625</v>
      </c>
      <c r="W63" s="3">
        <v>46139.625</v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9">
        <f t="shared" ca="1" si="3"/>
        <v>46125.625</v>
      </c>
      <c r="B64" s="40">
        <f ca="1">IF(COUNTIF($W$2:W1049,A64)=1,VLOOKUP(A64,O:P,2), IF(COUNTIF($W$2:W1049,A64)=0,$B$9,""))</f>
        <v>90.46</v>
      </c>
      <c r="C64" s="2">
        <f t="shared" ca="1" si="4"/>
        <v>-1049711.9692767221</v>
      </c>
      <c r="D64" s="43">
        <f t="shared" ca="1" si="5"/>
        <v>-167833.33333333334</v>
      </c>
      <c r="E64" s="40">
        <f ca="1">IF(COUNTIF($W$2:W1049,A64)=1,VLOOKUP(A64,Q:R,2), IF(COUNTIF($W$2:W1049,A64)=0,$C$9,""))</f>
        <v>99.418000000000006</v>
      </c>
      <c r="F64" s="2">
        <f t="shared" ca="1" si="6"/>
        <v>-304719.99999999924</v>
      </c>
      <c r="G64" s="43">
        <f t="shared" ca="1" si="7"/>
        <v>-777.22666666665464</v>
      </c>
      <c r="H64" s="40">
        <f ca="1">IF(COUNTIF($W$2:W1049,A64)=1,VLOOKUP(A64,S:T,2), IF(COUNTIF($W$2:W1049,A64)=0,$D$9,""))</f>
        <v>294.25299999999999</v>
      </c>
      <c r="I64" s="41">
        <f ca="1">IF(COUNTIF($X$2:X1049,INT(A64))=1,VLOOKUP(INT(A64),X:Y,2), IF(ISERROR(H64-2),"",I63*(1-$D$8*(H64-H63)*0.0001)))</f>
        <v>263.03910000000002</v>
      </c>
      <c r="J64" s="41">
        <f t="shared" ca="1" si="8"/>
        <v>263.03910000000002</v>
      </c>
      <c r="K64" s="43">
        <f t="shared" ca="1" si="9"/>
        <v>-80758.687258685532</v>
      </c>
      <c r="L64" s="43" t="str">
        <f ca="1">IF($A64="","",IF(COUNTIFS(Dividends!$G:$G,"&gt;"&amp;INT($A63),Dividends!$G:$G,"&lt;="&amp;INT($A64))=0,"",$H$2*SUMIFS(Dividends!$H:$H,Dividends!$G:$G,"&gt;"&amp;INT($A63),Dividends!$G:$G,"&lt;="&amp;INT($A64))))</f>
        <v/>
      </c>
      <c r="M64" s="44">
        <f ca="1">IF(ISERROR(B64-2),"",C64+D64-F64-G64-K64+SUM($L$14:L64))</f>
        <v>-85513.839292768622</v>
      </c>
      <c r="O64" s="3">
        <v>46139.625</v>
      </c>
      <c r="P64" s="4">
        <v>90.97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>
        <f t="shared" si="0"/>
        <v>46139.625</v>
      </c>
      <c r="V64" s="3">
        <f t="shared" si="1"/>
        <v>46139.625</v>
      </c>
      <c r="W64" s="3">
        <v>46140.625</v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  <c r="AI64" s="7"/>
    </row>
    <row r="65" spans="1:35" x14ac:dyDescent="0.25">
      <c r="A65" s="39">
        <f t="shared" ca="1" si="3"/>
        <v>46126.625</v>
      </c>
      <c r="B65" s="40">
        <f ca="1">IF(COUNTIF($W$2:W1050,A65)=1,VLOOKUP(A65,O:P,2), IF(COUNTIF($W$2:W1050,A65)=0,$B$9,""))</f>
        <v>90.75</v>
      </c>
      <c r="C65" s="2">
        <f t="shared" ca="1" si="4"/>
        <v>-956902.06955408526</v>
      </c>
      <c r="D65" s="43">
        <f t="shared" ca="1" si="5"/>
        <v>-170041.66666666666</v>
      </c>
      <c r="E65" s="40">
        <f ca="1">IF(COUNTIF($W$2:W1050,A65)=1,VLOOKUP(A65,Q:R,2), IF(COUNTIF($W$2:W1050,A65)=0,$C$9,""))</f>
        <v>99.619</v>
      </c>
      <c r="F65" s="2">
        <f t="shared" ca="1" si="6"/>
        <v>-252460.00000000093</v>
      </c>
      <c r="G65" s="43">
        <f t="shared" ca="1" si="7"/>
        <v>-787.45333333333838</v>
      </c>
      <c r="H65" s="40">
        <f ca="1">IF(COUNTIF($W$2:W1050,A65)=1,VLOOKUP(A65,S:T,2), IF(COUNTIF($W$2:W1050,A65)=0,$D$9,""))</f>
        <v>282.697</v>
      </c>
      <c r="I65" s="41">
        <f ca="1">IF(COUNTIF($X$2:X1050,INT(A65))=1,VLOOKUP(INT(A65),X:Y,2), IF(ISERROR(H65-2),"",I64*(1-$D$8*(H65-H64)*0.0001)))</f>
        <v>264.6927</v>
      </c>
      <c r="J65" s="41">
        <f t="shared" ca="1" si="8"/>
        <v>264.6927</v>
      </c>
      <c r="K65" s="43">
        <f t="shared" ca="1" si="9"/>
        <v>36291.505791503594</v>
      </c>
      <c r="L65" s="43" t="str">
        <f ca="1">IF($A65="","",IF(COUNTIFS(Dividends!$G:$G,"&gt;"&amp;INT($A64),Dividends!$G:$G,"&lt;="&amp;INT($A65))=0,"",$H$2*SUMIFS(Dividends!$H:$H,Dividends!$G:$G,"&gt;"&amp;INT($A64),Dividends!$G:$G,"&lt;="&amp;INT($A65))))</f>
        <v/>
      </c>
      <c r="M65" s="44">
        <f ca="1">IF(ISERROR(B65-2),"",C65+D65-F65-G65-K65+SUM($L$14:L65))</f>
        <v>-164212.23928698606</v>
      </c>
      <c r="O65" s="3">
        <v>46140.625</v>
      </c>
      <c r="P65" s="4">
        <v>90.69</v>
      </c>
      <c r="Q65" s="3">
        <v>46136.625</v>
      </c>
      <c r="R65" s="4">
        <v>99.637</v>
      </c>
      <c r="S65" s="3">
        <v>46136.625</v>
      </c>
      <c r="T65" s="4">
        <v>288.863</v>
      </c>
      <c r="U65" s="3">
        <f t="shared" si="0"/>
        <v>46140.625</v>
      </c>
      <c r="V65" s="3">
        <f t="shared" si="1"/>
        <v>46140.625</v>
      </c>
      <c r="W65" s="3">
        <v>46141.625</v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  <c r="AI65" s="7"/>
    </row>
    <row r="66" spans="1:35" x14ac:dyDescent="0.25">
      <c r="A66" s="39">
        <f t="shared" ca="1" si="3"/>
        <v>46127.625</v>
      </c>
      <c r="B66" s="40">
        <f ca="1">IF(COUNTIF($W$2:W1051,A66)=1,VLOOKUP(A66,O:P,2), IF(COUNTIF($W$2:W1051,A66)=0,$B$9,""))</f>
        <v>90.88</v>
      </c>
      <c r="C66" s="2">
        <f t="shared" ca="1" si="4"/>
        <v>-915297.63174738712</v>
      </c>
      <c r="D66" s="43">
        <f t="shared" ca="1" si="5"/>
        <v>-172250</v>
      </c>
      <c r="E66" s="40">
        <f ca="1">IF(COUNTIF($W$2:W1051,A66)=1,VLOOKUP(A66,Q:R,2), IF(COUNTIF($W$2:W1051,A66)=0,$C$9,""))</f>
        <v>99.653999999999996</v>
      </c>
      <c r="F66" s="2">
        <f t="shared" ca="1" si="6"/>
        <v>-243360.0000000018</v>
      </c>
      <c r="G66" s="43">
        <f t="shared" ca="1" si="7"/>
        <v>-797.68000000002212</v>
      </c>
      <c r="H66" s="40">
        <f ca="1">IF(COUNTIF($W$2:W1051,A66)=1,VLOOKUP(A66,S:T,2), IF(COUNTIF($W$2:W1051,A66)=0,$D$9,""))</f>
        <v>282.51900000000001</v>
      </c>
      <c r="I66" s="41">
        <f ca="1">IF(COUNTIF($X$2:X1051,INT(A66))=1,VLOOKUP(INT(A66),X:Y,2), IF(ISERROR(H66-2),"",I65*(1-$D$8*(H66-H65)*0.0001)))</f>
        <v>264.62900000000002</v>
      </c>
      <c r="J66" s="41">
        <f t="shared" ca="1" si="8"/>
        <v>264.62900000000002</v>
      </c>
      <c r="K66" s="43">
        <f t="shared" ca="1" si="9"/>
        <v>31782.496782496895</v>
      </c>
      <c r="L66" s="43" t="str">
        <f ca="1">IF($A66="","",IF(COUNTIFS(Dividends!$G:$G,"&gt;"&amp;INT($A65),Dividends!$G:$G,"&lt;="&amp;INT($A66))=0,"",$H$2*SUMIFS(Dividends!$H:$H,Dividends!$G:$G,"&gt;"&amp;INT($A65),Dividends!$G:$G,"&lt;="&amp;INT($A66))))</f>
        <v/>
      </c>
      <c r="M66" s="44">
        <f ca="1">IF(ISERROR(B66-2),"",C66+D66-F66-G66-K66+SUM($L$14:L66))</f>
        <v>-129396.89913794701</v>
      </c>
      <c r="O66" s="3">
        <v>46141.625</v>
      </c>
      <c r="P66" s="4">
        <v>90.76</v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>
        <f t="shared" si="0"/>
        <v>46141.625</v>
      </c>
      <c r="V66" s="3">
        <f t="shared" si="1"/>
        <v>46141.625</v>
      </c>
      <c r="W66" s="3">
        <v>46142.625</v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  <c r="AI66" s="7"/>
    </row>
    <row r="67" spans="1:35" x14ac:dyDescent="0.25">
      <c r="A67" s="39">
        <f t="shared" ca="1" si="3"/>
        <v>46128.625</v>
      </c>
      <c r="B67" s="40">
        <f ca="1">IF(COUNTIF($W$2:W1052,A67)=1,VLOOKUP(A67,O:P,2), IF(COUNTIF($W$2:W1052,A67)=0,$B$9,""))</f>
        <v>90.85</v>
      </c>
      <c r="C67" s="2">
        <f t="shared" ca="1" si="4"/>
        <v>-924898.65585662413</v>
      </c>
      <c r="D67" s="43">
        <f t="shared" ca="1" si="5"/>
        <v>-174458.33333333334</v>
      </c>
      <c r="E67" s="40">
        <f ca="1">IF(COUNTIF($W$2:W1052,A67)=1,VLOOKUP(A67,Q:R,2), IF(COUNTIF($W$2:W1052,A67)=0,$C$9,""))</f>
        <v>99.677000000000007</v>
      </c>
      <c r="F67" s="2">
        <f t="shared" ca="1" si="6"/>
        <v>-237379.99999999913</v>
      </c>
      <c r="G67" s="43">
        <f t="shared" ca="1" si="7"/>
        <v>-807.90666666667676</v>
      </c>
      <c r="H67" s="40">
        <f ca="1">IF(COUNTIF($W$2:W1052,A67)=1,VLOOKUP(A67,S:T,2), IF(COUNTIF($W$2:W1052,A67)=0,$D$9,""))</f>
        <v>286.733</v>
      </c>
      <c r="I67" s="41">
        <f ca="1">IF(COUNTIF($X$2:X1052,INT(A67))=1,VLOOKUP(INT(A67),X:Y,2), IF(ISERROR(H67-2),"",I66*(1-$D$8*(H67-H66)*0.0001)))</f>
        <v>264.24419999999998</v>
      </c>
      <c r="J67" s="41">
        <f t="shared" ca="1" si="8"/>
        <v>264.24419999999998</v>
      </c>
      <c r="K67" s="43">
        <f t="shared" ca="1" si="9"/>
        <v>4544.4015444009219</v>
      </c>
      <c r="L67" s="43" t="str">
        <f ca="1">IF($A67="","",IF(COUNTIFS(Dividends!$G:$G,"&gt;"&amp;INT($A66),Dividends!$G:$G,"&lt;="&amp;INT($A67))=0,"",$H$2*SUMIFS(Dividends!$H:$H,Dividends!$G:$G,"&gt;"&amp;INT($A66),Dividends!$G:$G,"&lt;="&amp;INT($A67))))</f>
        <v/>
      </c>
      <c r="M67" s="44">
        <f ca="1">IF(ISERROR(B67-2),"",C67+D67-F67-G67-K67+SUM($L$14:L67))</f>
        <v>-119937.93467575754</v>
      </c>
      <c r="O67" s="3">
        <v>46142.625</v>
      </c>
      <c r="P67" s="4">
        <v>90.81</v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>
        <f t="shared" si="0"/>
        <v>46142.625</v>
      </c>
      <c r="V67" s="3">
        <f t="shared" si="1"/>
        <v>46142.625</v>
      </c>
      <c r="W67" s="3">
        <v>46147.625</v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  <c r="AI67" s="7"/>
    </row>
    <row r="68" spans="1:35" x14ac:dyDescent="0.25">
      <c r="A68" s="39">
        <f t="shared" ca="1" si="3"/>
        <v>46129.625</v>
      </c>
      <c r="B68" s="40">
        <f ca="1">IF(COUNTIF($W$2:W1053,A68)=1,VLOOKUP(A68,O:P,2), IF(COUNTIF($W$2:W1053,A68)=0,$B$9,""))</f>
        <v>91.4</v>
      </c>
      <c r="C68" s="2">
        <f t="shared" ca="1" si="4"/>
        <v>-748879.88052058429</v>
      </c>
      <c r="D68" s="43">
        <f t="shared" ca="1" si="5"/>
        <v>-176666.66666666666</v>
      </c>
      <c r="E68" s="40">
        <f ca="1">IF(COUNTIF($W$2:W1053,A68)=1,VLOOKUP(A68,Q:R,2), IF(COUNTIF($W$2:W1053,A68)=0,$C$9,""))</f>
        <v>99.953999999999994</v>
      </c>
      <c r="F68" s="2">
        <f t="shared" ca="1" si="6"/>
        <v>-165360.00000000259</v>
      </c>
      <c r="G68" s="43">
        <f t="shared" ca="1" si="7"/>
        <v>-818.13333333333139</v>
      </c>
      <c r="H68" s="40">
        <f ca="1">IF(COUNTIF($W$2:W1053,A68)=1,VLOOKUP(A68,S:T,2), IF(COUNTIF($W$2:W1053,A68)=0,$D$9,""))</f>
        <v>275.16800000000001</v>
      </c>
      <c r="I68" s="41">
        <f ca="1">IF(COUNTIF($X$2:X1053,INT(A68))=1,VLOOKUP(INT(A68),X:Y,2), IF(ISERROR(H68-2),"",I67*(1-$D$8*(H68-H67)*0.0001)))</f>
        <v>265.60180000000003</v>
      </c>
      <c r="J68" s="41">
        <f t="shared" ca="1" si="8"/>
        <v>265.60180000000003</v>
      </c>
      <c r="K68" s="43">
        <f t="shared" ca="1" si="9"/>
        <v>100642.21364221333</v>
      </c>
      <c r="L68" s="43" t="str">
        <f ca="1">IF($A68="","",IF(COUNTIFS(Dividends!$G:$G,"&gt;"&amp;INT($A67),Dividends!$G:$G,"&lt;="&amp;INT($A68))=0,"",$H$2*SUMIFS(Dividends!$H:$H,Dividends!$G:$G,"&gt;"&amp;INT($A67),Dividends!$G:$G,"&lt;="&amp;INT($A68))))</f>
        <v/>
      </c>
      <c r="M68" s="44">
        <f ca="1">IF(ISERROR(B68-2),"",C68+D68-F68-G68-K68+SUM($L$14:L68))</f>
        <v>-114235.07810419332</v>
      </c>
      <c r="O68" s="3">
        <v>46147.625</v>
      </c>
      <c r="P68" s="4">
        <v>90.89</v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>
        <f t="shared" ref="U68:U131" si="10">IF(COUNTIF(Q:Q,O68)*COUNTIF(S:S,O68),O68,"")</f>
        <v>46147.625</v>
      </c>
      <c r="V68" s="3">
        <f t="shared" ref="V68:V131" si="11">IF(U68&gt;$A$14,U68,"")</f>
        <v>46147.625</v>
      </c>
      <c r="W68" s="3">
        <v>46148.625</v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2">IF(COUNTIF(AB:AB,Z68),Z68,"")</f>
        <v>45873</v>
      </c>
      <c r="AE68" s="22"/>
      <c r="AF68" s="22"/>
      <c r="AG68" s="22"/>
      <c r="AH68" s="22"/>
      <c r="AI68" s="7"/>
    </row>
    <row r="69" spans="1:35" x14ac:dyDescent="0.25">
      <c r="A69" s="39">
        <f t="shared" ca="1" si="3"/>
        <v>46132.625</v>
      </c>
      <c r="B69" s="40">
        <f ca="1">IF(COUNTIF($W$2:W1054,A69)=1,VLOOKUP(A69,O:P,2), IF(COUNTIF($W$2:W1054,A69)=0,$B$9,""))</f>
        <v>91.09</v>
      </c>
      <c r="C69" s="2">
        <f t="shared" ca="1" si="4"/>
        <v>-848090.46298271464</v>
      </c>
      <c r="D69" s="43">
        <f t="shared" ca="1" si="5"/>
        <v>-183291.66666666666</v>
      </c>
      <c r="E69" s="40">
        <f ca="1">IF(COUNTIF($W$2:W1054,A69)=1,VLOOKUP(A69,Q:R,2), IF(COUNTIF($W$2:W1054,A69)=0,$C$9,""))</f>
        <v>99.831000000000003</v>
      </c>
      <c r="F69" s="2">
        <f t="shared" ca="1" si="6"/>
        <v>-197340.00000000009</v>
      </c>
      <c r="G69" s="43">
        <f t="shared" ca="1" si="7"/>
        <v>-848.81333333332441</v>
      </c>
      <c r="H69" s="40">
        <f ca="1">IF(COUNTIF($W$2:W1054,A69)=1,VLOOKUP(A69,S:T,2), IF(COUNTIF($W$2:W1054,A69)=0,$D$9,""))</f>
        <v>280.36399999999998</v>
      </c>
      <c r="I69" s="41">
        <f ca="1">IF(COUNTIF($X$2:X1054,INT(A69))=1,VLOOKUP(INT(A69),X:Y,2), IF(ISERROR(H69-2),"",I68*(1-$D$8*(H69-H68)*0.0001)))</f>
        <v>265.2414</v>
      </c>
      <c r="J69" s="41">
        <f t="shared" ca="1" si="8"/>
        <v>265.2414</v>
      </c>
      <c r="K69" s="43">
        <f t="shared" ca="1" si="9"/>
        <v>75131.274131274666</v>
      </c>
      <c r="L69" s="43" t="str">
        <f ca="1">IF($A69="","",IF(COUNTIFS(Dividends!$G:$G,"&gt;"&amp;INT($A68),Dividends!$G:$G,"&lt;="&amp;INT($A69))=0,"",$H$2*SUMIFS(Dividends!$H:$H,Dividends!$G:$G,"&gt;"&amp;INT($A68),Dividends!$G:$G,"&lt;="&amp;INT($A69))))</f>
        <v/>
      </c>
      <c r="M69" s="44">
        <f ca="1">IF(ISERROR(B69-2),"",C69+D69-F69-G69-K69+SUM($L$14:L69))</f>
        <v>-162549.04105538735</v>
      </c>
      <c r="O69" s="3">
        <v>46148.625</v>
      </c>
      <c r="P69" s="4">
        <v>91.41</v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>
        <f t="shared" si="10"/>
        <v>46148.625</v>
      </c>
      <c r="V69" s="3">
        <f t="shared" si="11"/>
        <v>46148.625</v>
      </c>
      <c r="W69" s="3">
        <v>46149.625</v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2"/>
        <v>45874</v>
      </c>
      <c r="AE69" s="22"/>
      <c r="AF69" s="22"/>
      <c r="AG69" s="22"/>
      <c r="AH69" s="22"/>
      <c r="AI69" s="7"/>
    </row>
    <row r="70" spans="1:35" x14ac:dyDescent="0.25">
      <c r="A70" s="39">
        <f t="shared" ca="1" si="3"/>
        <v>46133.625</v>
      </c>
      <c r="B70" s="40">
        <f ca="1">IF(COUNTIF($W$2:W1055,A70)=1,VLOOKUP(A70,O:P,2), IF(COUNTIF($W$2:W1055,A70)=0,$B$9,""))</f>
        <v>91.01</v>
      </c>
      <c r="C70" s="2">
        <f t="shared" ca="1" si="4"/>
        <v>-873693.19394068222</v>
      </c>
      <c r="D70" s="43">
        <f t="shared" ca="1" si="5"/>
        <v>-185500</v>
      </c>
      <c r="E70" s="40">
        <f ca="1">IF(COUNTIF($W$2:W1055,A70)=1,VLOOKUP(A70,Q:R,2), IF(COUNTIF($W$2:W1055,A70)=0,$C$9,""))</f>
        <v>99.707999999999998</v>
      </c>
      <c r="F70" s="2">
        <f t="shared" ca="1" si="6"/>
        <v>-229320.00000000131</v>
      </c>
      <c r="G70" s="43">
        <f t="shared" ca="1" si="7"/>
        <v>-859.04000000000815</v>
      </c>
      <c r="H70" s="40">
        <f ca="1">IF(COUNTIF($W$2:W1055,A70)=1,VLOOKUP(A70,S:T,2), IF(COUNTIF($W$2:W1055,A70)=0,$D$9,""))</f>
        <v>285.44799999999998</v>
      </c>
      <c r="I70" s="41">
        <f ca="1">IF(COUNTIF($X$2:X1055,INT(A70))=1,VLOOKUP(INT(A70),X:Y,2), IF(ISERROR(H70-2),"",I69*(1-$D$8*(H70-H69)*0.0001)))</f>
        <v>264.60359999999997</v>
      </c>
      <c r="J70" s="41">
        <f t="shared" ca="1" si="8"/>
        <v>264.60359999999997</v>
      </c>
      <c r="K70" s="43">
        <f t="shared" ca="1" si="9"/>
        <v>29984.555984555296</v>
      </c>
      <c r="L70" s="43" t="str">
        <f ca="1">IF($A70="","",IF(COUNTIFS(Dividends!$G:$G,"&gt;"&amp;INT($A69),Dividends!$G:$G,"&lt;="&amp;INT($A70))=0,"",$H$2*SUMIFS(Dividends!$H:$H,Dividends!$G:$G,"&gt;"&amp;INT($A69),Dividends!$G:$G,"&lt;="&amp;INT($A70))))</f>
        <v/>
      </c>
      <c r="M70" s="44">
        <f ca="1">IF(ISERROR(B70-2),"",C70+D70-F70-G70-K70+SUM($L$14:L70))</f>
        <v>-113223.16053330118</v>
      </c>
      <c r="O70" s="3">
        <v>46149.625</v>
      </c>
      <c r="P70" s="4">
        <v>91.39</v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>
        <f t="shared" si="10"/>
        <v>46149.625</v>
      </c>
      <c r="V70" s="3">
        <f t="shared" si="11"/>
        <v>46149.625</v>
      </c>
      <c r="W70" s="3">
        <v>46150.625</v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2"/>
        <v>45875</v>
      </c>
      <c r="AI70" s="7"/>
    </row>
    <row r="71" spans="1:35" x14ac:dyDescent="0.25">
      <c r="A71" s="39">
        <f t="shared" ca="1" si="3"/>
        <v>46134.625</v>
      </c>
      <c r="B71" s="40">
        <f ca="1">IF(COUNTIF($W$2:W1056,A71)=1,VLOOKUP(A71,O:P,2), IF(COUNTIF($W$2:W1056,A71)=0,$B$9,""))</f>
        <v>90.94</v>
      </c>
      <c r="C71" s="2">
        <f t="shared" ca="1" si="4"/>
        <v>-896095.58352890972</v>
      </c>
      <c r="D71" s="43">
        <f t="shared" ca="1" si="5"/>
        <v>-187708.33333333334</v>
      </c>
      <c r="E71" s="40">
        <f ca="1">IF(COUNTIF($W$2:W1056,A71)=1,VLOOKUP(A71,Q:R,2), IF(COUNTIF($W$2:W1056,A71)=0,$C$9,""))</f>
        <v>99.655000000000001</v>
      </c>
      <c r="F71" s="2">
        <f t="shared" ca="1" si="6"/>
        <v>-243100.00000000061</v>
      </c>
      <c r="G71" s="43">
        <f t="shared" ca="1" si="7"/>
        <v>-869.26666666666279</v>
      </c>
      <c r="H71" s="40">
        <f ca="1">IF(COUNTIF($W$2:W1056,A71)=1,VLOOKUP(A71,S:T,2), IF(COUNTIF($W$2:W1056,A71)=0,$D$9,""))</f>
        <v>285.53500000000003</v>
      </c>
      <c r="I71" s="41">
        <f ca="1">IF(COUNTIF($X$2:X1056,INT(A71))=1,VLOOKUP(INT(A71),X:Y,2), IF(ISERROR(H71-2),"",I70*(1-$D$8*(H71-H70)*0.0001)))</f>
        <v>264.55340000000001</v>
      </c>
      <c r="J71" s="41">
        <f t="shared" ca="1" si="8"/>
        <v>264.55340000000001</v>
      </c>
      <c r="K71" s="43">
        <f t="shared" ca="1" si="9"/>
        <v>26431.145431146819</v>
      </c>
      <c r="L71" s="43" t="str">
        <f ca="1">IF($A71="","",IF(COUNTIFS(Dividends!$G:$G,"&gt;"&amp;INT($A70),Dividends!$G:$G,"&lt;="&amp;INT($A71))=0,"",$H$2*SUMIFS(Dividends!$H:$H,Dividends!$G:$G,"&gt;"&amp;INT($A70),Dividends!$G:$G,"&lt;="&amp;INT($A71))))</f>
        <v/>
      </c>
      <c r="M71" s="44">
        <f ca="1">IF(ISERROR(B71-2),"",C71+D71-F71-G71-K71+SUM($L$14:L71))</f>
        <v>-120490.24623478751</v>
      </c>
      <c r="O71" s="3">
        <v>46150.625</v>
      </c>
      <c r="P71" s="4">
        <v>91.4</v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>
        <f t="shared" si="10"/>
        <v>46150.625</v>
      </c>
      <c r="V71" s="3">
        <f t="shared" si="11"/>
        <v>46150.625</v>
      </c>
      <c r="W71" s="3">
        <v>46153.625</v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2"/>
        <v>45876</v>
      </c>
      <c r="AI71" s="7"/>
    </row>
    <row r="72" spans="1:35" x14ac:dyDescent="0.25">
      <c r="A72" s="39">
        <f t="shared" ca="1" si="3"/>
        <v>46135.625</v>
      </c>
      <c r="B72" s="40">
        <f ca="1">IF(COUNTIF($W$2:W1057,A72)=1,VLOOKUP(A72,O:P,2), IF(COUNTIF($W$2:W1057,A72)=0,$B$9,""))</f>
        <v>90.99</v>
      </c>
      <c r="C72" s="2">
        <f t="shared" ca="1" si="4"/>
        <v>-880093.87668017915</v>
      </c>
      <c r="D72" s="43">
        <f t="shared" ca="1" si="5"/>
        <v>-189916.66666666666</v>
      </c>
      <c r="E72" s="40">
        <f ca="1">IF(COUNTIF($W$2:W1057,A72)=1,VLOOKUP(A72,Q:R,2), IF(COUNTIF($W$2:W1057,A72)=0,$C$9,""))</f>
        <v>99.626999999999995</v>
      </c>
      <c r="F72" s="2">
        <f t="shared" ca="1" si="6"/>
        <v>-250380.00000000212</v>
      </c>
      <c r="G72" s="43">
        <f t="shared" ca="1" si="7"/>
        <v>-879.49333333334653</v>
      </c>
      <c r="H72" s="40">
        <f ca="1">IF(COUNTIF($W$2:W1057,A72)=1,VLOOKUP(A72,S:T,2), IF(COUNTIF($W$2:W1057,A72)=0,$D$9,""))</f>
        <v>284.40800000000002</v>
      </c>
      <c r="I72" s="41">
        <f ca="1">IF(COUNTIF($X$2:X1057,INT(A72))=1,VLOOKUP(INT(A72),X:Y,2), IF(ISERROR(H72-2),"",I71*(1-$D$8*(H72-H71)*0.0001)))</f>
        <v>264.38159999999999</v>
      </c>
      <c r="J72" s="41">
        <f t="shared" ca="1" si="8"/>
        <v>264.38159999999999</v>
      </c>
      <c r="K72" s="43">
        <f t="shared" ca="1" si="9"/>
        <v>14270.270270269635</v>
      </c>
      <c r="L72" s="43" t="str">
        <f ca="1">IF($A72="","",IF(COUNTIFS(Dividends!$G:$G,"&gt;"&amp;INT($A71),Dividends!$G:$G,"&lt;="&amp;INT($A72))=0,"",$H$2*SUMIFS(Dividends!$H:$H,Dividends!$G:$G,"&gt;"&amp;INT($A71),Dividends!$G:$G,"&lt;="&amp;INT($A72))))</f>
        <v/>
      </c>
      <c r="M72" s="44">
        <f ca="1">IF(ISERROR(B72-2),"",C72+D72-F72-G72-K72+SUM($L$14:L72))</f>
        <v>-87245.770891844761</v>
      </c>
      <c r="O72" s="3">
        <v>46153.625</v>
      </c>
      <c r="P72" s="4">
        <v>91.44</v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>
        <f t="shared" si="10"/>
        <v>46153.625</v>
      </c>
      <c r="V72" s="3">
        <f t="shared" si="11"/>
        <v>46153.625</v>
      </c>
      <c r="W72" s="3">
        <v>46154.625</v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2"/>
        <v>45877</v>
      </c>
      <c r="AI72" s="7"/>
    </row>
    <row r="73" spans="1:35" x14ac:dyDescent="0.25">
      <c r="A73" s="39">
        <f t="shared" ca="1" si="3"/>
        <v>46136.625</v>
      </c>
      <c r="B73" s="40">
        <f ca="1">IF(COUNTIF($W$2:W1058,A73)=1,VLOOKUP(A73,O:P,2), IF(COUNTIF($W$2:W1058,A73)=0,$B$9,""))</f>
        <v>90.93</v>
      </c>
      <c r="C73" s="2">
        <f t="shared" ca="1" si="4"/>
        <v>-899295.92489865317</v>
      </c>
      <c r="D73" s="43">
        <f t="shared" ca="1" si="5"/>
        <v>-192125</v>
      </c>
      <c r="E73" s="40">
        <f ca="1">IF(COUNTIF($W$2:W1058,A73)=1,VLOOKUP(A73,Q:R,2), IF(COUNTIF($W$2:W1058,A73)=0,$C$9,""))</f>
        <v>99.637</v>
      </c>
      <c r="F73" s="2">
        <f t="shared" ca="1" si="6"/>
        <v>-247780.00000000079</v>
      </c>
      <c r="G73" s="43">
        <f t="shared" ca="1" si="7"/>
        <v>-889.72000000000116</v>
      </c>
      <c r="H73" s="40">
        <f ca="1">IF(COUNTIF($W$2:W1058,A73)=1,VLOOKUP(A73,S:T,2), IF(COUNTIF($W$2:W1058,A73)=0,$D$9,""))</f>
        <v>288.863</v>
      </c>
      <c r="I73" s="41">
        <f ca="1">IF(COUNTIF($X$2:X1058,INT(A73))=1,VLOOKUP(INT(A73),X:Y,2), IF(ISERROR(H73-2),"",I72*(1-$D$8*(H73-H72)*0.0001)))</f>
        <v>264.2679</v>
      </c>
      <c r="J73" s="41">
        <f t="shared" ca="1" si="8"/>
        <v>264.2679</v>
      </c>
      <c r="K73" s="43">
        <f t="shared" ca="1" si="9"/>
        <v>6222.0077220071616</v>
      </c>
      <c r="L73" s="43" t="str">
        <f ca="1">IF($A73="","",IF(COUNTIFS(Dividends!$G:$G,"&gt;"&amp;INT($A72),Dividends!$G:$G,"&lt;="&amp;INT($A73))=0,"",$H$2*SUMIFS(Dividends!$H:$H,Dividends!$G:$G,"&gt;"&amp;INT($A72),Dividends!$G:$G,"&lt;="&amp;INT($A73))))</f>
        <v/>
      </c>
      <c r="M73" s="44">
        <f ca="1">IF(ISERROR(B73-2),"",C73+D73-F73-G73-K73+SUM($L$14:L73))</f>
        <v>-103197.6632287245</v>
      </c>
      <c r="O73" s="3">
        <v>46154.625</v>
      </c>
      <c r="P73" s="4">
        <v>91.28</v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>
        <f t="shared" si="10"/>
        <v>46154.625</v>
      </c>
      <c r="V73" s="3">
        <f t="shared" si="11"/>
        <v>46154.625</v>
      </c>
      <c r="W73" s="3">
        <v>46155.625</v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2"/>
        <v>45880</v>
      </c>
      <c r="AI73" s="7"/>
    </row>
    <row r="74" spans="1:35" x14ac:dyDescent="0.25">
      <c r="A74" s="39">
        <f t="shared" ca="1" si="3"/>
        <v>46139.625</v>
      </c>
      <c r="B74" s="40">
        <f ca="1">IF(COUNTIF($W$2:W1059,A74)=1,VLOOKUP(A74,O:P,2), IF(COUNTIF($W$2:W1059,A74)=0,$B$9,""))</f>
        <v>90.97</v>
      </c>
      <c r="C74" s="2">
        <f t="shared" ca="1" si="4"/>
        <v>-886494.55941966933</v>
      </c>
      <c r="D74" s="43">
        <f t="shared" ca="1" si="5"/>
        <v>-198750</v>
      </c>
      <c r="E74" s="40">
        <f ca="1">IF(COUNTIF($W$2:W1059,A74)=1,VLOOKUP(A74,Q:R,2), IF(COUNTIF($W$2:W1059,A74)=0,$C$9,""))</f>
        <v>99.608000000000004</v>
      </c>
      <c r="F74" s="2">
        <f t="shared" ca="1" si="6"/>
        <v>-255319.99999999983</v>
      </c>
      <c r="G74" s="43">
        <f t="shared" ca="1" si="7"/>
        <v>-920.39999999999418</v>
      </c>
      <c r="H74" s="40">
        <f ca="1">IF(COUNTIF($W$2:W1059,A74)=1,VLOOKUP(A74,S:T,2), IF(COUNTIF($W$2:W1059,A74)=0,$D$9,""))</f>
        <v>289.209</v>
      </c>
      <c r="I74" s="41">
        <f ca="1">IF(COUNTIF($X$2:X1059,INT(A74))=1,VLOOKUP(INT(A74),X:Y,2), IF(ISERROR(H74-2),"",I73*(1-$D$8*(H74-H73)*0.0001)))</f>
        <v>264.16750000000002</v>
      </c>
      <c r="J74" s="41">
        <f t="shared" ca="1" si="8"/>
        <v>264.16750000000002</v>
      </c>
      <c r="K74" s="43">
        <f t="shared" ca="1" si="9"/>
        <v>-884.81338481186663</v>
      </c>
      <c r="L74" s="43" t="str">
        <f ca="1">IF($A74="","",IF(COUNTIFS(Dividends!$G:$G,"&gt;"&amp;INT($A73),Dividends!$G:$G,"&lt;="&amp;INT($A74))=0,"",$H$2*SUMIFS(Dividends!$H:$H,Dividends!$G:$G,"&gt;"&amp;INT($A73),Dividends!$G:$G,"&lt;="&amp;INT($A74))))</f>
        <v/>
      </c>
      <c r="M74" s="44">
        <f ca="1">IF(ISERROR(B74-2),"",C74+D74-F74-G74-K74+SUM($L$14:L74))</f>
        <v>-82343.796642922447</v>
      </c>
      <c r="O74" s="3">
        <v>46155.625</v>
      </c>
      <c r="P74" s="4">
        <v>91.31</v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>
        <f t="shared" si="10"/>
        <v>46155.625</v>
      </c>
      <c r="V74" s="3">
        <f t="shared" si="11"/>
        <v>46155.625</v>
      </c>
      <c r="W74" s="3">
        <v>46156.625</v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2"/>
        <v>45881</v>
      </c>
      <c r="AI74" s="7"/>
    </row>
    <row r="75" spans="1:35" x14ac:dyDescent="0.25">
      <c r="A75" s="39">
        <f t="shared" ca="1" si="3"/>
        <v>46140.625</v>
      </c>
      <c r="B75" s="40">
        <f ca="1">IF(COUNTIF($W$2:W1060,A75)=1,VLOOKUP(A75,O:P,2), IF(COUNTIF($W$2:W1060,A75)=0,$B$9,""))</f>
        <v>90.69</v>
      </c>
      <c r="C75" s="2">
        <f t="shared" ca="1" si="4"/>
        <v>-976104.11777256266</v>
      </c>
      <c r="D75" s="43">
        <f t="shared" ca="1" si="5"/>
        <v>-200958.33333333331</v>
      </c>
      <c r="E75" s="40">
        <f ca="1">IF(COUNTIF($W$2:W1060,A75)=1,VLOOKUP(A75,Q:R,2), IF(COUNTIF($W$2:W1060,A75)=0,$C$9,""))</f>
        <v>99.456000000000003</v>
      </c>
      <c r="F75" s="2">
        <f t="shared" ca="1" si="6"/>
        <v>-294840.00000000006</v>
      </c>
      <c r="G75" s="43">
        <f t="shared" ca="1" si="7"/>
        <v>-930.62666666667792</v>
      </c>
      <c r="H75" s="40">
        <f ca="1">IF(COUNTIF($W$2:W1060,A75)=1,VLOOKUP(A75,S:T,2), IF(COUNTIF($W$2:W1060,A75)=0,$D$9,""))</f>
        <v>291.65699999999998</v>
      </c>
      <c r="I75" s="41">
        <f ca="1">IF(COUNTIF($X$2:X1060,INT(A75))=1,VLOOKUP(INT(A75),X:Y,2), IF(ISERROR(H75-2),"",I74*(1-$D$8*(H75-H74)*0.0001)))</f>
        <v>263.87139999999999</v>
      </c>
      <c r="J75" s="41">
        <f t="shared" ca="1" si="8"/>
        <v>263.87139999999999</v>
      </c>
      <c r="K75" s="43">
        <f t="shared" ca="1" si="9"/>
        <v>-21844.272844273248</v>
      </c>
      <c r="L75" s="43" t="str">
        <f ca="1">IF($A75="","",IF(COUNTIFS(Dividends!$G:$G,"&gt;"&amp;INT($A74),Dividends!$G:$G,"&lt;="&amp;INT($A75))=0,"",$H$2*SUMIFS(Dividends!$H:$H,Dividends!$G:$G,"&gt;"&amp;INT($A74),Dividends!$G:$G,"&lt;="&amp;INT($A75))))</f>
        <v/>
      </c>
      <c r="M75" s="44">
        <f ca="1">IF(ISERROR(B75-2),"",C75+D75-F75-G75-K75+SUM($L$14:L75))</f>
        <v>-113672.00220302085</v>
      </c>
      <c r="O75" s="3">
        <v>46156.625</v>
      </c>
      <c r="P75" s="4">
        <v>91.4</v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>
        <f t="shared" si="10"/>
        <v>46156.625</v>
      </c>
      <c r="V75" s="3">
        <f t="shared" si="11"/>
        <v>46156.625</v>
      </c>
      <c r="W75" s="3">
        <v>46157.625</v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2"/>
        <v>45882</v>
      </c>
      <c r="AI75" s="7"/>
    </row>
    <row r="76" spans="1:35" x14ac:dyDescent="0.25">
      <c r="A76" s="39">
        <f t="shared" ca="1" si="3"/>
        <v>46141.625</v>
      </c>
      <c r="B76" s="40">
        <f ca="1">IF(COUNTIF($W$2:W1061,A76)=1,VLOOKUP(A76,O:P,2), IF(COUNTIF($W$2:W1061,A76)=0,$B$9,""))</f>
        <v>90.76</v>
      </c>
      <c r="C76" s="2">
        <f t="shared" ca="1" si="4"/>
        <v>-953701.72818433517</v>
      </c>
      <c r="D76" s="43">
        <f t="shared" ca="1" si="5"/>
        <v>-203166.66666666663</v>
      </c>
      <c r="E76" s="40">
        <f ca="1">IF(COUNTIF($W$2:W1061,A76)=1,VLOOKUP(A76,Q:R,2), IF(COUNTIF($W$2:W1061,A76)=0,$C$9,""))</f>
        <v>99.296000000000006</v>
      </c>
      <c r="F76" s="2">
        <f t="shared" ca="1" si="6"/>
        <v>-336439.99999999919</v>
      </c>
      <c r="G76" s="43">
        <f t="shared" ca="1" si="7"/>
        <v>-940.85333333333256</v>
      </c>
      <c r="H76" s="40">
        <f ca="1">IF(COUNTIF($W$2:W1061,A76)=1,VLOOKUP(A76,S:T,2), IF(COUNTIF($W$2:W1061,A76)=0,$D$9,""))</f>
        <v>294.57900000000001</v>
      </c>
      <c r="I76" s="41">
        <f ca="1">IF(COUNTIF($X$2:X1061,INT(A76))=1,VLOOKUP(INT(A76),X:Y,2), IF(ISERROR(H76-2),"",I75*(1-$D$8*(H76-H75)*0.0001)))</f>
        <v>263.29599999999999</v>
      </c>
      <c r="J76" s="41">
        <f t="shared" ca="1" si="8"/>
        <v>263.29599999999999</v>
      </c>
      <c r="K76" s="43">
        <f t="shared" ca="1" si="9"/>
        <v>-62574.002574003418</v>
      </c>
      <c r="L76" s="43" t="str">
        <f ca="1">IF($A76="","",IF(COUNTIFS(Dividends!$G:$G,"&gt;"&amp;INT($A75),Dividends!$G:$G,"&lt;="&amp;INT($A76))=0,"",$H$2*SUMIFS(Dividends!$H:$H,Dividends!$G:$G,"&gt;"&amp;INT($A75),Dividends!$G:$G,"&lt;="&amp;INT($A76))))</f>
        <v/>
      </c>
      <c r="M76" s="44">
        <f ca="1">IF(ISERROR(B76-2),"",C76+D76-F76-G76-K76+SUM($L$14:L76))</f>
        <v>-11137.989551730803</v>
      </c>
      <c r="O76" s="3">
        <v>46157.625</v>
      </c>
      <c r="P76" s="4">
        <v>91.28</v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>
        <f t="shared" si="10"/>
        <v>46157.625</v>
      </c>
      <c r="V76" s="3">
        <f t="shared" si="11"/>
        <v>46157.625</v>
      </c>
      <c r="W76" s="3">
        <v>46160.625</v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2"/>
        <v>45883</v>
      </c>
      <c r="AI76" s="7"/>
    </row>
    <row r="77" spans="1:35" x14ac:dyDescent="0.25">
      <c r="A77" s="39">
        <f t="shared" ca="1" si="3"/>
        <v>46142.625</v>
      </c>
      <c r="B77" s="40">
        <f ca="1">IF(COUNTIF($W$2:W1062,A77)=1,VLOOKUP(A77,O:P,2), IF(COUNTIF($W$2:W1062,A77)=0,$B$9,""))</f>
        <v>90.81</v>
      </c>
      <c r="C77" s="2">
        <f t="shared" ca="1" si="4"/>
        <v>-937700.02133560798</v>
      </c>
      <c r="D77" s="43">
        <f t="shared" ca="1" si="5"/>
        <v>-205375.00000000003</v>
      </c>
      <c r="E77" s="40">
        <f ca="1">IF(COUNTIF($W$2:W1062,A77)=1,VLOOKUP(A77,Q:R,2), IF(COUNTIF($W$2:W1062,A77)=0,$C$9,""))</f>
        <v>99.435000000000002</v>
      </c>
      <c r="F77" s="2">
        <f t="shared" ca="1" si="6"/>
        <v>-300300.00000000029</v>
      </c>
      <c r="G77" s="43">
        <f t="shared" ca="1" si="7"/>
        <v>-951.0800000000163</v>
      </c>
      <c r="H77" s="40">
        <f ca="1">IF(COUNTIF($W$2:W1062,A77)=1,VLOOKUP(A77,S:T,2), IF(COUNTIF($W$2:W1062,A77)=0,$D$9,""))</f>
        <v>292.42099999999999</v>
      </c>
      <c r="I77" s="41">
        <f ca="1">IF(COUNTIF($X$2:X1062,INT(A77))=1,VLOOKUP(INT(A77),X:Y,2), IF(ISERROR(H77-2),"",I76*(1-$D$8*(H77-H76)*0.0001)))</f>
        <v>263.72019999999998</v>
      </c>
      <c r="J77" s="41">
        <f t="shared" ca="1" si="8"/>
        <v>263.72019999999998</v>
      </c>
      <c r="K77" s="43">
        <f t="shared" ca="1" si="9"/>
        <v>-32546.975546977552</v>
      </c>
      <c r="L77" s="43" t="str">
        <f ca="1">IF($A77="","",IF(COUNTIFS(Dividends!$G:$G,"&gt;"&amp;INT($A76),Dividends!$G:$G,"&lt;="&amp;INT($A77))=0,"",$H$2*SUMIFS(Dividends!$H:$H,Dividends!$G:$G,"&gt;"&amp;INT($A76),Dividends!$G:$G,"&lt;="&amp;INT($A77))))</f>
        <v/>
      </c>
      <c r="M77" s="44">
        <f ca="1">IF(ISERROR(B77-2),"",C77+D77-F77-G77-K77+SUM($L$14:L77))</f>
        <v>-63501.416396695073</v>
      </c>
      <c r="O77" s="3">
        <v>46160.625</v>
      </c>
      <c r="P77" s="4">
        <v>91.22</v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>
        <f t="shared" si="10"/>
        <v>46160.625</v>
      </c>
      <c r="V77" s="3">
        <f t="shared" si="11"/>
        <v>46160.625</v>
      </c>
      <c r="W77" s="3">
        <v>46161.625</v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2"/>
        <v>45884</v>
      </c>
      <c r="AI77" s="7"/>
    </row>
    <row r="78" spans="1:35" x14ac:dyDescent="0.25">
      <c r="A78" s="39">
        <f t="shared" ca="1" si="3"/>
        <v>46147.625</v>
      </c>
      <c r="B78" s="40">
        <f ca="1">IF(COUNTIF($W$2:W1063,A78)=1,VLOOKUP(A78,O:P,2), IF(COUNTIF($W$2:W1063,A78)=0,$B$9,""))</f>
        <v>90.89</v>
      </c>
      <c r="C78" s="2">
        <f t="shared" ca="1" si="4"/>
        <v>-912097.29037763702</v>
      </c>
      <c r="D78" s="43">
        <f t="shared" ca="1" si="5"/>
        <v>-216416.66666666663</v>
      </c>
      <c r="E78" s="40">
        <f ca="1">IF(COUNTIF($W$2:W1063,A78)=1,VLOOKUP(A78,Q:R,2), IF(COUNTIF($W$2:W1063,A78)=0,$C$9,""))</f>
        <v>99.343000000000004</v>
      </c>
      <c r="F78" s="2">
        <f t="shared" ca="1" si="6"/>
        <v>-324219.99999999994</v>
      </c>
      <c r="G78" s="43">
        <f t="shared" ca="1" si="7"/>
        <v>-1002.2133333333477</v>
      </c>
      <c r="H78" s="40">
        <f ca="1">IF(COUNTIF($W$2:W1063,A78)=1,VLOOKUP(A78,S:T,2), IF(COUNTIF($W$2:W1063,A78)=0,$D$9,""))</f>
        <v>287.88900000000001</v>
      </c>
      <c r="I78" s="41">
        <f ca="1">IF(COUNTIF($X$2:X1063,INT(A78))=1,VLOOKUP(INT(A78),X:Y,2), IF(ISERROR(H78-2),"",I77*(1-$D$8*(H78-H77)*0.0001)))</f>
        <v>264.5573</v>
      </c>
      <c r="J78" s="41">
        <f t="shared" ca="1" si="8"/>
        <v>264.5573</v>
      </c>
      <c r="K78" s="43">
        <f t="shared" ca="1" si="9"/>
        <v>26707.207207207604</v>
      </c>
      <c r="L78" s="43" t="str">
        <f ca="1">IF($A78="","",IF(COUNTIFS(Dividends!$G:$G,"&gt;"&amp;INT($A77),Dividends!$G:$G,"&lt;="&amp;INT($A78))=0,"",$H$2*SUMIFS(Dividends!$H:$H,Dividends!$G:$G,"&gt;"&amp;INT($A77),Dividends!$G:$G,"&lt;="&amp;INT($A78))))</f>
        <v/>
      </c>
      <c r="M78" s="44">
        <f ca="1">IF(ISERROR(B78-2),"",C78+D78-F78-G78-K78+SUM($L$14:L78))</f>
        <v>-84223.401526242727</v>
      </c>
      <c r="O78" s="3">
        <v>46161.625</v>
      </c>
      <c r="P78" s="4">
        <v>90.83</v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>
        <f t="shared" si="10"/>
        <v>46161.625</v>
      </c>
      <c r="V78" s="3">
        <f t="shared" si="11"/>
        <v>46161.625</v>
      </c>
      <c r="W78" s="3">
        <v>46162.625</v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2"/>
        <v>45887</v>
      </c>
    </row>
    <row r="79" spans="1:35" x14ac:dyDescent="0.25">
      <c r="A79" s="39">
        <f t="shared" ref="A79:A142" ca="1" si="13">IF(AND(ISBLANK(W68), A78 = $W$1),NOW(),IF(ISBLANK(W68),"",W68))</f>
        <v>46148.625</v>
      </c>
      <c r="B79" s="40">
        <f ca="1">IF(COUNTIF($W$2:W1064,A79)=1,VLOOKUP(A79,O:P,2), IF(COUNTIF($W$2:W1064,A79)=0,$B$9,""))</f>
        <v>91.41</v>
      </c>
      <c r="C79" s="2">
        <f t="shared" ca="1" si="4"/>
        <v>-745679.53915084084</v>
      </c>
      <c r="D79" s="43">
        <f t="shared" ca="1" si="5"/>
        <v>-218625.00000000003</v>
      </c>
      <c r="E79" s="40">
        <f ca="1">IF(COUNTIF($W$2:W1064,A79)=1,VLOOKUP(A79,Q:R,2), IF(COUNTIF($W$2:W1064,A79)=0,$C$9,""))</f>
        <v>99.63</v>
      </c>
      <c r="F79" s="2">
        <f t="shared" ca="1" si="6"/>
        <v>-249600.00000000207</v>
      </c>
      <c r="G79" s="43">
        <f t="shared" ca="1" si="7"/>
        <v>-1012.4400000000023</v>
      </c>
      <c r="H79" s="40">
        <f ca="1">IF(COUNTIF($W$2:W1064,A79)=1,VLOOKUP(A79,S:T,2), IF(COUNTIF($W$2:W1064,A79)=0,$D$9,""))</f>
        <v>275.09699999999998</v>
      </c>
      <c r="I79" s="41">
        <f ca="1">IF(COUNTIF($X$2:X1064,INT(A79))=1,VLOOKUP(INT(A79),X:Y,2), IF(ISERROR(H79-2),"",I78*(1-$D$8*(H79-H78)*0.0001)))</f>
        <v>266.11750000000001</v>
      </c>
      <c r="J79" s="41">
        <f t="shared" ca="1" si="8"/>
        <v>266.11750000000001</v>
      </c>
      <c r="K79" s="43">
        <f t="shared" ca="1" si="9"/>
        <v>137146.07464607395</v>
      </c>
      <c r="L79" s="43" t="str">
        <f ca="1">IF($A79="","",IF(COUNTIFS(Dividends!$G:$G,"&gt;"&amp;INT($A78),Dividends!$G:$G,"&lt;="&amp;INT($A79))=0,"",$H$2*SUMIFS(Dividends!$H:$H,Dividends!$G:$G,"&gt;"&amp;INT($A78),Dividends!$G:$G,"&lt;="&amp;INT($A79))))</f>
        <v/>
      </c>
      <c r="M79" s="44">
        <f ca="1">IF(ISERROR(B79-2),"",C79+D79-F79-G79-K79+SUM($L$14:L79))</f>
        <v>-105062.62440497766</v>
      </c>
      <c r="O79" s="3">
        <v>46162.625</v>
      </c>
      <c r="P79" s="4">
        <v>91.06</v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>
        <f t="shared" si="10"/>
        <v>46162.625</v>
      </c>
      <c r="V79" s="3">
        <f t="shared" si="11"/>
        <v>46162.625</v>
      </c>
      <c r="W79" s="3">
        <v>46163.625</v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2"/>
        <v>45888</v>
      </c>
    </row>
    <row r="80" spans="1:35" x14ac:dyDescent="0.25">
      <c r="A80" s="39">
        <f t="shared" ca="1" si="13"/>
        <v>46149.625</v>
      </c>
      <c r="B80" s="40">
        <f ca="1">IF(COUNTIF($W$2:W1065,A80)=1,VLOOKUP(A80,O:P,2), IF(COUNTIF($W$2:W1065,A80)=0,$B$9,""))</f>
        <v>91.39</v>
      </c>
      <c r="C80" s="2">
        <f t="shared" ref="C80:C143" ca="1" si="14">IF(ISERROR(B80-2),"",(B80/$B$14-1)*$B$5)</f>
        <v>-752080.22189033439</v>
      </c>
      <c r="D80" s="43">
        <f t="shared" ref="D80:D143" ca="1" si="15">IF(ISERROR(B80-2),"",-1*(INT(A80)-INT($A$14))/360*$B$7*$B$5)</f>
        <v>-220833.33333333331</v>
      </c>
      <c r="E80" s="40">
        <f ca="1">IF(COUNTIF($W$2:W1065,A80)=1,VLOOKUP(A80,Q:R,2), IF(COUNTIF($W$2:W1065,A80)=0,$C$9,""))</f>
        <v>99.650999999999996</v>
      </c>
      <c r="F80" s="2">
        <f t="shared" ref="F80:F143" ca="1" si="16">IF(ISERROR(B80-2),"",(E80-$E$14)/100*$C$5)</f>
        <v>-244140.00000000186</v>
      </c>
      <c r="G80" s="43">
        <f t="shared" ref="G80:G143" ca="1" si="17">IF(ISERROR(B80-2),"",(INT(A80)-INT($A$14))/360*$C$6*$C$5-(INT(A80)-INT($A$14))/360*$C$7*$C$5*$E$14/100)</f>
        <v>-1022.666666666657</v>
      </c>
      <c r="H80" s="40">
        <f ca="1">IF(COUNTIF($W$2:W1065,A80)=1,VLOOKUP(A80,S:T,2), IF(COUNTIF($W$2:W1065,A80)=0,$D$9,""))</f>
        <v>275.04599999999999</v>
      </c>
      <c r="I80" s="41">
        <f ca="1">IF(COUNTIF($X$2:X1065,INT(A80))=1,VLOOKUP(INT(A80),X:Y,2), IF(ISERROR(H80-2),"",I79*(1-$D$8*(H80-H79)*0.0001)))</f>
        <v>265.79050000000001</v>
      </c>
      <c r="J80" s="41">
        <f t="shared" ref="J80:J143" ca="1" si="18">IF(ISERROR(H80-2),"",I80)</f>
        <v>265.79050000000001</v>
      </c>
      <c r="K80" s="43">
        <f t="shared" ref="K80:K143" ca="1" si="19">IF(ISERROR(H80-2),"",(J80/$J$14-1)*$D$5)</f>
        <v>113999.35649935532</v>
      </c>
      <c r="L80" s="43" t="str">
        <f ca="1">IF($A80="","",IF(COUNTIFS(Dividends!$G:$G,"&gt;"&amp;INT($A79),Dividends!$G:$G,"&lt;="&amp;INT($A80))=0,"",$H$2*SUMIFS(Dividends!$H:$H,Dividends!$G:$G,"&gt;"&amp;INT($A79),Dividends!$G:$G,"&lt;="&amp;INT($A80))))</f>
        <v/>
      </c>
      <c r="M80" s="44">
        <f ca="1">IF(ISERROR(B80-2),"",C80+D80-F80-G80-K80+SUM($L$14:L80))</f>
        <v>-95974.695664419443</v>
      </c>
      <c r="O80" s="3">
        <v>46163.625</v>
      </c>
      <c r="P80" s="4">
        <v>91.15</v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>
        <f t="shared" si="10"/>
        <v>46163.625</v>
      </c>
      <c r="V80" s="3">
        <f t="shared" si="11"/>
        <v>46163.625</v>
      </c>
      <c r="W80" s="3">
        <v>46164.625</v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2"/>
        <v>45889</v>
      </c>
    </row>
    <row r="81" spans="1:30" x14ac:dyDescent="0.25">
      <c r="A81" s="39">
        <f t="shared" ca="1" si="13"/>
        <v>46150.625</v>
      </c>
      <c r="B81" s="40">
        <f ca="1">IF(COUNTIF($W$2:W1066,A81)=1,VLOOKUP(A81,O:P,2), IF(COUNTIF($W$2:W1066,A81)=0,$B$9,""))</f>
        <v>91.4</v>
      </c>
      <c r="C81" s="2">
        <f t="shared" ca="1" si="14"/>
        <v>-748879.88052058429</v>
      </c>
      <c r="D81" s="43">
        <f t="shared" ca="1" si="15"/>
        <v>-223041.66666666666</v>
      </c>
      <c r="E81" s="40">
        <f ca="1">IF(COUNTIF($W$2:W1066,A81)=1,VLOOKUP(A81,Q:R,2), IF(COUNTIF($W$2:W1066,A81)=0,$C$9,""))</f>
        <v>99.58</v>
      </c>
      <c r="F81" s="2">
        <f t="shared" ca="1" si="16"/>
        <v>-262600.00000000134</v>
      </c>
      <c r="G81" s="43">
        <f t="shared" ca="1" si="17"/>
        <v>-1032.8933333333407</v>
      </c>
      <c r="H81" s="40">
        <f ca="1">IF(COUNTIF($W$2:W1066,A81)=1,VLOOKUP(A81,S:T,2), IF(COUNTIF($W$2:W1066,A81)=0,$D$9,""))</f>
        <v>277.74599999999998</v>
      </c>
      <c r="I81" s="41">
        <f ca="1">IF(COUNTIF($X$2:X1066,INT(A81))=1,VLOOKUP(INT(A81),X:Y,2), IF(ISERROR(H81-2),"",I80*(1-$D$8*(H81-H80)*0.0001)))</f>
        <v>265.83870000000002</v>
      </c>
      <c r="J81" s="41">
        <f t="shared" ca="1" si="18"/>
        <v>265.83870000000002</v>
      </c>
      <c r="K81" s="43">
        <f t="shared" ca="1" si="19"/>
        <v>117411.19691119937</v>
      </c>
      <c r="L81" s="43" t="str">
        <f ca="1">IF($A81="","",IF(COUNTIFS(Dividends!$G:$G,"&gt;"&amp;INT($A80),Dividends!$G:$G,"&lt;="&amp;INT($A81))=0,"",$H$2*SUMIFS(Dividends!$H:$H,Dividends!$G:$G,"&gt;"&amp;INT($A80),Dividends!$G:$G,"&lt;="&amp;INT($A81))))</f>
        <v/>
      </c>
      <c r="M81" s="44">
        <f ca="1">IF(ISERROR(B81-2),"",C81+D81-F81-G81-K81+SUM($L$14:L81))</f>
        <v>-79924.301373180584</v>
      </c>
      <c r="O81" s="3">
        <v>46164.625</v>
      </c>
      <c r="P81" s="4">
        <v>91.28</v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>
        <f t="shared" si="10"/>
        <v>46164.625</v>
      </c>
      <c r="V81" s="3">
        <f t="shared" si="11"/>
        <v>46164.625</v>
      </c>
      <c r="W81" s="3">
        <v>46168.625</v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2"/>
        <v>45890</v>
      </c>
    </row>
    <row r="82" spans="1:30" x14ac:dyDescent="0.25">
      <c r="A82" s="39">
        <f t="shared" ca="1" si="13"/>
        <v>46153.625</v>
      </c>
      <c r="B82" s="40">
        <f ca="1">IF(COUNTIF($W$2:W1067,A82)=1,VLOOKUP(A82,O:P,2), IF(COUNTIF($W$2:W1067,A82)=0,$B$9,""))</f>
        <v>91.44</v>
      </c>
      <c r="C82" s="2">
        <f t="shared" ca="1" si="14"/>
        <v>-736078.51504160382</v>
      </c>
      <c r="D82" s="43">
        <f t="shared" ca="1" si="15"/>
        <v>-229666.66666666663</v>
      </c>
      <c r="E82" s="40">
        <f ca="1">IF(COUNTIF($W$2:W1067,A82)=1,VLOOKUP(A82,Q:R,2), IF(COUNTIF($W$2:W1067,A82)=0,$C$9,""))</f>
        <v>99.436999999999998</v>
      </c>
      <c r="F82" s="2">
        <f t="shared" ca="1" si="16"/>
        <v>-299780.00000000151</v>
      </c>
      <c r="G82" s="43">
        <f t="shared" ca="1" si="17"/>
        <v>-1063.5733333333337</v>
      </c>
      <c r="H82" s="40">
        <f ca="1">IF(COUNTIF($W$2:W1067,A82)=1,VLOOKUP(A82,S:T,2), IF(COUNTIF($W$2:W1067,A82)=0,$D$9,""))</f>
        <v>277.33600000000001</v>
      </c>
      <c r="I82" s="41">
        <f ca="1">IF(COUNTIF($X$2:X1067,INT(A82))=1,VLOOKUP(INT(A82),X:Y,2), IF(ISERROR(H82-2),"",I81*(1-$D$8*(H82-H81)*0.0001)))</f>
        <v>266.14510000000001</v>
      </c>
      <c r="J82" s="41">
        <f t="shared" ca="1" si="18"/>
        <v>266.14510000000001</v>
      </c>
      <c r="K82" s="43">
        <f t="shared" ca="1" si="19"/>
        <v>139099.74259974511</v>
      </c>
      <c r="L82" s="43" t="str">
        <f ca="1">IF($A82="","",IF(COUNTIFS(Dividends!$G:$G,"&gt;"&amp;INT($A81),Dividends!$G:$G,"&lt;="&amp;INT($A82))=0,"",$H$2*SUMIFS(Dividends!$H:$H,Dividends!$G:$G,"&gt;"&amp;INT($A81),Dividends!$G:$G,"&lt;="&amp;INT($A82))))</f>
        <v/>
      </c>
      <c r="M82" s="44">
        <f ca="1">IF(ISERROR(B82-2),"",C82+D82-F82-G82-K82+SUM($L$14:L82))</f>
        <v>-58225.801582745509</v>
      </c>
      <c r="O82" s="3">
        <v>46168.625</v>
      </c>
      <c r="P82" s="4">
        <v>91.51</v>
      </c>
      <c r="Q82" s="3">
        <v>46162.625</v>
      </c>
      <c r="R82" s="4">
        <v>99.39</v>
      </c>
      <c r="S82" s="3">
        <v>46162.625</v>
      </c>
      <c r="T82" s="4">
        <v>278.315</v>
      </c>
      <c r="U82" s="3">
        <f t="shared" si="10"/>
        <v>46168.625</v>
      </c>
      <c r="V82" s="3">
        <f t="shared" si="11"/>
        <v>46168.625</v>
      </c>
      <c r="W82" s="3">
        <v>46169.625</v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2"/>
        <v>45891</v>
      </c>
    </row>
    <row r="83" spans="1:30" x14ac:dyDescent="0.25">
      <c r="A83" s="39">
        <f t="shared" ca="1" si="13"/>
        <v>46154.625</v>
      </c>
      <c r="B83" s="40">
        <f ca="1">IF(COUNTIF($W$2:W1068,A83)=1,VLOOKUP(A83,O:P,2), IF(COUNTIF($W$2:W1068,A83)=0,$B$9,""))</f>
        <v>91.28</v>
      </c>
      <c r="C83" s="2">
        <f t="shared" ca="1" si="14"/>
        <v>-787283.9769575391</v>
      </c>
      <c r="D83" s="43">
        <f t="shared" ca="1" si="15"/>
        <v>-231875.00000000003</v>
      </c>
      <c r="E83" s="40">
        <f ca="1">IF(COUNTIF($W$2:W1068,A83)=1,VLOOKUP(A83,Q:R,2), IF(COUNTIF($W$2:W1068,A83)=0,$C$9,""))</f>
        <v>99.322999999999993</v>
      </c>
      <c r="F83" s="2">
        <f t="shared" ca="1" si="16"/>
        <v>-329420.00000000262</v>
      </c>
      <c r="G83" s="43">
        <f t="shared" ca="1" si="17"/>
        <v>-1073.8000000000175</v>
      </c>
      <c r="H83" s="40">
        <f ca="1">IF(COUNTIF($W$2:W1068,A83)=1,VLOOKUP(A83,S:T,2), IF(COUNTIF($W$2:W1068,A83)=0,$D$9,""))</f>
        <v>283.721</v>
      </c>
      <c r="I83" s="41">
        <f ca="1">IF(COUNTIF($X$2:X1068,INT(A83))=1,VLOOKUP(INT(A83),X:Y,2), IF(ISERROR(H83-2),"",I82*(1-$D$8*(H83-H82)*0.0001)))</f>
        <v>265.19240000000002</v>
      </c>
      <c r="J83" s="41">
        <f t="shared" ca="1" si="18"/>
        <v>265.19240000000002</v>
      </c>
      <c r="K83" s="43">
        <f t="shared" ca="1" si="19"/>
        <v>71662.805662807339</v>
      </c>
      <c r="L83" s="43" t="str">
        <f ca="1">IF($A83="","",IF(COUNTIFS(Dividends!$G:$G,"&gt;"&amp;INT($A82),Dividends!$G:$G,"&lt;="&amp;INT($A83))=0,"",$H$2*SUMIFS(Dividends!$H:$H,Dividends!$G:$G,"&gt;"&amp;INT($A82),Dividends!$G:$G,"&lt;="&amp;INT($A83))))</f>
        <v/>
      </c>
      <c r="M83" s="44">
        <f ca="1">IF(ISERROR(B83-2),"",C83+D83-F83-G83-K83+SUM($L$14:L83))</f>
        <v>-14552.433228408685</v>
      </c>
      <c r="O83" s="3">
        <v>46169.625</v>
      </c>
      <c r="P83" s="4">
        <v>91.58</v>
      </c>
      <c r="Q83" s="3">
        <v>46163.625</v>
      </c>
      <c r="R83" s="4">
        <v>99.37</v>
      </c>
      <c r="S83" s="3">
        <v>46163.625</v>
      </c>
      <c r="T83" s="4">
        <v>279.541</v>
      </c>
      <c r="U83" s="3">
        <f t="shared" si="10"/>
        <v>46169.625</v>
      </c>
      <c r="V83" s="3">
        <f t="shared" si="11"/>
        <v>46169.625</v>
      </c>
      <c r="W83" s="3">
        <v>46170.625</v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2"/>
        <v>45895</v>
      </c>
    </row>
    <row r="84" spans="1:30" x14ac:dyDescent="0.25">
      <c r="A84" s="39">
        <f t="shared" ca="1" si="13"/>
        <v>46155.625</v>
      </c>
      <c r="B84" s="40">
        <f ca="1">IF(COUNTIF($W$2:W1069,A84)=1,VLOOKUP(A84,O:P,2), IF(COUNTIF($W$2:W1069,A84)=0,$B$9,""))</f>
        <v>91.31</v>
      </c>
      <c r="C84" s="2">
        <f t="shared" ca="1" si="14"/>
        <v>-777682.95284830197</v>
      </c>
      <c r="D84" s="43">
        <f t="shared" ca="1" si="15"/>
        <v>-234083.33333333331</v>
      </c>
      <c r="E84" s="40">
        <f ca="1">IF(COUNTIF($W$2:W1069,A84)=1,VLOOKUP(A84,Q:R,2), IF(COUNTIF($W$2:W1069,A84)=0,$C$9,""))</f>
        <v>99.292000000000002</v>
      </c>
      <c r="F84" s="2">
        <f t="shared" ca="1" si="16"/>
        <v>-337480.00000000047</v>
      </c>
      <c r="G84" s="43">
        <f t="shared" ca="1" si="17"/>
        <v>-1084.026666666643</v>
      </c>
      <c r="H84" s="40">
        <f ca="1">IF(COUNTIF($W$2:W1069,A84)=1,VLOOKUP(A84,S:T,2), IF(COUNTIF($W$2:W1069,A84)=0,$D$9,""))</f>
        <v>280.03899999999999</v>
      </c>
      <c r="I84" s="41">
        <f ca="1">IF(COUNTIF($X$2:X1069,INT(A84))=1,VLOOKUP(INT(A84),X:Y,2), IF(ISERROR(H84-2),"",I83*(1-$D$8*(H84-H83)*0.0001)))</f>
        <v>265.76659999999998</v>
      </c>
      <c r="J84" s="41">
        <f t="shared" ca="1" si="18"/>
        <v>265.76659999999998</v>
      </c>
      <c r="K84" s="43">
        <f t="shared" ca="1" si="19"/>
        <v>112307.59330759221</v>
      </c>
      <c r="L84" s="43" t="str">
        <f ca="1">IF($A84="","",IF(COUNTIFS(Dividends!$G:$G,"&gt;"&amp;INT($A83),Dividends!$G:$G,"&lt;="&amp;INT($A84))=0,"",$H$2*SUMIFS(Dividends!$H:$H,Dividends!$G:$G,"&gt;"&amp;INT($A83),Dividends!$G:$G,"&lt;="&amp;INT($A84))))</f>
        <v/>
      </c>
      <c r="M84" s="44">
        <f ca="1">IF(ISERROR(B84-2),"",C84+D84-F84-G84-K84+SUM($L$14:L84))</f>
        <v>-39734.303430625238</v>
      </c>
      <c r="O84" s="3">
        <v>46170.625</v>
      </c>
      <c r="P84" s="4">
        <v>91.7</v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>
        <f t="shared" si="10"/>
        <v>46170.625</v>
      </c>
      <c r="V84" s="3">
        <f t="shared" si="11"/>
        <v>46170.625</v>
      </c>
      <c r="W84" s="3">
        <v>46171.625</v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2"/>
        <v>45896</v>
      </c>
    </row>
    <row r="85" spans="1:30" x14ac:dyDescent="0.25">
      <c r="A85" s="39">
        <f t="shared" ca="1" si="13"/>
        <v>46156.625</v>
      </c>
      <c r="B85" s="40">
        <f ca="1">IF(COUNTIF($W$2:W1070,A85)=1,VLOOKUP(A85,O:P,2), IF(COUNTIF($W$2:W1070,A85)=0,$B$9,""))</f>
        <v>91.4</v>
      </c>
      <c r="C85" s="2">
        <f t="shared" ca="1" si="14"/>
        <v>-748879.88052058429</v>
      </c>
      <c r="D85" s="43">
        <f t="shared" ca="1" si="15"/>
        <v>-236291.66666666669</v>
      </c>
      <c r="E85" s="40">
        <f ca="1">IF(COUNTIF($W$2:W1070,A85)=1,VLOOKUP(A85,Q:R,2), IF(COUNTIF($W$2:W1070,A85)=0,$C$9,""))</f>
        <v>99.430999999999997</v>
      </c>
      <c r="F85" s="2">
        <f t="shared" ca="1" si="16"/>
        <v>-301340.00000000157</v>
      </c>
      <c r="G85" s="43">
        <f t="shared" ca="1" si="17"/>
        <v>-1094.2533333333558</v>
      </c>
      <c r="H85" s="40">
        <f ca="1">IF(COUNTIF($W$2:W1070,A85)=1,VLOOKUP(A85,S:T,2), IF(COUNTIF($W$2:W1070,A85)=0,$D$9,""))</f>
        <v>274.584</v>
      </c>
      <c r="I85" s="41">
        <f ca="1">IF(COUNTIF($X$2:X1070,INT(A85))=1,VLOOKUP(INT(A85),X:Y,2), IF(ISERROR(H85-2),"",I84*(1-$D$8*(H85-H84)*0.0001)))</f>
        <v>266.41410000000002</v>
      </c>
      <c r="J85" s="41">
        <f t="shared" ca="1" si="18"/>
        <v>266.41410000000002</v>
      </c>
      <c r="K85" s="43">
        <f t="shared" ca="1" si="19"/>
        <v>158140.92664092954</v>
      </c>
      <c r="L85" s="43" t="str">
        <f ca="1">IF($A85="","",IF(COUNTIFS(Dividends!$G:$G,"&gt;"&amp;INT($A84),Dividends!$G:$G,"&lt;="&amp;INT($A85))=0,"",$H$2*SUMIFS(Dividends!$H:$H,Dividends!$G:$G,"&gt;"&amp;INT($A84),Dividends!$G:$G,"&lt;="&amp;INT($A85))))</f>
        <v/>
      </c>
      <c r="M85" s="44">
        <f ca="1">IF(ISERROR(B85-2),"",C85+D85-F85-G85-K85+SUM($L$14:L85))</f>
        <v>-95102.671102910419</v>
      </c>
      <c r="O85" s="3">
        <v>46171.625</v>
      </c>
      <c r="P85" s="4">
        <v>91.85</v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>
        <f t="shared" si="10"/>
        <v>46171.625</v>
      </c>
      <c r="V85" s="3">
        <f t="shared" si="11"/>
        <v>46171.625</v>
      </c>
      <c r="W85" s="3">
        <v>46174.625</v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2"/>
        <v>45897</v>
      </c>
    </row>
    <row r="86" spans="1:30" x14ac:dyDescent="0.25">
      <c r="A86" s="39">
        <f t="shared" ca="1" si="13"/>
        <v>46157.625</v>
      </c>
      <c r="B86" s="40">
        <f ca="1">IF(COUNTIF($W$2:W1071,A86)=1,VLOOKUP(A86,O:P,2), IF(COUNTIF($W$2:W1071,A86)=0,$B$9,""))</f>
        <v>91.28</v>
      </c>
      <c r="C86" s="2">
        <f t="shared" ca="1" si="14"/>
        <v>-787283.9769575391</v>
      </c>
      <c r="D86" s="43">
        <f t="shared" ca="1" si="15"/>
        <v>-238499.99999999997</v>
      </c>
      <c r="E86" s="40">
        <f ca="1">IF(COUNTIF($W$2:W1071,A86)=1,VLOOKUP(A86,Q:R,2), IF(COUNTIF($W$2:W1071,A86)=0,$C$9,""))</f>
        <v>99.259</v>
      </c>
      <c r="F86" s="2">
        <f t="shared" ca="1" si="16"/>
        <v>-346060.00000000076</v>
      </c>
      <c r="G86" s="43">
        <f t="shared" ca="1" si="17"/>
        <v>-1104.4800000000105</v>
      </c>
      <c r="H86" s="40">
        <f ca="1">IF(COUNTIF($W$2:W1071,A86)=1,VLOOKUP(A86,S:T,2), IF(COUNTIF($W$2:W1071,A86)=0,$D$9,""))</f>
        <v>280.37200000000001</v>
      </c>
      <c r="I86" s="41">
        <f ca="1">IF(COUNTIF($X$2:X1071,INT(A86))=1,VLOOKUP(INT(A86),X:Y,2), IF(ISERROR(H86-2),"",I85*(1-$D$8*(H86-H85)*0.0001)))</f>
        <v>265.51639999999998</v>
      </c>
      <c r="J86" s="41">
        <f t="shared" ca="1" si="18"/>
        <v>265.51639999999998</v>
      </c>
      <c r="K86" s="43">
        <f t="shared" ca="1" si="19"/>
        <v>94597.168597164811</v>
      </c>
      <c r="L86" s="43" t="str">
        <f ca="1">IF($A86="","",IF(COUNTIFS(Dividends!$G:$G,"&gt;"&amp;INT($A85),Dividends!$G:$G,"&lt;="&amp;INT($A86))=0,"",$H$2*SUMIFS(Dividends!$H:$H,Dividends!$G:$G,"&gt;"&amp;INT($A85),Dividends!$G:$G,"&lt;="&amp;INT($A86))))</f>
        <v/>
      </c>
      <c r="M86" s="44">
        <f ca="1">IF(ISERROR(B86-2),"",C86+D86-F86-G86-K86+SUM($L$14:L86))</f>
        <v>-27441.116162768099</v>
      </c>
      <c r="O86" s="3">
        <v>46174.625</v>
      </c>
      <c r="P86" s="4">
        <v>91.65</v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>
        <f t="shared" si="10"/>
        <v>46174.625</v>
      </c>
      <c r="V86" s="3">
        <f t="shared" si="11"/>
        <v>46174.625</v>
      </c>
      <c r="W86" s="3">
        <v>46175.625</v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2"/>
        <v>45898</v>
      </c>
    </row>
    <row r="87" spans="1:30" x14ac:dyDescent="0.25">
      <c r="A87" s="39">
        <f t="shared" ca="1" si="13"/>
        <v>46160.625</v>
      </c>
      <c r="B87" s="40">
        <f ca="1">IF(COUNTIF($W$2:W1072,A87)=1,VLOOKUP(A87,O:P,2), IF(COUNTIF($W$2:W1072,A87)=0,$B$9,""))</f>
        <v>91.22</v>
      </c>
      <c r="C87" s="2">
        <f t="shared" ca="1" si="14"/>
        <v>-806486.02517601638</v>
      </c>
      <c r="D87" s="43">
        <f t="shared" ca="1" si="15"/>
        <v>-245125</v>
      </c>
      <c r="E87" s="40">
        <f ca="1">IF(COUNTIF($W$2:W1072,A87)=1,VLOOKUP(A87,Q:R,2), IF(COUNTIF($W$2:W1072,A87)=0,$C$9,""))</f>
        <v>99.296000000000006</v>
      </c>
      <c r="F87" s="2">
        <f t="shared" ca="1" si="16"/>
        <v>-336439.99999999919</v>
      </c>
      <c r="G87" s="43">
        <f t="shared" ca="1" si="17"/>
        <v>-1135.1600000000035</v>
      </c>
      <c r="H87" s="40">
        <f ca="1">IF(COUNTIF($W$2:W1072,A87)=1,VLOOKUP(A87,S:T,2), IF(COUNTIF($W$2:W1072,A87)=0,$D$9,""))</f>
        <v>279.00200000000001</v>
      </c>
      <c r="I87" s="41">
        <f ca="1">IF(COUNTIF($X$2:X1072,INT(A87))=1,VLOOKUP(INT(A87),X:Y,2), IF(ISERROR(H87-2),"",I86*(1-$D$8*(H87-H86)*0.0001)))</f>
        <v>265.6705</v>
      </c>
      <c r="J87" s="41">
        <f t="shared" ca="1" si="18"/>
        <v>265.6705</v>
      </c>
      <c r="K87" s="43">
        <f t="shared" ca="1" si="19"/>
        <v>105505.14800514976</v>
      </c>
      <c r="L87" s="43" t="str">
        <f ca="1">IF($A87="","",IF(COUNTIFS(Dividends!$G:$G,"&gt;"&amp;INT($A86),Dividends!$G:$G,"&lt;="&amp;INT($A87))=0,"",$H$2*SUMIFS(Dividends!$H:$H,Dividends!$G:$G,"&gt;"&amp;INT($A86),Dividends!$G:$G,"&lt;="&amp;INT($A87))))</f>
        <v/>
      </c>
      <c r="M87" s="44">
        <f ca="1">IF(ISERROR(B87-2),"",C87+D87-F87-G87-K87+SUM($L$14:L87))</f>
        <v>-73765.463789231842</v>
      </c>
      <c r="O87" s="3">
        <v>46175.625</v>
      </c>
      <c r="P87" s="4">
        <v>91.88</v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>
        <f t="shared" si="10"/>
        <v>46175.625</v>
      </c>
      <c r="V87" s="3">
        <f t="shared" si="11"/>
        <v>46175.625</v>
      </c>
      <c r="W87" s="3">
        <v>46176.625</v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2"/>
        <v>45901</v>
      </c>
    </row>
    <row r="88" spans="1:30" x14ac:dyDescent="0.25">
      <c r="A88" s="39">
        <f t="shared" ca="1" si="13"/>
        <v>46161.625</v>
      </c>
      <c r="B88" s="40">
        <f ca="1">IF(COUNTIF($W$2:W1073,A88)=1,VLOOKUP(A88,O:P,2), IF(COUNTIF($W$2:W1073,A88)=0,$B$9,""))</f>
        <v>90.83</v>
      </c>
      <c r="C88" s="2">
        <f t="shared" ca="1" si="14"/>
        <v>-931299.33859611431</v>
      </c>
      <c r="D88" s="43">
        <f t="shared" ca="1" si="15"/>
        <v>-247333.33333333334</v>
      </c>
      <c r="E88" s="40">
        <f ca="1">IF(COUNTIF($W$2:W1073,A88)=1,VLOOKUP(A88,Q:R,2), IF(COUNTIF($W$2:W1073,A88)=0,$C$9,""))</f>
        <v>99.180999999999997</v>
      </c>
      <c r="F88" s="2">
        <f t="shared" ca="1" si="16"/>
        <v>-366340.00000000157</v>
      </c>
      <c r="G88" s="43">
        <f t="shared" ca="1" si="17"/>
        <v>-1145.3866666666581</v>
      </c>
      <c r="H88" s="40">
        <f ca="1">IF(COUNTIF($W$2:W1073,A88)=1,VLOOKUP(A88,S:T,2), IF(COUNTIF($W$2:W1073,A88)=0,$D$9,""))</f>
        <v>285.488</v>
      </c>
      <c r="I88" s="41">
        <f ca="1">IF(COUNTIF($X$2:X1073,INT(A88))=1,VLOOKUP(INT(A88),X:Y,2), IF(ISERROR(H88-2),"",I87*(1-$D$8*(H88-H87)*0.0001)))</f>
        <v>265.08920000000001</v>
      </c>
      <c r="J88" s="41">
        <f t="shared" ca="1" si="18"/>
        <v>265.08920000000001</v>
      </c>
      <c r="K88" s="43">
        <f t="shared" ca="1" si="19"/>
        <v>64357.786357786084</v>
      </c>
      <c r="L88" s="43" t="str">
        <f ca="1">IF($A88="","",IF(COUNTIFS(Dividends!$G:$G,"&gt;"&amp;INT($A87),Dividends!$G:$G,"&lt;="&amp;INT($A88))=0,"",$H$2*SUMIFS(Dividends!$H:$H,Dividends!$G:$G,"&gt;"&amp;INT($A87),Dividends!$G:$G,"&lt;="&amp;INT($A88))))</f>
        <v/>
      </c>
      <c r="M88" s="44">
        <f ca="1">IF(ISERROR(B88-2),"",C88+D88-F88-G88-K88+SUM($L$14:L88))</f>
        <v>-129729.52222863026</v>
      </c>
      <c r="O88" s="3">
        <v>46176.625</v>
      </c>
      <c r="P88" s="4">
        <v>91.75</v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>
        <f t="shared" si="10"/>
        <v>46176.625</v>
      </c>
      <c r="V88" s="3">
        <f t="shared" si="11"/>
        <v>46176.625</v>
      </c>
      <c r="W88" s="3">
        <v>46177.625</v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2"/>
        <v>45902</v>
      </c>
    </row>
    <row r="89" spans="1:30" x14ac:dyDescent="0.25">
      <c r="A89" s="39">
        <f t="shared" ca="1" si="13"/>
        <v>46162.625</v>
      </c>
      <c r="B89" s="40">
        <f ca="1">IF(COUNTIF($W$2:W1074,A89)=1,VLOOKUP(A89,O:P,2), IF(COUNTIF($W$2:W1074,A89)=0,$B$9,""))</f>
        <v>91.06</v>
      </c>
      <c r="C89" s="2">
        <f t="shared" ca="1" si="14"/>
        <v>-857691.48709195503</v>
      </c>
      <c r="D89" s="43">
        <f t="shared" ca="1" si="15"/>
        <v>-249541.66666666669</v>
      </c>
      <c r="E89" s="40">
        <f ca="1">IF(COUNTIF($W$2:W1074,A89)=1,VLOOKUP(A89,Q:R,2), IF(COUNTIF($W$2:W1074,A89)=0,$C$9,""))</f>
        <v>99.39</v>
      </c>
      <c r="F89" s="2">
        <f t="shared" ca="1" si="16"/>
        <v>-312000.00000000076</v>
      </c>
      <c r="G89" s="43">
        <f t="shared" ca="1" si="17"/>
        <v>-1155.6133333333419</v>
      </c>
      <c r="H89" s="40">
        <f ca="1">IF(COUNTIF($W$2:W1074,A89)=1,VLOOKUP(A89,S:T,2), IF(COUNTIF($W$2:W1074,A89)=0,$D$9,""))</f>
        <v>278.315</v>
      </c>
      <c r="I89" s="41">
        <f ca="1">IF(COUNTIF($X$2:X1074,INT(A89))=1,VLOOKUP(INT(A89),X:Y,2), IF(ISERROR(H89-2),"",I88*(1-$D$8*(H89-H88)*0.0001)))</f>
        <v>266.18329999999997</v>
      </c>
      <c r="J89" s="41">
        <f t="shared" ca="1" si="18"/>
        <v>266.18329999999997</v>
      </c>
      <c r="K89" s="43">
        <f t="shared" ca="1" si="19"/>
        <v>141803.73230372972</v>
      </c>
      <c r="L89" s="43" t="str">
        <f ca="1">IF($A89="","",IF(COUNTIFS(Dividends!$G:$G,"&gt;"&amp;INT($A88),Dividends!$G:$G,"&lt;="&amp;INT($A89))=0,"",$H$2*SUMIFS(Dividends!$H:$H,Dividends!$G:$G,"&gt;"&amp;INT($A88),Dividends!$G:$G,"&lt;="&amp;INT($A89))))</f>
        <v/>
      </c>
      <c r="M89" s="44">
        <f ca="1">IF(ISERROR(B89-2),"",C89+D89-F89-G89-K89+SUM($L$14:L89))</f>
        <v>-190105.72333708243</v>
      </c>
      <c r="O89" s="3">
        <v>46177.625</v>
      </c>
      <c r="P89" s="4">
        <v>91.74</v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>
        <f t="shared" si="10"/>
        <v>46177.625</v>
      </c>
      <c r="V89" s="3">
        <f t="shared" si="11"/>
        <v>46177.625</v>
      </c>
      <c r="W89" s="3">
        <v>46178.625</v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2"/>
        <v>45903</v>
      </c>
    </row>
    <row r="90" spans="1:30" x14ac:dyDescent="0.25">
      <c r="A90" s="39">
        <f t="shared" ca="1" si="13"/>
        <v>46163.625</v>
      </c>
      <c r="B90" s="40">
        <f ca="1">IF(COUNTIF($W$2:W1075,A90)=1,VLOOKUP(A90,O:P,2), IF(COUNTIF($W$2:W1075,A90)=0,$B$9,""))</f>
        <v>91.15</v>
      </c>
      <c r="C90" s="2">
        <f t="shared" ca="1" si="14"/>
        <v>-828888.41476423724</v>
      </c>
      <c r="D90" s="43">
        <f t="shared" ca="1" si="15"/>
        <v>-251749.99999999997</v>
      </c>
      <c r="E90" s="40">
        <f ca="1">IF(COUNTIF($W$2:W1075,A90)=1,VLOOKUP(A90,Q:R,2), IF(COUNTIF($W$2:W1075,A90)=0,$C$9,""))</f>
        <v>99.37</v>
      </c>
      <c r="F90" s="2">
        <f t="shared" ca="1" si="16"/>
        <v>-317199.99999999971</v>
      </c>
      <c r="G90" s="43">
        <f t="shared" ca="1" si="17"/>
        <v>-1165.8399999999965</v>
      </c>
      <c r="H90" s="40">
        <f ca="1">IF(COUNTIF($W$2:W1075,A90)=1,VLOOKUP(A90,S:T,2), IF(COUNTIF($W$2:W1075,A90)=0,$D$9,""))</f>
        <v>279.541</v>
      </c>
      <c r="I90" s="41">
        <f ca="1">IF(COUNTIF($X$2:X1075,INT(A90))=1,VLOOKUP(INT(A90),X:Y,2), IF(ISERROR(H90-2),"",I89*(1-$D$8*(H90-H89)*0.0001)))</f>
        <v>265.81610000000001</v>
      </c>
      <c r="J90" s="41">
        <f t="shared" ca="1" si="18"/>
        <v>265.81610000000001</v>
      </c>
      <c r="K90" s="43">
        <f t="shared" ca="1" si="19"/>
        <v>115811.45431145377</v>
      </c>
      <c r="L90" s="43" t="str">
        <f ca="1">IF($A90="","",IF(COUNTIFS(Dividends!$G:$G,"&gt;"&amp;INT($A89),Dividends!$G:$G,"&lt;="&amp;INT($A90))=0,"",$H$2*SUMIFS(Dividends!$H:$H,Dividends!$G:$G,"&gt;"&amp;INT($A89),Dividends!$G:$G,"&lt;="&amp;INT($A90))))</f>
        <v/>
      </c>
      <c r="M90" s="44">
        <f ca="1">IF(ISERROR(B90-2),"",C90+D90-F90-G90-K90+SUM($L$14:L90))</f>
        <v>-132308.47968375601</v>
      </c>
      <c r="O90" s="3">
        <v>46178.625</v>
      </c>
      <c r="P90" s="4">
        <v>91.71</v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>
        <f t="shared" si="10"/>
        <v>46178.625</v>
      </c>
      <c r="V90" s="3">
        <f t="shared" si="11"/>
        <v>46178.625</v>
      </c>
      <c r="W90" s="3">
        <v>46181.625</v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2"/>
        <v>45904</v>
      </c>
    </row>
    <row r="91" spans="1:30" x14ac:dyDescent="0.25">
      <c r="A91" s="39">
        <f t="shared" ca="1" si="13"/>
        <v>46164.625</v>
      </c>
      <c r="B91" s="40">
        <f ca="1">IF(COUNTIF($W$2:W1076,A91)=1,VLOOKUP(A91,O:P,2), IF(COUNTIF($W$2:W1076,A91)=0,$B$9,""))</f>
        <v>91.28</v>
      </c>
      <c r="C91" s="2">
        <f t="shared" ca="1" si="14"/>
        <v>-787283.9769575391</v>
      </c>
      <c r="D91" s="43">
        <f t="shared" ca="1" si="15"/>
        <v>-253958.33333333328</v>
      </c>
      <c r="E91" s="40">
        <f ca="1">IF(COUNTIF($W$2:W1076,A91)=1,VLOOKUP(A91,Q:R,2), IF(COUNTIF($W$2:W1076,A91)=0,$C$9,""))</f>
        <v>99.453999999999994</v>
      </c>
      <c r="F91" s="2">
        <f t="shared" ca="1" si="16"/>
        <v>-295360.00000000256</v>
      </c>
      <c r="G91" s="43">
        <f t="shared" ca="1" si="17"/>
        <v>-1176.0666666666802</v>
      </c>
      <c r="H91" s="40">
        <f ca="1">IF(COUNTIF($W$2:W1076,A91)=1,VLOOKUP(A91,S:T,2), IF(COUNTIF($W$2:W1076,A91)=0,$D$9,""))</f>
        <v>273.86200000000002</v>
      </c>
      <c r="I91" s="41">
        <f ca="1">IF(COUNTIF($X$2:X1076,INT(A91))=1,VLOOKUP(INT(A91),X:Y,2), IF(ISERROR(H91-2),"",I90*(1-$D$8*(H91-H90)*0.0001)))</f>
        <v>266.66180000000003</v>
      </c>
      <c r="J91" s="41">
        <f t="shared" ca="1" si="18"/>
        <v>266.66180000000003</v>
      </c>
      <c r="K91" s="43">
        <f t="shared" ca="1" si="19"/>
        <v>175674.38867439001</v>
      </c>
      <c r="L91" s="43" t="str">
        <f ca="1">IF($A91="","",IF(COUNTIFS(Dividends!$G:$G,"&gt;"&amp;INT($A90),Dividends!$G:$G,"&lt;="&amp;INT($A91))=0,"",$H$2*SUMIFS(Dividends!$H:$H,Dividends!$G:$G,"&gt;"&amp;INT($A90),Dividends!$G:$G,"&lt;="&amp;INT($A91))))</f>
        <v/>
      </c>
      <c r="M91" s="44">
        <f ca="1">IF(ISERROR(B91-2),"",C91+D91-F91-G91-K91+SUM($L$14:L91))</f>
        <v>-174605.08290665806</v>
      </c>
      <c r="O91" s="3">
        <v>46181.625</v>
      </c>
      <c r="P91" s="4">
        <v>91.65</v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>
        <f t="shared" si="10"/>
        <v>46181.625</v>
      </c>
      <c r="V91" s="3">
        <f t="shared" si="11"/>
        <v>46181.625</v>
      </c>
      <c r="W91" s="3">
        <v>46182.625</v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2"/>
        <v>45905</v>
      </c>
    </row>
    <row r="92" spans="1:30" x14ac:dyDescent="0.25">
      <c r="A92" s="39">
        <f t="shared" ca="1" si="13"/>
        <v>46168.625</v>
      </c>
      <c r="B92" s="40">
        <f ca="1">IF(COUNTIF($W$2:W1077,A92)=1,VLOOKUP(A92,O:P,2), IF(COUNTIF($W$2:W1077,A92)=0,$B$9,""))</f>
        <v>91.51</v>
      </c>
      <c r="C92" s="2">
        <f t="shared" ca="1" si="14"/>
        <v>-713676.1254533797</v>
      </c>
      <c r="D92" s="43">
        <f t="shared" ca="1" si="15"/>
        <v>-262791.66666666669</v>
      </c>
      <c r="E92" s="40">
        <f ca="1">IF(COUNTIF($W$2:W1077,A92)=1,VLOOKUP(A92,Q:R,2), IF(COUNTIF($W$2:W1077,A92)=0,$C$9,""))</f>
        <v>99.56</v>
      </c>
      <c r="F92" s="2">
        <f t="shared" ca="1" si="16"/>
        <v>-267800.00000000029</v>
      </c>
      <c r="G92" s="43">
        <f t="shared" ca="1" si="17"/>
        <v>-1216.973333333357</v>
      </c>
      <c r="H92" s="40">
        <f ca="1">IF(COUNTIF($W$2:W1077,A92)=1,VLOOKUP(A92,S:T,2), IF(COUNTIF($W$2:W1077,A92)=0,$D$9,""))</f>
        <v>268.83499999999998</v>
      </c>
      <c r="I92" s="41">
        <f ca="1">IF(COUNTIF($X$2:X1077,INT(A92))=1,VLOOKUP(INT(A92),X:Y,2), IF(ISERROR(H92-2),"",I91*(1-$D$8*(H92-H91)*0.0001)))</f>
        <v>267.40750000000003</v>
      </c>
      <c r="J92" s="41">
        <f t="shared" ca="1" si="18"/>
        <v>267.40750000000003</v>
      </c>
      <c r="K92" s="43">
        <f t="shared" ca="1" si="19"/>
        <v>228458.81595881886</v>
      </c>
      <c r="L92" s="43" t="str">
        <f ca="1">IF($A92="","",IF(COUNTIFS(Dividends!$G:$G,"&gt;"&amp;INT($A91),Dividends!$G:$G,"&lt;="&amp;INT($A92))=0,"",$H$2*SUMIFS(Dividends!$H:$H,Dividends!$G:$G,"&gt;"&amp;INT($A91),Dividends!$G:$G,"&lt;="&amp;INT($A92))))</f>
        <v/>
      </c>
      <c r="M92" s="44">
        <f ca="1">IF(ISERROR(B92-2),"",C92+D92-F92-G92-K92+SUM($L$14:L92))</f>
        <v>-190134.0853535966</v>
      </c>
      <c r="O92" s="3">
        <v>46182.625</v>
      </c>
      <c r="P92" s="4">
        <v>91.63</v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>
        <f t="shared" si="10"/>
        <v>46182.625</v>
      </c>
      <c r="V92" s="3">
        <f t="shared" si="11"/>
        <v>46182.625</v>
      </c>
      <c r="W92" s="3">
        <v>46183.625</v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2"/>
        <v>45908</v>
      </c>
    </row>
    <row r="93" spans="1:30" x14ac:dyDescent="0.25">
      <c r="A93" s="39">
        <f t="shared" ca="1" si="13"/>
        <v>46169.625</v>
      </c>
      <c r="B93" s="40">
        <f ca="1">IF(COUNTIF($W$2:W1078,A93)=1,VLOOKUP(A93,O:P,2), IF(COUNTIF($W$2:W1078,A93)=0,$B$9,""))</f>
        <v>91.58</v>
      </c>
      <c r="C93" s="2">
        <f t="shared" ca="1" si="14"/>
        <v>-691273.73586515884</v>
      </c>
      <c r="D93" s="43">
        <f t="shared" ca="1" si="15"/>
        <v>-264999.99999999994</v>
      </c>
      <c r="E93" s="40">
        <f ca="1">IF(COUNTIF($W$2:W1078,A93)=1,VLOOKUP(A93,Q:R,2), IF(COUNTIF($W$2:W1078,A93)=0,$C$9,""))</f>
        <v>99.588999999999999</v>
      </c>
      <c r="F93" s="2">
        <f t="shared" ca="1" si="16"/>
        <v>-260260.00000000125</v>
      </c>
      <c r="G93" s="43">
        <f t="shared" ca="1" si="17"/>
        <v>-1227.2000000000116</v>
      </c>
      <c r="H93" s="40">
        <f ca="1">IF(COUNTIF($W$2:W1078,A93)=1,VLOOKUP(A93,S:T,2), IF(COUNTIF($W$2:W1078,A93)=0,$D$9,""))</f>
        <v>266.55900000000003</v>
      </c>
      <c r="I93" s="41">
        <f ca="1">IF(COUNTIF($X$2:X1078,INT(A93))=1,VLOOKUP(INT(A93),X:Y,2), IF(ISERROR(H93-2),"",I92*(1-$D$8*(H93-H92)*0.0001)))</f>
        <v>267.66390000000001</v>
      </c>
      <c r="J93" s="41">
        <f t="shared" ca="1" si="18"/>
        <v>267.66390000000001</v>
      </c>
      <c r="K93" s="43">
        <f t="shared" ca="1" si="19"/>
        <v>246608.10810810883</v>
      </c>
      <c r="L93" s="43" t="str">
        <f ca="1">IF($A93="","",IF(COUNTIFS(Dividends!$G:$G,"&gt;"&amp;INT($A92),Dividends!$G:$G,"&lt;="&amp;INT($A93))=0,"",$H$2*SUMIFS(Dividends!$H:$H,Dividends!$G:$G,"&gt;"&amp;INT($A92),Dividends!$G:$G,"&lt;="&amp;INT($A93))))</f>
        <v/>
      </c>
      <c r="M93" s="44">
        <f ca="1">IF(ISERROR(B93-2),"",C93+D93-F93-G93-K93+SUM($L$14:L93))</f>
        <v>-195619.09458133113</v>
      </c>
      <c r="O93" s="3">
        <v>46183.625</v>
      </c>
      <c r="P93" s="4">
        <v>91.62</v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>
        <f t="shared" si="10"/>
        <v>46183.625</v>
      </c>
      <c r="V93" s="3">
        <f t="shared" si="11"/>
        <v>46183.625</v>
      </c>
      <c r="W93" s="3">
        <v>46184.625</v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2"/>
        <v>45909</v>
      </c>
    </row>
    <row r="94" spans="1:30" x14ac:dyDescent="0.25">
      <c r="A94" s="39">
        <f t="shared" ca="1" si="13"/>
        <v>46170.625</v>
      </c>
      <c r="B94" s="40">
        <f ca="1">IF(COUNTIF($W$2:W1079,A94)=1,VLOOKUP(A94,O:P,2), IF(COUNTIF($W$2:W1079,A94)=0,$B$9,""))</f>
        <v>91.7</v>
      </c>
      <c r="C94" s="2">
        <f t="shared" ca="1" si="14"/>
        <v>-652869.63942820404</v>
      </c>
      <c r="D94" s="43">
        <f t="shared" ca="1" si="15"/>
        <v>-267208.33333333331</v>
      </c>
      <c r="E94" s="40">
        <f ca="1">IF(COUNTIF($W$2:W1079,A94)=1,VLOOKUP(A94,Q:R,2), IF(COUNTIF($W$2:W1079,A94)=0,$C$9,""))</f>
        <v>99.653999999999996</v>
      </c>
      <c r="F94" s="2">
        <f t="shared" ca="1" si="16"/>
        <v>-243360.0000000018</v>
      </c>
      <c r="G94" s="43">
        <f t="shared" ca="1" si="17"/>
        <v>-1237.4266666666663</v>
      </c>
      <c r="H94" s="40">
        <f ca="1">IF(COUNTIF($W$2:W1079,A94)=1,VLOOKUP(A94,S:T,2), IF(COUNTIF($W$2:W1079,A94)=0,$D$9,""))</f>
        <v>264.23200000000003</v>
      </c>
      <c r="I94" s="41">
        <f ca="1">IF(COUNTIF($X$2:X1079,INT(A94))=1,VLOOKUP(INT(A94),X:Y,2), IF(ISERROR(H94-2),"",I93*(1-$D$8*(H94-H93)*0.0001)))</f>
        <v>268.21620000000001</v>
      </c>
      <c r="J94" s="41">
        <f t="shared" ca="1" si="18"/>
        <v>268.21620000000001</v>
      </c>
      <c r="K94" s="43">
        <f t="shared" ca="1" si="19"/>
        <v>285702.7027027033</v>
      </c>
      <c r="L94" s="43" t="str">
        <f ca="1">IF($A94="","",IF(COUNTIFS(Dividends!$G:$G,"&gt;"&amp;INT($A93),Dividends!$G:$G,"&lt;="&amp;INT($A94))=0,"",$H$2*SUMIFS(Dividends!$H:$H,Dividends!$G:$G,"&gt;"&amp;INT($A93),Dividends!$G:$G,"&lt;="&amp;INT($A94))))</f>
        <v/>
      </c>
      <c r="M94" s="44">
        <f ca="1">IF(ISERROR(B94-2),"",C94+D94-F94-G94-K94+SUM($L$14:L94))</f>
        <v>-215407.6994056371</v>
      </c>
      <c r="O94" s="3">
        <v>46184.625</v>
      </c>
      <c r="P94" s="4">
        <v>91.65</v>
      </c>
      <c r="Q94" s="3">
        <v>46178.625</v>
      </c>
      <c r="R94" s="4">
        <v>99.38</v>
      </c>
      <c r="S94" s="3">
        <v>46181.625</v>
      </c>
      <c r="T94" s="4">
        <v>263.755</v>
      </c>
      <c r="U94" s="3">
        <f t="shared" si="10"/>
        <v>46184.625</v>
      </c>
      <c r="V94" s="3">
        <f t="shared" si="11"/>
        <v>46184.625</v>
      </c>
      <c r="W94" s="3">
        <v>46185.625</v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2"/>
        <v>45910</v>
      </c>
    </row>
    <row r="95" spans="1:30" x14ac:dyDescent="0.25">
      <c r="A95" s="39">
        <f t="shared" ca="1" si="13"/>
        <v>46171.625</v>
      </c>
      <c r="B95" s="40">
        <f ca="1">IF(COUNTIF($W$2:W1080,A95)=1,VLOOKUP(A95,O:P,2), IF(COUNTIF($W$2:W1080,A95)=0,$B$9,""))</f>
        <v>91.85</v>
      </c>
      <c r="C95" s="2">
        <f t="shared" ca="1" si="14"/>
        <v>-604864.5188820156</v>
      </c>
      <c r="D95" s="43">
        <f t="shared" ca="1" si="15"/>
        <v>-269416.66666666669</v>
      </c>
      <c r="E95" s="40">
        <f ca="1">IF(COUNTIF($W$2:W1080,A95)=1,VLOOKUP(A95,Q:R,2), IF(COUNTIF($W$2:W1080,A95)=0,$C$9,""))</f>
        <v>99.679000000000002</v>
      </c>
      <c r="F95" s="2">
        <f t="shared" ca="1" si="16"/>
        <v>-236860.00000000035</v>
      </c>
      <c r="G95" s="43">
        <f t="shared" ca="1" si="17"/>
        <v>-1247.65333333335</v>
      </c>
      <c r="H95" s="40">
        <f ca="1">IF(COUNTIF($W$2:W1080,A95)=1,VLOOKUP(A95,S:T,2), IF(COUNTIF($W$2:W1080,A95)=0,$D$9,""))</f>
        <v>258.70600000000002</v>
      </c>
      <c r="I95" s="41">
        <f ca="1">IF(COUNTIF($X$2:X1080,INT(A95))=1,VLOOKUP(INT(A95),X:Y,2), IF(ISERROR(H95-2),"",I94*(1-$D$8*(H95-H94)*0.0001)))</f>
        <v>268.76229999999998</v>
      </c>
      <c r="J95" s="41">
        <f t="shared" ca="1" si="18"/>
        <v>268.76229999999998</v>
      </c>
      <c r="K95" s="43">
        <f t="shared" ca="1" si="19"/>
        <v>324358.42985842697</v>
      </c>
      <c r="L95" s="43" t="str">
        <f ca="1">IF($A95="","",IF(COUNTIFS(Dividends!$G:$G,"&gt;"&amp;INT($A94),Dividends!$G:$G,"&lt;="&amp;INT($A95))=0,"",$H$2*SUMIFS(Dividends!$H:$H,Dividends!$G:$G,"&gt;"&amp;INT($A94),Dividends!$G:$G,"&lt;="&amp;INT($A95))))</f>
        <v/>
      </c>
      <c r="M95" s="44">
        <f ca="1">IF(ISERROR(B95-2),"",C95+D95-F95-G95-K95+SUM($L$14:L95))</f>
        <v>-214756.41268184036</v>
      </c>
      <c r="O95" s="3">
        <v>46185.625</v>
      </c>
      <c r="P95" s="4">
        <v>91.87</v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>
        <f t="shared" si="10"/>
        <v>46185.625</v>
      </c>
      <c r="V95" s="3">
        <f t="shared" si="11"/>
        <v>46185.625</v>
      </c>
      <c r="W95" s="3">
        <v>46188.625</v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2"/>
        <v>45911</v>
      </c>
    </row>
    <row r="96" spans="1:30" x14ac:dyDescent="0.25">
      <c r="A96" s="39">
        <f t="shared" ca="1" si="13"/>
        <v>46174.625</v>
      </c>
      <c r="B96" s="40">
        <f ca="1">IF(COUNTIF($W$2:W1081,A96)=1,VLOOKUP(A96,O:P,2), IF(COUNTIF($W$2:W1081,A96)=0,$B$9,""))</f>
        <v>91.65</v>
      </c>
      <c r="C96" s="2">
        <f t="shared" ca="1" si="14"/>
        <v>-668871.34627693135</v>
      </c>
      <c r="D96" s="43">
        <f t="shared" ca="1" si="15"/>
        <v>-276041.66666666669</v>
      </c>
      <c r="E96" s="40">
        <f ca="1">IF(COUNTIF($W$2:W1081,A96)=1,VLOOKUP(A96,Q:R,2), IF(COUNTIF($W$2:W1081,A96)=0,$C$9,""))</f>
        <v>99.450999999999993</v>
      </c>
      <c r="F96" s="2">
        <f t="shared" ca="1" si="16"/>
        <v>-296140.00000000262</v>
      </c>
      <c r="G96" s="43">
        <f t="shared" ca="1" si="17"/>
        <v>-1278.333333333343</v>
      </c>
      <c r="H96" s="40">
        <f ca="1">IF(COUNTIF($W$2:W1081,A96)=1,VLOOKUP(A96,S:T,2), IF(COUNTIF($W$2:W1081,A96)=0,$D$9,""))</f>
        <v>265.43599999999998</v>
      </c>
      <c r="I96" s="41">
        <f ca="1">IF(COUNTIF($X$2:X1081,INT(A96))=1,VLOOKUP(INT(A96),X:Y,2), IF(ISERROR(H96-2),"",I95*(1-$D$8*(H96-H95)*0.0001)))</f>
        <v>268.39839999999998</v>
      </c>
      <c r="J96" s="41">
        <f t="shared" ca="1" si="18"/>
        <v>268.39839999999998</v>
      </c>
      <c r="K96" s="43">
        <f t="shared" ca="1" si="19"/>
        <v>298599.74259974121</v>
      </c>
      <c r="L96" s="43" t="str">
        <f ca="1">IF($A96="","",IF(COUNTIFS(Dividends!$G:$G,"&gt;"&amp;INT($A95),Dividends!$G:$G,"&lt;="&amp;INT($A96))=0,"",$H$2*SUMIFS(Dividends!$H:$H,Dividends!$G:$G,"&gt;"&amp;INT($A95),Dividends!$G:$G,"&lt;="&amp;INT($A96))))</f>
        <v/>
      </c>
      <c r="M96" s="44">
        <f ca="1">IF(ISERROR(B96-2),"",C96+D96-F96-G96-K96+SUM($L$14:L96))</f>
        <v>-200318.87281806814</v>
      </c>
      <c r="O96" s="3">
        <v>46188.625</v>
      </c>
      <c r="P96" s="4">
        <v>92.18</v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>
        <f t="shared" si="10"/>
        <v>46188.625</v>
      </c>
      <c r="V96" s="3">
        <f t="shared" si="11"/>
        <v>46188.625</v>
      </c>
      <c r="W96" s="3">
        <v>46189.625</v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2"/>
        <v>45912</v>
      </c>
    </row>
    <row r="97" spans="1:30" x14ac:dyDescent="0.25">
      <c r="A97" s="39">
        <f t="shared" ca="1" si="13"/>
        <v>46175.625</v>
      </c>
      <c r="B97" s="40">
        <f ca="1">IF(COUNTIF($W$2:W1082,A97)=1,VLOOKUP(A97,O:P,2), IF(COUNTIF($W$2:W1082,A97)=0,$B$9,""))</f>
        <v>91.88</v>
      </c>
      <c r="C97" s="2">
        <f t="shared" ca="1" si="14"/>
        <v>-595263.49477277533</v>
      </c>
      <c r="D97" s="43">
        <f t="shared" ca="1" si="15"/>
        <v>-278249.99999999994</v>
      </c>
      <c r="E97" s="40">
        <f ca="1">IF(COUNTIF($W$2:W1082,A97)=1,VLOOKUP(A97,Q:R,2), IF(COUNTIF($W$2:W1082,A97)=0,$C$9,""))</f>
        <v>99.534999999999997</v>
      </c>
      <c r="F97" s="2">
        <f t="shared" ca="1" si="16"/>
        <v>-274300.00000000175</v>
      </c>
      <c r="G97" s="43">
        <f t="shared" ca="1" si="17"/>
        <v>-1288.5599999999977</v>
      </c>
      <c r="H97" s="40">
        <f ca="1">IF(COUNTIF($W$2:W1082,A97)=1,VLOOKUP(A97,S:T,2), IF(COUNTIF($W$2:W1082,A97)=0,$D$9,""))</f>
        <v>258.46100000000001</v>
      </c>
      <c r="I97" s="41">
        <f ca="1">IF(COUNTIF($X$2:X1082,INT(A97))=1,VLOOKUP(INT(A97),X:Y,2), IF(ISERROR(H97-2),"",I96*(1-$D$8*(H97-H96)*0.0001)))</f>
        <v>268.89879999999999</v>
      </c>
      <c r="J97" s="41">
        <f t="shared" ca="1" si="18"/>
        <v>268.89879999999999</v>
      </c>
      <c r="K97" s="43">
        <f t="shared" ca="1" si="19"/>
        <v>334020.5920205919</v>
      </c>
      <c r="L97" s="43" t="str">
        <f ca="1">IF($A97="","",IF(COUNTIFS(Dividends!$G:$G,"&gt;"&amp;INT($A96),Dividends!$G:$G,"&lt;="&amp;INT($A97))=0,"",$H$2*SUMIFS(Dividends!$H:$H,Dividends!$G:$G,"&gt;"&amp;INT($A96),Dividends!$G:$G,"&lt;="&amp;INT($A97))))</f>
        <v/>
      </c>
      <c r="M97" s="44">
        <f ca="1">IF(ISERROR(B97-2),"",C97+D97-F97-G97-K97+SUM($L$14:L97))</f>
        <v>-186169.97740143049</v>
      </c>
      <c r="O97" s="3">
        <v>46189.625</v>
      </c>
      <c r="P97" s="4">
        <v>92.15</v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>
        <f t="shared" si="10"/>
        <v>46189.625</v>
      </c>
      <c r="V97" s="3">
        <f t="shared" si="11"/>
        <v>46189.625</v>
      </c>
      <c r="W97" s="3">
        <v>46190.625</v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2"/>
        <v>45915</v>
      </c>
    </row>
    <row r="98" spans="1:30" x14ac:dyDescent="0.25">
      <c r="A98" s="39">
        <f t="shared" ca="1" si="13"/>
        <v>46176.625</v>
      </c>
      <c r="B98" s="40">
        <f ca="1">IF(COUNTIF($W$2:W1083,A98)=1,VLOOKUP(A98,O:P,2), IF(COUNTIF($W$2:W1083,A98)=0,$B$9,""))</f>
        <v>91.75</v>
      </c>
      <c r="C98" s="2">
        <f t="shared" ca="1" si="14"/>
        <v>-636867.93257947348</v>
      </c>
      <c r="D98" s="43">
        <f t="shared" ca="1" si="15"/>
        <v>-280458.33333333331</v>
      </c>
      <c r="E98" s="40">
        <f ca="1">IF(COUNTIF($W$2:W1083,A98)=1,VLOOKUP(A98,Q:R,2), IF(COUNTIF($W$2:W1083,A98)=0,$C$9,""))</f>
        <v>99.421999999999997</v>
      </c>
      <c r="F98" s="2">
        <f t="shared" ca="1" si="16"/>
        <v>-303680.00000000163</v>
      </c>
      <c r="G98" s="43">
        <f t="shared" ca="1" si="17"/>
        <v>-1298.7866666666523</v>
      </c>
      <c r="H98" s="40">
        <f ca="1">IF(COUNTIF($W$2:W1083,A98)=1,VLOOKUP(A98,S:T,2), IF(COUNTIF($W$2:W1083,A98)=0,$D$9,""))</f>
        <v>261.79599999999999</v>
      </c>
      <c r="I98" s="41">
        <f ca="1">IF(COUNTIF($X$2:X1083,INT(A98))=1,VLOOKUP(INT(A98),X:Y,2), IF(ISERROR(H98-2),"",I97*(1-$D$8*(H98-H97)*0.0001)))</f>
        <v>268.40789999999998</v>
      </c>
      <c r="J98" s="41">
        <f t="shared" ca="1" si="18"/>
        <v>268.40789999999998</v>
      </c>
      <c r="K98" s="43">
        <f t="shared" ca="1" si="19"/>
        <v>299272.20077219815</v>
      </c>
      <c r="L98" s="43" t="str">
        <f ca="1">IF($A98="","",IF(COUNTIFS(Dividends!$G:$G,"&gt;"&amp;INT($A97),Dividends!$G:$G,"&lt;="&amp;INT($A98))=0,"",$H$2*SUMIFS(Dividends!$H:$H,Dividends!$G:$G,"&gt;"&amp;INT($A97),Dividends!$G:$G,"&lt;="&amp;INT($A98))))</f>
        <v/>
      </c>
      <c r="M98" s="44">
        <f ca="1">IF(ISERROR(B98-2),"",C98+D98-F98-G98-K98+SUM($L$14:L98))</f>
        <v>-165844.13062640163</v>
      </c>
      <c r="O98" s="3">
        <v>46190.625</v>
      </c>
      <c r="P98" s="4">
        <v>92.16</v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>
        <f t="shared" si="10"/>
        <v>46190.625</v>
      </c>
      <c r="V98" s="3">
        <f t="shared" si="11"/>
        <v>46190.625</v>
      </c>
      <c r="W98" s="3">
        <v>46191.625</v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2"/>
        <v>45916</v>
      </c>
    </row>
    <row r="99" spans="1:30" x14ac:dyDescent="0.25">
      <c r="A99" s="39">
        <f t="shared" ca="1" si="13"/>
        <v>46177.625</v>
      </c>
      <c r="B99" s="40">
        <f ca="1">IF(COUNTIF($W$2:W1084,A99)=1,VLOOKUP(A99,O:P,2), IF(COUNTIF($W$2:W1084,A99)=0,$B$9,""))</f>
        <v>91.74</v>
      </c>
      <c r="C99" s="2">
        <f t="shared" ca="1" si="14"/>
        <v>-640068.27394922031</v>
      </c>
      <c r="D99" s="43">
        <f t="shared" ca="1" si="15"/>
        <v>-282666.66666666669</v>
      </c>
      <c r="E99" s="40">
        <f ca="1">IF(COUNTIF($W$2:W1084,A99)=1,VLOOKUP(A99,Q:R,2), IF(COUNTIF($W$2:W1084,A99)=0,$C$9,""))</f>
        <v>99.430999999999997</v>
      </c>
      <c r="F99" s="2">
        <f t="shared" ca="1" si="16"/>
        <v>-301340.00000000157</v>
      </c>
      <c r="G99" s="43">
        <f t="shared" ca="1" si="17"/>
        <v>-1309.0133333333652</v>
      </c>
      <c r="H99" s="40">
        <f ca="1">IF(COUNTIF($W$2:W1084,A99)=1,VLOOKUP(A99,S:T,2), IF(COUNTIF($W$2:W1084,A99)=0,$D$9,""))</f>
        <v>261.392</v>
      </c>
      <c r="I99" s="41">
        <f ca="1">IF(COUNTIF($X$2:X1084,INT(A99))=1,VLOOKUP(INT(A99),X:Y,2), IF(ISERROR(H99-2),"",I98*(1-$D$8*(H99-H98)*0.0001)))</f>
        <v>268.64510000000001</v>
      </c>
      <c r="J99" s="41">
        <f t="shared" ca="1" si="18"/>
        <v>268.64510000000001</v>
      </c>
      <c r="K99" s="43">
        <f t="shared" ca="1" si="19"/>
        <v>316062.41956242156</v>
      </c>
      <c r="L99" s="43" t="str">
        <f ca="1">IF($A99="","",IF(COUNTIFS(Dividends!$G:$G,"&gt;"&amp;INT($A98),Dividends!$G:$G,"&lt;="&amp;INT($A99))=0,"",$H$2*SUMIFS(Dividends!$H:$H,Dividends!$G:$G,"&gt;"&amp;INT($A98),Dividends!$G:$G,"&lt;="&amp;INT($A99))))</f>
        <v/>
      </c>
      <c r="M99" s="44">
        <f ca="1">IF(ISERROR(B99-2),"",C99+D99-F99-G99-K99+SUM($L$14:L99))</f>
        <v>-190372.79745303839</v>
      </c>
      <c r="O99" s="3">
        <v>46191.625</v>
      </c>
      <c r="P99" s="4">
        <v>91.01</v>
      </c>
      <c r="Q99" s="3">
        <v>46185.625</v>
      </c>
      <c r="R99" s="4">
        <v>99.512</v>
      </c>
      <c r="S99" s="3">
        <v>46188.625</v>
      </c>
      <c r="T99" s="4">
        <v>248.518</v>
      </c>
      <c r="U99" s="3">
        <f t="shared" si="10"/>
        <v>46191.625</v>
      </c>
      <c r="V99" s="3">
        <f t="shared" si="11"/>
        <v>46191.625</v>
      </c>
      <c r="W99" s="3">
        <v>46192.625</v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2"/>
        <v>45917</v>
      </c>
    </row>
    <row r="100" spans="1:30" x14ac:dyDescent="0.25">
      <c r="A100" s="39">
        <f t="shared" ca="1" si="13"/>
        <v>46178.625</v>
      </c>
      <c r="B100" s="40">
        <f ca="1">IF(COUNTIF($W$2:W1085,A100)=1,VLOOKUP(A100,O:P,2), IF(COUNTIF($W$2:W1085,A100)=0,$B$9,""))</f>
        <v>91.71</v>
      </c>
      <c r="C100" s="2">
        <f t="shared" ca="1" si="14"/>
        <v>-649669.29805846058</v>
      </c>
      <c r="D100" s="43">
        <f t="shared" ca="1" si="15"/>
        <v>-284875</v>
      </c>
      <c r="E100" s="40">
        <f ca="1">IF(COUNTIF($W$2:W1085,A100)=1,VLOOKUP(A100,Q:R,2), IF(COUNTIF($W$2:W1085,A100)=0,$C$9,""))</f>
        <v>99.38</v>
      </c>
      <c r="F100" s="2">
        <f t="shared" ca="1" si="16"/>
        <v>-314600.00000000204</v>
      </c>
      <c r="G100" s="43">
        <f t="shared" ca="1" si="17"/>
        <v>-1319.2399999999907</v>
      </c>
      <c r="H100" s="40">
        <f ca="1">IF(COUNTIF($W$2:W1085,A100)=1,VLOOKUP(A100,S:T,2), IF(COUNTIF($W$2:W1085,A100)=0,$D$9,""))</f>
        <v>261.88600000000002</v>
      </c>
      <c r="I100" s="41">
        <f ca="1">IF(COUNTIF($X$2:X1085,INT(A100))=1,VLOOKUP(INT(A100),X:Y,2), IF(ISERROR(H100-2),"",I99*(1-$D$8*(H100-H99)*0.0001)))</f>
        <v>268.35000000000002</v>
      </c>
      <c r="J100" s="41">
        <f t="shared" ca="1" si="18"/>
        <v>268.35000000000002</v>
      </c>
      <c r="K100" s="43">
        <f t="shared" ca="1" si="19"/>
        <v>295173.74517374445</v>
      </c>
      <c r="L100" s="43" t="str">
        <f ca="1">IF($A100="","",IF(COUNTIFS(Dividends!$G:$G,"&gt;"&amp;INT($A99),Dividends!$G:$G,"&lt;="&amp;INT($A100))=0,"",$H$2*SUMIFS(Dividends!$H:$H,Dividends!$G:$G,"&gt;"&amp;INT($A99),Dividends!$G:$G,"&lt;="&amp;INT($A100))))</f>
        <v/>
      </c>
      <c r="M100" s="44">
        <f ca="1">IF(ISERROR(B100-2),"",C100+D100-F100-G100-K100+SUM($L$14:L100))</f>
        <v>-168023.25384026789</v>
      </c>
      <c r="O100" s="3">
        <v>46192.625</v>
      </c>
      <c r="P100" s="4">
        <v>91.05</v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>
        <f t="shared" si="10"/>
        <v>46192.625</v>
      </c>
      <c r="V100" s="3">
        <f t="shared" si="11"/>
        <v>46192.625</v>
      </c>
      <c r="W100" s="3">
        <v>46195.625</v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2"/>
        <v>45918</v>
      </c>
    </row>
    <row r="101" spans="1:30" x14ac:dyDescent="0.25">
      <c r="A101" s="39">
        <f t="shared" ca="1" si="13"/>
        <v>46181.625</v>
      </c>
      <c r="B101" s="40">
        <f ca="1">IF(COUNTIF($W$2:W1086,A101)=1,VLOOKUP(A101,O:P,2), IF(COUNTIF($W$2:W1086,A101)=0,$B$9,""))</f>
        <v>91.65</v>
      </c>
      <c r="C101" s="2">
        <f t="shared" ca="1" si="14"/>
        <v>-668871.34627693135</v>
      </c>
      <c r="D101" s="43">
        <f t="shared" ca="1" si="15"/>
        <v>-291499.99999999994</v>
      </c>
      <c r="E101" s="40">
        <f ca="1">IF(COUNTIF($W$2:W1086,A101)=1,VLOOKUP(A101,Q:R,2), IF(COUNTIF($W$2:W1086,A101)=0,$C$9,""))</f>
        <v>99.350999999999999</v>
      </c>
      <c r="F101" s="2">
        <f t="shared" ca="1" si="16"/>
        <v>-322140.00000000111</v>
      </c>
      <c r="G101" s="43">
        <f t="shared" ca="1" si="17"/>
        <v>-1349.9199999999837</v>
      </c>
      <c r="H101" s="40">
        <f ca="1">IF(COUNTIF($W$2:W1086,A101)=1,VLOOKUP(A101,S:T,2), IF(COUNTIF($W$2:W1086,A101)=0,$D$9,""))</f>
        <v>263.755</v>
      </c>
      <c r="I101" s="41">
        <f ca="1">IF(COUNTIF($X$2:X1086,INT(A101))=1,VLOOKUP(INT(A101),X:Y,2), IF(ISERROR(H101-2),"",I100*(1-$D$8*(H101-H100)*0.0001)))</f>
        <v>268.29649999999998</v>
      </c>
      <c r="J101" s="41">
        <f t="shared" ca="1" si="18"/>
        <v>268.29649999999998</v>
      </c>
      <c r="K101" s="43">
        <f t="shared" ca="1" si="19"/>
        <v>291386.74388674163</v>
      </c>
      <c r="L101" s="43" t="str">
        <f ca="1">IF($A101="","",IF(COUNTIFS(Dividends!$G:$G,"&gt;"&amp;INT($A100),Dividends!$G:$G,"&lt;="&amp;INT($A101))=0,"",$H$2*SUMIFS(Dividends!$H:$H,Dividends!$G:$G,"&gt;"&amp;INT($A100),Dividends!$G:$G,"&lt;="&amp;INT($A101))))</f>
        <v/>
      </c>
      <c r="M101" s="44">
        <f ca="1">IF(ISERROR(B101-2),"",C101+D101-F101-G101-K101+SUM($L$14:L101))</f>
        <v>-182492.62077173661</v>
      </c>
      <c r="O101" s="3">
        <v>46195.625</v>
      </c>
      <c r="P101" s="4">
        <v>91.17</v>
      </c>
      <c r="Q101" s="3">
        <v>46189.625</v>
      </c>
      <c r="R101" s="4">
        <v>99.625</v>
      </c>
      <c r="S101" s="3">
        <v>46190.625</v>
      </c>
      <c r="T101" s="4">
        <v>252.459</v>
      </c>
      <c r="U101" s="3">
        <f t="shared" si="10"/>
        <v>46195.625</v>
      </c>
      <c r="V101" s="3">
        <f t="shared" si="11"/>
        <v>46195.625</v>
      </c>
      <c r="W101" s="3">
        <v>46196.625</v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2"/>
        <v>45919</v>
      </c>
    </row>
    <row r="102" spans="1:30" x14ac:dyDescent="0.25">
      <c r="A102" s="39">
        <f t="shared" ca="1" si="13"/>
        <v>46182.625</v>
      </c>
      <c r="B102" s="40">
        <f ca="1">IF(COUNTIF($W$2:W1087,A102)=1,VLOOKUP(A102,O:P,2), IF(COUNTIF($W$2:W1087,A102)=0,$B$9,""))</f>
        <v>91.63</v>
      </c>
      <c r="C102" s="2">
        <f t="shared" ca="1" si="14"/>
        <v>-675272.02901642828</v>
      </c>
      <c r="D102" s="43">
        <f t="shared" ca="1" si="15"/>
        <v>-293708.33333333331</v>
      </c>
      <c r="E102" s="40">
        <f ca="1">IF(COUNTIF($W$2:W1087,A102)=1,VLOOKUP(A102,Q:R,2), IF(COUNTIF($W$2:W1087,A102)=0,$C$9,""))</f>
        <v>99.396000000000001</v>
      </c>
      <c r="F102" s="2">
        <f t="shared" ca="1" si="16"/>
        <v>-310440.0000000007</v>
      </c>
      <c r="G102" s="43">
        <f t="shared" ca="1" si="17"/>
        <v>-1360.1466666666674</v>
      </c>
      <c r="H102" s="40">
        <f ca="1">IF(COUNTIF($W$2:W1087,A102)=1,VLOOKUP(A102,S:T,2), IF(COUNTIF($W$2:W1087,A102)=0,$D$9,""))</f>
        <v>261.05</v>
      </c>
      <c r="I102" s="41">
        <f ca="1">IF(COUNTIF($X$2:X1087,INT(A102))=1,VLOOKUP(INT(A102),X:Y,2), IF(ISERROR(H102-2),"",I101*(1-$D$8*(H102-H101)*0.0001)))</f>
        <v>268.3329</v>
      </c>
      <c r="J102" s="41">
        <f t="shared" ca="1" si="18"/>
        <v>268.3329</v>
      </c>
      <c r="K102" s="43">
        <f t="shared" ca="1" si="19"/>
        <v>293963.32046331867</v>
      </c>
      <c r="L102" s="43" t="str">
        <f ca="1">IF($A102="","",IF(COUNTIFS(Dividends!$G:$G,"&gt;"&amp;INT($A101),Dividends!$G:$G,"&lt;="&amp;INT($A102))=0,"",$H$2*SUMIFS(Dividends!$H:$H,Dividends!$G:$G,"&gt;"&amp;INT($A101),Dividends!$G:$G,"&lt;="&amp;INT($A102))))</f>
        <v/>
      </c>
      <c r="M102" s="44">
        <f ca="1">IF(ISERROR(B102-2),"",C102+D102-F102-G102-K102+SUM($L$14:L102))</f>
        <v>-205367.98675447772</v>
      </c>
      <c r="O102" s="3">
        <v>46196.625</v>
      </c>
      <c r="P102" s="4">
        <v>91.08</v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>
        <f t="shared" si="10"/>
        <v>46196.625</v>
      </c>
      <c r="V102" s="3">
        <f t="shared" si="11"/>
        <v>46196.625</v>
      </c>
      <c r="W102" s="3">
        <v>46197.625</v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2"/>
        <v>45922</v>
      </c>
    </row>
    <row r="103" spans="1:30" x14ac:dyDescent="0.25">
      <c r="A103" s="39">
        <f t="shared" ca="1" si="13"/>
        <v>46183.625</v>
      </c>
      <c r="B103" s="40">
        <f ca="1">IF(COUNTIF($W$2:W1088,A103)=1,VLOOKUP(A103,O:P,2), IF(COUNTIF($W$2:W1088,A103)=0,$B$9,""))</f>
        <v>91.62</v>
      </c>
      <c r="C103" s="2">
        <f t="shared" ca="1" si="14"/>
        <v>-678472.37038617174</v>
      </c>
      <c r="D103" s="43">
        <f t="shared" ca="1" si="15"/>
        <v>-295916.66666666669</v>
      </c>
      <c r="E103" s="40">
        <f ca="1">IF(COUNTIF($W$2:W1088,A103)=1,VLOOKUP(A103,Q:R,2), IF(COUNTIF($W$2:W1088,A103)=0,$C$9,""))</f>
        <v>99.337999999999994</v>
      </c>
      <c r="F103" s="2">
        <f t="shared" ca="1" si="16"/>
        <v>-325520.0000000025</v>
      </c>
      <c r="G103" s="43">
        <f t="shared" ca="1" si="17"/>
        <v>-1370.3733333333512</v>
      </c>
      <c r="H103" s="40">
        <f ca="1">IF(COUNTIF($W$2:W1088,A103)=1,VLOOKUP(A103,S:T,2), IF(COUNTIF($W$2:W1088,A103)=0,$D$9,""))</f>
        <v>264.82</v>
      </c>
      <c r="I103" s="41">
        <f ca="1">IF(COUNTIF($X$2:X1088,INT(A103))=1,VLOOKUP(INT(A103),X:Y,2), IF(ISERROR(H103-2),"",I102*(1-$D$8*(H103-H102)*0.0001)))</f>
        <v>268.03980000000001</v>
      </c>
      <c r="J103" s="41">
        <f t="shared" ca="1" si="18"/>
        <v>268.03980000000001</v>
      </c>
      <c r="K103" s="43">
        <f t="shared" ca="1" si="19"/>
        <v>273216.21621621842</v>
      </c>
      <c r="L103" s="43" t="str">
        <f ca="1">IF($A103="","",IF(COUNTIFS(Dividends!$G:$G,"&gt;"&amp;INT($A102),Dividends!$G:$G,"&lt;="&amp;INT($A103))=0,"",$H$2*SUMIFS(Dividends!$H:$H,Dividends!$G:$G,"&gt;"&amp;INT($A102),Dividends!$G:$G,"&lt;="&amp;INT($A103))))</f>
        <v/>
      </c>
      <c r="M103" s="44">
        <f ca="1">IF(ISERROR(B103-2),"",C103+D103-F103-G103-K103+SUM($L$14:L103))</f>
        <v>-174939.33054378582</v>
      </c>
      <c r="O103" s="3">
        <v>46197.625</v>
      </c>
      <c r="P103" s="4">
        <v>91.03</v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>
        <f t="shared" si="10"/>
        <v>46197.625</v>
      </c>
      <c r="V103" s="3">
        <f t="shared" si="11"/>
        <v>46197.625</v>
      </c>
      <c r="W103" s="3">
        <v>46198.625</v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2"/>
        <v>45923</v>
      </c>
    </row>
    <row r="104" spans="1:30" x14ac:dyDescent="0.25">
      <c r="A104" s="39">
        <f t="shared" ca="1" si="13"/>
        <v>46184.625</v>
      </c>
      <c r="B104" s="40">
        <f ca="1">IF(COUNTIF($W$2:W1089,A104)=1,VLOOKUP(A104,O:P,2), IF(COUNTIF($W$2:W1089,A104)=0,$B$9,""))</f>
        <v>91.65</v>
      </c>
      <c r="C104" s="2">
        <f t="shared" ca="1" si="14"/>
        <v>-668871.34627693135</v>
      </c>
      <c r="D104" s="43">
        <f t="shared" ca="1" si="15"/>
        <v>-298125</v>
      </c>
      <c r="E104" s="40">
        <f ca="1">IF(COUNTIF($W$2:W1089,A104)=1,VLOOKUP(A104,Q:R,2), IF(COUNTIF($W$2:W1089,A104)=0,$C$9,""))</f>
        <v>99.400999999999996</v>
      </c>
      <c r="F104" s="2">
        <f t="shared" ca="1" si="16"/>
        <v>-309140.00000000186</v>
      </c>
      <c r="G104" s="43">
        <f t="shared" ca="1" si="17"/>
        <v>-1380.6000000000058</v>
      </c>
      <c r="H104" s="40">
        <f ca="1">IF(COUNTIF($W$2:W1089,A104)=1,VLOOKUP(A104,S:T,2), IF(COUNTIF($W$2:W1089,A104)=0,$D$9,""))</f>
        <v>263.56900000000002</v>
      </c>
      <c r="I104" s="41">
        <f ca="1">IF(COUNTIF($X$2:X1089,INT(A104))=1,VLOOKUP(INT(A104),X:Y,2), IF(ISERROR(H104-2),"",I103*(1-$D$8*(H104-H103)*0.0001)))</f>
        <v>268.44299999999998</v>
      </c>
      <c r="J104" s="41">
        <f t="shared" ca="1" si="18"/>
        <v>268.44299999999998</v>
      </c>
      <c r="K104" s="43">
        <f t="shared" ca="1" si="19"/>
        <v>301756.75675675354</v>
      </c>
      <c r="L104" s="43" t="str">
        <f ca="1">IF($A104="","",IF(COUNTIFS(Dividends!$G:$G,"&gt;"&amp;INT($A103),Dividends!$G:$G,"&lt;="&amp;INT($A104))=0,"",$H$2*SUMIFS(Dividends!$H:$H,Dividends!$G:$G,"&gt;"&amp;INT($A103),Dividends!$G:$G,"&lt;="&amp;INT($A104))))</f>
        <v/>
      </c>
      <c r="M104" s="44">
        <f ca="1">IF(ISERROR(B104-2),"",C104+D104-F104-G104-K104+SUM($L$14:L104))</f>
        <v>-212456.95364174794</v>
      </c>
      <c r="O104" s="3">
        <v>46198.625</v>
      </c>
      <c r="P104" s="4">
        <v>91.17</v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>
        <f t="shared" si="10"/>
        <v>46198.625</v>
      </c>
      <c r="V104" s="3">
        <f t="shared" si="11"/>
        <v>46198.625</v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2"/>
        <v>45924</v>
      </c>
    </row>
    <row r="105" spans="1:30" x14ac:dyDescent="0.25">
      <c r="A105" s="39">
        <f t="shared" ca="1" si="13"/>
        <v>46185.625</v>
      </c>
      <c r="B105" s="40">
        <f ca="1">IF(COUNTIF($W$2:W1090,A105)=1,VLOOKUP(A105,O:P,2), IF(COUNTIF($W$2:W1090,A105)=0,$B$9,""))</f>
        <v>91.87</v>
      </c>
      <c r="C105" s="2">
        <f t="shared" ca="1" si="14"/>
        <v>-598463.83614251879</v>
      </c>
      <c r="D105" s="43">
        <f t="shared" ca="1" si="15"/>
        <v>-300333.33333333331</v>
      </c>
      <c r="E105" s="40">
        <f ca="1">IF(COUNTIF($W$2:W1090,A105)=1,VLOOKUP(A105,Q:R,2), IF(COUNTIF($W$2:W1090,A105)=0,$C$9,""))</f>
        <v>99.512</v>
      </c>
      <c r="F105" s="2">
        <f t="shared" ca="1" si="16"/>
        <v>-280280.00000000076</v>
      </c>
      <c r="G105" s="43">
        <f t="shared" ca="1" si="17"/>
        <v>-1390.8266666666605</v>
      </c>
      <c r="H105" s="40">
        <f ca="1">IF(COUNTIF($W$2:W1090,A105)=1,VLOOKUP(A105,S:T,2), IF(COUNTIF($W$2:W1090,A105)=0,$D$9,""))</f>
        <v>253.16399999999999</v>
      </c>
      <c r="I105" s="41">
        <f ca="1">IF(COUNTIF($X$2:X1090,INT(A105))=1,VLOOKUP(INT(A105),X:Y,2), IF(ISERROR(H105-2),"",I104*(1-$D$8*(H105-H104)*0.0001)))</f>
        <v>269.7552</v>
      </c>
      <c r="J105" s="41">
        <f t="shared" ca="1" si="18"/>
        <v>269.7552</v>
      </c>
      <c r="K105" s="43">
        <f t="shared" ca="1" si="19"/>
        <v>394640.92664092622</v>
      </c>
      <c r="L105" s="43" t="str">
        <f ca="1">IF($A105="","",IF(COUNTIFS(Dividends!$G:$G,"&gt;"&amp;INT($A104),Dividends!$G:$G,"&lt;="&amp;INT($A105))=0,"",$H$2*SUMIFS(Dividends!$H:$H,Dividends!$G:$G,"&gt;"&amp;INT($A104),Dividends!$G:$G,"&lt;="&amp;INT($A105))))</f>
        <v/>
      </c>
      <c r="M105" s="44">
        <f ca="1">IF(ISERROR(B105-2),"",C105+D105-F105-G105-K105+SUM($L$14:L105))</f>
        <v>-265991.72005817574</v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10"/>
        <v/>
      </c>
      <c r="V105" s="3" t="str">
        <f t="shared" si="11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2"/>
        <v>45925</v>
      </c>
    </row>
    <row r="106" spans="1:30" x14ac:dyDescent="0.25">
      <c r="A106" s="39">
        <f t="shared" ca="1" si="13"/>
        <v>46188.625</v>
      </c>
      <c r="B106" s="40">
        <f ca="1">IF(COUNTIF($W$2:W1091,A106)=1,VLOOKUP(A106,O:P,2), IF(COUNTIF($W$2:W1091,A106)=0,$B$9,""))</f>
        <v>92.18</v>
      </c>
      <c r="C106" s="2">
        <f t="shared" ca="1" si="14"/>
        <v>-499253.25368038844</v>
      </c>
      <c r="D106" s="43">
        <f t="shared" ca="1" si="15"/>
        <v>-306958.33333333331</v>
      </c>
      <c r="E106" s="40">
        <f ca="1">IF(COUNTIF($W$2:W1091,A106)=1,VLOOKUP(A106,Q:R,2), IF(COUNTIF($W$2:W1091,A106)=0,$C$9,""))</f>
        <v>99.631</v>
      </c>
      <c r="F106" s="2">
        <f t="shared" ca="1" si="16"/>
        <v>-249340.00000000084</v>
      </c>
      <c r="G106" s="43">
        <f t="shared" ca="1" si="17"/>
        <v>-1421.5066666666535</v>
      </c>
      <c r="H106" s="40">
        <f ca="1">IF(COUNTIF($W$2:W1091,A106)=1,VLOOKUP(A106,S:T,2), IF(COUNTIF($W$2:W1091,A106)=0,$D$9,""))</f>
        <v>248.518</v>
      </c>
      <c r="I106" s="41">
        <f ca="1">IF(COUNTIF($X$2:X1091,INT(A106))=1,VLOOKUP(INT(A106),X:Y,2), IF(ISERROR(H106-2),"",I105*(1-$D$8*(H106-H105)*0.0001)))</f>
        <v>270.47059999999999</v>
      </c>
      <c r="J106" s="41">
        <f t="shared" ca="1" si="18"/>
        <v>270.47059999999999</v>
      </c>
      <c r="K106" s="43">
        <f t="shared" ca="1" si="19"/>
        <v>445280.56628056424</v>
      </c>
      <c r="L106" s="43" t="str">
        <f ca="1">IF($A106="","",IF(COUNTIFS(Dividends!$G:$G,"&gt;"&amp;INT($A105),Dividends!$G:$G,"&lt;="&amp;INT($A106))=0,"",$H$2*SUMIFS(Dividends!$H:$H,Dividends!$G:$G,"&gt;"&amp;INT($A105),Dividends!$G:$G,"&lt;="&amp;INT($A106))))</f>
        <v/>
      </c>
      <c r="M106" s="44">
        <f ca="1">IF(ISERROR(B106-2),"",C106+D106-F106-G106-K106+SUM($L$14:L106))</f>
        <v>-254955.09723568335</v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10"/>
        <v/>
      </c>
      <c r="V106" s="3" t="str">
        <f t="shared" si="11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2"/>
        <v>45926</v>
      </c>
    </row>
    <row r="107" spans="1:30" x14ac:dyDescent="0.25">
      <c r="A107" s="39">
        <f t="shared" ca="1" si="13"/>
        <v>46189.625</v>
      </c>
      <c r="B107" s="40">
        <f ca="1">IF(COUNTIF($W$2:W1092,A107)=1,VLOOKUP(A107,O:P,2), IF(COUNTIF($W$2:W1092,A107)=0,$B$9,""))</f>
        <v>92.15</v>
      </c>
      <c r="C107" s="2">
        <f t="shared" ca="1" si="14"/>
        <v>-508854.27778962877</v>
      </c>
      <c r="D107" s="43">
        <f t="shared" ca="1" si="15"/>
        <v>-309166.66666666669</v>
      </c>
      <c r="E107" s="40">
        <f ca="1">IF(COUNTIF($W$2:W1092,A107)=1,VLOOKUP(A107,Q:R,2), IF(COUNTIF($W$2:W1092,A107)=0,$C$9,""))</f>
        <v>99.625</v>
      </c>
      <c r="F107" s="2">
        <f t="shared" ca="1" si="16"/>
        <v>-250900.00000000087</v>
      </c>
      <c r="G107" s="43">
        <f t="shared" ca="1" si="17"/>
        <v>-1431.7333333333372</v>
      </c>
      <c r="H107" s="40">
        <f ca="1">IF(COUNTIF($W$2:W1092,A107)=1,VLOOKUP(A107,S:T,2), IF(COUNTIF($W$2:W1092,A107)=0,$D$9,""))</f>
        <v>249.79400000000001</v>
      </c>
      <c r="I107" s="41">
        <f ca="1">IF(COUNTIF($X$2:X1092,INT(A107))=1,VLOOKUP(INT(A107),X:Y,2), IF(ISERROR(H107-2),"",I106*(1-$D$8*(H107-H106)*0.0001)))</f>
        <v>270.3356</v>
      </c>
      <c r="J107" s="41">
        <f t="shared" ca="1" si="18"/>
        <v>270.3356</v>
      </c>
      <c r="K107" s="43">
        <f t="shared" ca="1" si="19"/>
        <v>435724.58172458195</v>
      </c>
      <c r="L107" s="43" t="str">
        <f ca="1">IF($A107="","",IF(COUNTIFS(Dividends!$G:$G,"&gt;"&amp;INT($A106),Dividends!$G:$G,"&lt;="&amp;INT($A107))=0,"",$H$2*SUMIFS(Dividends!$H:$H,Dividends!$G:$G,"&gt;"&amp;INT($A106),Dividends!$G:$G,"&lt;="&amp;INT($A107))))</f>
        <v/>
      </c>
      <c r="M107" s="44">
        <f ca="1">IF(ISERROR(B107-2),"",C107+D107-F107-G107-K107+SUM($L$14:L107))</f>
        <v>-255638.24345560814</v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10"/>
        <v/>
      </c>
      <c r="V107" s="3" t="str">
        <f t="shared" si="11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2"/>
        <v>45929</v>
      </c>
    </row>
    <row r="108" spans="1:30" x14ac:dyDescent="0.25">
      <c r="A108" s="39">
        <f t="shared" ca="1" si="13"/>
        <v>46190.625</v>
      </c>
      <c r="B108" s="40">
        <f ca="1">IF(COUNTIF($W$2:W1093,A108)=1,VLOOKUP(A108,O:P,2), IF(COUNTIF($W$2:W1093,A108)=0,$B$9,""))</f>
        <v>92.16</v>
      </c>
      <c r="C108" s="2">
        <f t="shared" ca="1" si="14"/>
        <v>-505653.93641988531</v>
      </c>
      <c r="D108" s="43">
        <f t="shared" ca="1" si="15"/>
        <v>-311375</v>
      </c>
      <c r="E108" s="40">
        <f ca="1">IF(COUNTIF($W$2:W1093,A108)=1,VLOOKUP(A108,Q:R,2), IF(COUNTIF($W$2:W1093,A108)=0,$C$9,""))</f>
        <v>99.600999999999999</v>
      </c>
      <c r="F108" s="2">
        <f t="shared" ca="1" si="16"/>
        <v>-257140.00000000111</v>
      </c>
      <c r="G108" s="43">
        <f t="shared" ca="1" si="17"/>
        <v>-1441.9599999999919</v>
      </c>
      <c r="H108" s="40">
        <f ca="1">IF(COUNTIF($W$2:W1093,A108)=1,VLOOKUP(A108,S:T,2), IF(COUNTIF($W$2:W1093,A108)=0,$D$9,""))</f>
        <v>252.459</v>
      </c>
      <c r="I108" s="41">
        <f ca="1">IF(COUNTIF($X$2:X1093,INT(A108))=1,VLOOKUP(INT(A108),X:Y,2), IF(ISERROR(H108-2),"",I107*(1-$D$8*(H108-H107)*0.0001)))</f>
        <v>270.1644</v>
      </c>
      <c r="J108" s="41">
        <f t="shared" ca="1" si="18"/>
        <v>270.1644</v>
      </c>
      <c r="K108" s="43">
        <f t="shared" ca="1" si="19"/>
        <v>423606.17760617536</v>
      </c>
      <c r="L108" s="43" t="str">
        <f ca="1">IF($A108="","",IF(COUNTIFS(Dividends!$G:$G,"&gt;"&amp;INT($A107),Dividends!$G:$G,"&lt;="&amp;INT($A108))=0,"",$H$2*SUMIFS(Dividends!$H:$H,Dividends!$G:$G,"&gt;"&amp;INT($A107),Dividends!$G:$G,"&lt;="&amp;INT($A108))))</f>
        <v/>
      </c>
      <c r="M108" s="44">
        <f ca="1">IF(ISERROR(B108-2),"",C108+D108-F108-G108-K108+SUM($L$14:L108))</f>
        <v>-236277.60463412455</v>
      </c>
      <c r="Q108" s="3">
        <v>46198.625</v>
      </c>
      <c r="R108" s="4">
        <v>99.748999999999995</v>
      </c>
      <c r="U108" s="3" t="str">
        <f t="shared" si="10"/>
        <v/>
      </c>
      <c r="V108" s="3" t="str">
        <f t="shared" si="11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2"/>
        <v>45930</v>
      </c>
    </row>
    <row r="109" spans="1:30" x14ac:dyDescent="0.25">
      <c r="A109" s="39">
        <f t="shared" ca="1" si="13"/>
        <v>46191.625</v>
      </c>
      <c r="B109" s="40">
        <f ca="1">IF(COUNTIF($W$2:W1094,A109)=1,VLOOKUP(A109,O:P,2), IF(COUNTIF($W$2:W1094,A109)=0,$B$9,""))</f>
        <v>91.01</v>
      </c>
      <c r="C109" s="2">
        <f t="shared" ca="1" si="14"/>
        <v>-873693.19394068222</v>
      </c>
      <c r="D109" s="43">
        <f t="shared" ca="1" si="15"/>
        <v>-313583.33333333331</v>
      </c>
      <c r="E109" s="40">
        <f ca="1">IF(COUNTIF($W$2:W1094,A109)=1,VLOOKUP(A109,Q:R,2), IF(COUNTIF($W$2:W1094,A109)=0,$C$9,""))</f>
        <v>99.582999999999998</v>
      </c>
      <c r="F109" s="2">
        <f t="shared" ca="1" si="16"/>
        <v>-261820.00000000128</v>
      </c>
      <c r="G109" s="43">
        <f t="shared" ca="1" si="17"/>
        <v>-1452.1866666666465</v>
      </c>
      <c r="H109" s="40">
        <f ca="1">IF(COUNTIF($W$2:W1094,A109)=1,VLOOKUP(A109,S:T,2), IF(COUNTIF($W$2:W1094,A109)=0,$D$9,""))</f>
        <v>249.42099999999999</v>
      </c>
      <c r="I109" s="41">
        <f ca="1">IF(COUNTIF($X$2:X1094,INT(A109))=1,VLOOKUP(INT(A109),X:Y,2), IF(ISERROR(H109-2),"",I108*(1-$D$8*(H109-H108)*0.0001)))</f>
        <v>270.5043</v>
      </c>
      <c r="J109" s="41">
        <f t="shared" ca="1" si="18"/>
        <v>270.5043</v>
      </c>
      <c r="K109" s="43">
        <f t="shared" ca="1" si="19"/>
        <v>447666.02316602162</v>
      </c>
      <c r="L109" s="43">
        <f ca="1">IF($A109="","",IF(COUNTIFS(Dividends!$G:$G,"&gt;"&amp;INT($A108),Dividends!$G:$G,"&lt;="&amp;INT($A109))=0,"",$H$2*SUMIFS(Dividends!$H:$H,Dividends!$G:$G,"&gt;"&amp;INT($A108),Dividends!$G:$G,"&lt;="&amp;INT($A109))))</f>
        <v>372711.75592063158</v>
      </c>
      <c r="M109" s="44">
        <f ca="1">IF(ISERROR(B109-2),"",C109+D109-F109-G109-K109+SUM($L$14:L109))</f>
        <v>-253183.05846080254</v>
      </c>
      <c r="U109" s="3" t="str">
        <f t="shared" si="10"/>
        <v/>
      </c>
      <c r="V109" s="3" t="str">
        <f t="shared" si="11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2"/>
        <v>45931</v>
      </c>
    </row>
    <row r="110" spans="1:30" x14ac:dyDescent="0.25">
      <c r="A110" s="39">
        <f t="shared" ca="1" si="13"/>
        <v>46192.625</v>
      </c>
      <c r="B110" s="40">
        <f ca="1">IF(COUNTIF($W$2:W1095,A110)=1,VLOOKUP(A110,O:P,2), IF(COUNTIF($W$2:W1095,A110)=0,$B$9,""))</f>
        <v>91.05</v>
      </c>
      <c r="C110" s="2">
        <f t="shared" ca="1" si="14"/>
        <v>-860891.82846170175</v>
      </c>
      <c r="D110" s="43">
        <f t="shared" ca="1" si="15"/>
        <v>-315791.66666666663</v>
      </c>
      <c r="E110" s="40">
        <f ca="1">IF(COUNTIF($W$2:W1095,A110)=1,VLOOKUP(A110,Q:R,2), IF(COUNTIF($W$2:W1095,A110)=0,$C$9,""))</f>
        <v>99.489000000000004</v>
      </c>
      <c r="F110" s="2">
        <f t="shared" ca="1" si="16"/>
        <v>-286259.99999999977</v>
      </c>
      <c r="G110" s="43">
        <f t="shared" ca="1" si="17"/>
        <v>-1462.4133333333302</v>
      </c>
      <c r="H110" s="40">
        <f ca="1">IF(COUNTIF($W$2:W1095,A110)=1,VLOOKUP(A110,S:T,2), IF(COUNTIF($W$2:W1095,A110)=0,$D$9,""))</f>
        <v>249.20599999999999</v>
      </c>
      <c r="I110" s="41">
        <f ca="1">IF(COUNTIF($X$2:X1095,INT(A110))=1,VLOOKUP(INT(A110),X:Y,2), IF(ISERROR(H110-2),"",I109*(1-$D$8*(H110-H109)*0.0001)))</f>
        <v>270.44040000000001</v>
      </c>
      <c r="J110" s="41">
        <f t="shared" ca="1" si="18"/>
        <v>270.44040000000001</v>
      </c>
      <c r="K110" s="43">
        <f t="shared" ca="1" si="19"/>
        <v>443142.85714285803</v>
      </c>
      <c r="L110" s="43" t="str">
        <f ca="1">IF($A110="","",IF(COUNTIFS(Dividends!$G:$G,"&gt;"&amp;INT($A109),Dividends!$G:$G,"&lt;="&amp;INT($A110))=0,"",$H$2*SUMIFS(Dividends!$H:$H,Dividends!$G:$G,"&gt;"&amp;INT($A109),Dividends!$G:$G,"&lt;="&amp;INT($A110))))</f>
        <v/>
      </c>
      <c r="M110" s="44">
        <f ca="1">IF(ISERROR(B110-2),"",C110+D110-F110-G110-K110+SUM($L$14:L110))</f>
        <v>-213616.63362532668</v>
      </c>
      <c r="U110" s="3" t="str">
        <f t="shared" si="10"/>
        <v/>
      </c>
      <c r="V110" s="3" t="str">
        <f t="shared" si="11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2"/>
        <v>45932</v>
      </c>
    </row>
    <row r="111" spans="1:30" x14ac:dyDescent="0.25">
      <c r="A111" s="39">
        <f t="shared" ca="1" si="13"/>
        <v>46195.625</v>
      </c>
      <c r="B111" s="40">
        <f ca="1">IF(COUNTIF($W$2:W1096,A111)=1,VLOOKUP(A111,O:P,2), IF(COUNTIF($W$2:W1096,A111)=0,$B$9,""))</f>
        <v>91.17</v>
      </c>
      <c r="C111" s="2">
        <f t="shared" ca="1" si="14"/>
        <v>-822487.73202474706</v>
      </c>
      <c r="D111" s="43">
        <f t="shared" ca="1" si="15"/>
        <v>-322416.66666666669</v>
      </c>
      <c r="E111" s="40">
        <f ca="1">IF(COUNTIF($W$2:W1096,A111)=1,VLOOKUP(A111,Q:R,2), IF(COUNTIF($W$2:W1096,A111)=0,$C$9,""))</f>
        <v>99.591999999999999</v>
      </c>
      <c r="F111" s="2">
        <f t="shared" ca="1" si="16"/>
        <v>-259480.00000000119</v>
      </c>
      <c r="G111" s="43">
        <f t="shared" ca="1" si="17"/>
        <v>-1493.0933333333523</v>
      </c>
      <c r="H111" s="40">
        <f ca="1">IF(COUNTIF($W$2:W1096,A111)=1,VLOOKUP(A111,S:T,2), IF(COUNTIF($W$2:W1096,A111)=0,$D$9,""))</f>
        <v>246.90199999999999</v>
      </c>
      <c r="I111" s="41">
        <f ca="1">IF(COUNTIF($X$2:X1096,INT(A111))=1,VLOOKUP(INT(A111),X:Y,2), IF(ISERROR(H111-2),"",I110*(1-$D$8*(H111-H110)*0.0001)))</f>
        <v>270.85840000000002</v>
      </c>
      <c r="J111" s="41">
        <f t="shared" ca="1" si="18"/>
        <v>270.85840000000002</v>
      </c>
      <c r="K111" s="43">
        <f t="shared" ca="1" si="19"/>
        <v>472731.01673101721</v>
      </c>
      <c r="L111" s="43" t="str">
        <f ca="1">IF($A111="","",IF(COUNTIFS(Dividends!$G:$G,"&gt;"&amp;INT($A110),Dividends!$G:$G,"&lt;="&amp;INT($A111))=0,"",$H$2*SUMIFS(Dividends!$H:$H,Dividends!$G:$G,"&gt;"&amp;INT($A110),Dividends!$G:$G,"&lt;="&amp;INT($A111))))</f>
        <v/>
      </c>
      <c r="M111" s="44">
        <f ca="1">IF(ISERROR(B111-2),"",C111+D111-F111-G111-K111+SUM($L$14:L111))</f>
        <v>-238175.01677652961</v>
      </c>
      <c r="U111" s="3" t="str">
        <f t="shared" si="10"/>
        <v/>
      </c>
      <c r="V111" s="3" t="str">
        <f t="shared" si="11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2"/>
        <v>45933</v>
      </c>
    </row>
    <row r="112" spans="1:30" x14ac:dyDescent="0.25">
      <c r="A112" s="39">
        <f t="shared" ca="1" si="13"/>
        <v>46196.625</v>
      </c>
      <c r="B112" s="40">
        <f ca="1">IF(COUNTIF($W$2:W1097,A112)=1,VLOOKUP(A112,O:P,2), IF(COUNTIF($W$2:W1097,A112)=0,$B$9,""))</f>
        <v>91.08</v>
      </c>
      <c r="C112" s="2">
        <f t="shared" ca="1" si="14"/>
        <v>-851290.80435246474</v>
      </c>
      <c r="D112" s="43">
        <f t="shared" ca="1" si="15"/>
        <v>-324625</v>
      </c>
      <c r="E112" s="40">
        <f ca="1">IF(COUNTIF($W$2:W1097,A112)=1,VLOOKUP(A112,Q:R,2), IF(COUNTIF($W$2:W1097,A112)=0,$C$9,""))</f>
        <v>99.66</v>
      </c>
      <c r="F112" s="2">
        <f t="shared" ca="1" si="16"/>
        <v>-241800.00000000178</v>
      </c>
      <c r="G112" s="43">
        <f t="shared" ca="1" si="17"/>
        <v>-1503.320000000007</v>
      </c>
      <c r="H112" s="40">
        <f ca="1">IF(COUNTIF($W$2:W1097,A112)=1,VLOOKUP(A112,S:T,2), IF(COUNTIF($W$2:W1097,A112)=0,$D$9,""))</f>
        <v>248.29</v>
      </c>
      <c r="I112" s="41">
        <f ca="1">IF(COUNTIF($X$2:X1097,INT(A112))=1,VLOOKUP(INT(A112),X:Y,2), IF(ISERROR(H112-2),"",I111*(1-$D$8*(H112-H111)*0.0001)))</f>
        <v>270.70330000000001</v>
      </c>
      <c r="J112" s="41">
        <f t="shared" ca="1" si="18"/>
        <v>270.70330000000001</v>
      </c>
      <c r="K112" s="43">
        <f t="shared" ca="1" si="19"/>
        <v>461752.25225225213</v>
      </c>
      <c r="L112" s="43" t="str">
        <f ca="1">IF($A112="","",IF(COUNTIFS(Dividends!$G:$G,"&gt;"&amp;INT($A111),Dividends!$G:$G,"&lt;="&amp;INT($A112))=0,"",$H$2*SUMIFS(Dividends!$H:$H,Dividends!$G:$G,"&gt;"&amp;INT($A111),Dividends!$G:$G,"&lt;="&amp;INT($A112))))</f>
        <v/>
      </c>
      <c r="M112" s="44">
        <f ca="1">IF(ISERROR(B112-2),"",C112+D112-F112-G112-K112+SUM($L$14:L112))</f>
        <v>-275877.43129214831</v>
      </c>
      <c r="U112" s="3" t="str">
        <f t="shared" si="10"/>
        <v/>
      </c>
      <c r="V112" s="3" t="str">
        <f t="shared" si="11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2"/>
        <v>45936</v>
      </c>
    </row>
    <row r="113" spans="1:30" x14ac:dyDescent="0.25">
      <c r="A113" s="39">
        <f t="shared" ca="1" si="13"/>
        <v>46197.625</v>
      </c>
      <c r="B113" s="40">
        <f ca="1">IF(COUNTIF($W$2:W1098,A113)=1,VLOOKUP(A113,O:P,2), IF(COUNTIF($W$2:W1098,A113)=0,$B$9,""))</f>
        <v>91.03</v>
      </c>
      <c r="C113" s="2">
        <f t="shared" ca="1" si="14"/>
        <v>-867292.51120119204</v>
      </c>
      <c r="D113" s="43">
        <f t="shared" ca="1" si="15"/>
        <v>-326833.33333333331</v>
      </c>
      <c r="E113" s="40">
        <f ca="1">IF(COUNTIF($W$2:W1098,A113)=1,VLOOKUP(A113,Q:R,2), IF(COUNTIF($W$2:W1098,A113)=0,$C$9,""))</f>
        <v>99.724999999999994</v>
      </c>
      <c r="F113" s="2">
        <f t="shared" ca="1" si="16"/>
        <v>-224900.00000000239</v>
      </c>
      <c r="G113" s="43">
        <f t="shared" ca="1" si="17"/>
        <v>-1513.5466666666907</v>
      </c>
      <c r="H113" s="40">
        <f ca="1">IF(COUNTIF($W$2:W1098,A113)=1,VLOOKUP(A113,S:T,2), IF(COUNTIF($W$2:W1098,A113)=0,$D$9,""))</f>
        <v>247.875</v>
      </c>
      <c r="I113" s="41">
        <f ca="1">IF(COUNTIF($X$2:X1098,INT(A113))=1,VLOOKUP(INT(A113),X:Y,2), IF(ISERROR(H113-2),"",I112*(1-$D$8*(H113-H112)*0.0001)))</f>
        <v>270.80290000000002</v>
      </c>
      <c r="J113" s="41">
        <f t="shared" ca="1" si="18"/>
        <v>270.80290000000002</v>
      </c>
      <c r="K113" s="43">
        <f t="shared" ca="1" si="19"/>
        <v>468802.44530244579</v>
      </c>
      <c r="L113" s="43" t="str">
        <f ca="1">IF($A113="","",IF(COUNTIFS(Dividends!$G:$G,"&gt;"&amp;INT($A112),Dividends!$G:$G,"&lt;="&amp;INT($A113))=0,"",$H$2*SUMIFS(Dividends!$H:$H,Dividends!$G:$G,"&gt;"&amp;INT($A112),Dividends!$G:$G,"&lt;="&amp;INT($A113))))</f>
        <v/>
      </c>
      <c r="M113" s="44">
        <f ca="1">IF(ISERROR(B113-2),"",C113+D113-F113-G113-K113+SUM($L$14:L113))</f>
        <v>-318027.43785773567</v>
      </c>
      <c r="U113" s="3" t="str">
        <f t="shared" si="10"/>
        <v/>
      </c>
      <c r="V113" s="3" t="str">
        <f t="shared" si="11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2"/>
        <v>45937</v>
      </c>
    </row>
    <row r="114" spans="1:30" x14ac:dyDescent="0.25">
      <c r="A114" s="39">
        <f t="shared" ca="1" si="13"/>
        <v>46198.625</v>
      </c>
      <c r="B114" s="40">
        <f ca="1">IF(COUNTIF($W$2:W1099,A114)=1,VLOOKUP(A114,O:P,2), IF(COUNTIF($W$2:W1099,A114)=0,$B$9,""))</f>
        <v>91.17</v>
      </c>
      <c r="C114" s="2">
        <f t="shared" ca="1" si="14"/>
        <v>-822487.73202474706</v>
      </c>
      <c r="D114" s="43">
        <f t="shared" ca="1" si="15"/>
        <v>-329041.66666666663</v>
      </c>
      <c r="E114" s="40">
        <f ca="1">IF(COUNTIF($W$2:W1099,A114)=1,VLOOKUP(A114,Q:R,2), IF(COUNTIF($W$2:W1099,A114)=0,$C$9,""))</f>
        <v>99.748999999999995</v>
      </c>
      <c r="F114" s="2">
        <f t="shared" ca="1" si="16"/>
        <v>-218660.00000000215</v>
      </c>
      <c r="G114" s="43">
        <f t="shared" ca="1" si="17"/>
        <v>-1523.7733333333454</v>
      </c>
      <c r="H114" s="40">
        <f ca="1">IF(COUNTIF($W$2:W1099,A114)=1,VLOOKUP(A114,S:T,2), IF(COUNTIF($W$2:W1099,A114)=0,$D$9,""))</f>
        <v>246.71700000000001</v>
      </c>
      <c r="I114" s="41">
        <f ca="1">IF(COUNTIF($X$2:X1099,INT(A114))=1,VLOOKUP(INT(A114),X:Y,2), IF(ISERROR(H114-2),"",I113*(1-$D$8*(H114-H113)*0.0001)))</f>
        <v>270.97930000000002</v>
      </c>
      <c r="J114" s="41">
        <f t="shared" ca="1" si="18"/>
        <v>270.97930000000002</v>
      </c>
      <c r="K114" s="43">
        <f t="shared" ca="1" si="19"/>
        <v>481288.93178893486</v>
      </c>
      <c r="L114" s="43" t="str">
        <f ca="1">IF($A114="","",IF(COUNTIFS(Dividends!$G:$G,"&gt;"&amp;INT($A113),Dividends!$G:$G,"&lt;="&amp;INT($A114))=0,"",$H$2*SUMIFS(Dividends!$H:$H,Dividends!$G:$G,"&gt;"&amp;INT($A113),Dividends!$G:$G,"&lt;="&amp;INT($A114))))</f>
        <v/>
      </c>
      <c r="M114" s="44">
        <f ca="1">IF(ISERROR(B114-2),"",C114+D114-F114-G114-K114+SUM($L$14:L114))</f>
        <v>-294147.25183444633</v>
      </c>
      <c r="U114" s="3" t="str">
        <f t="shared" si="10"/>
        <v/>
      </c>
      <c r="V114" s="3" t="str">
        <f t="shared" si="11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2"/>
        <v>45938</v>
      </c>
    </row>
    <row r="115" spans="1:30" x14ac:dyDescent="0.25">
      <c r="A115" s="39">
        <f t="shared" ca="1" si="13"/>
        <v>46198.782066435182</v>
      </c>
      <c r="B115" s="40">
        <f ca="1">IF(COUNTIF($W$2:W1100,A115)=1,VLOOKUP(A115,O:P,2), IF(COUNTIF($W$2:W1100,A115)=0,$B$9,""))</f>
        <v>91.16</v>
      </c>
      <c r="C115" s="2">
        <f t="shared" ca="1" si="14"/>
        <v>-825688.07339449378</v>
      </c>
      <c r="D115" s="43">
        <f t="shared" ca="1" si="15"/>
        <v>-329041.66666666663</v>
      </c>
      <c r="E115" s="40">
        <f ca="1">IF(COUNTIF($W$2:W1100,A115)=1,VLOOKUP(A115,Q:R,2), IF(COUNTIF($W$2:W1100,A115)=0,$C$9,""))</f>
        <v>99.747</v>
      </c>
      <c r="F115" s="2">
        <f t="shared" ca="1" si="16"/>
        <v>-219180.0000000009</v>
      </c>
      <c r="G115" s="43">
        <f t="shared" ca="1" si="17"/>
        <v>-1523.7733333333454</v>
      </c>
      <c r="H115" s="40">
        <f ca="1">IF(COUNTIF($W$2:W1100,A115)=1,VLOOKUP(A115,S:T,2), IF(COUNTIF($W$2:W1100,A115)=0,$D$9,""))</f>
        <v>247.30670000000001</v>
      </c>
      <c r="I115" s="41">
        <f ca="1">IF(COUNTIF($X$2:X1100,INT(A115))=1,VLOOKUP(INT(A115),X:Y,2), IF(ISERROR(H115-2),"",I114*(1-$D$8*(H115-H114)*0.0001)))</f>
        <v>270.97930000000002</v>
      </c>
      <c r="J115" s="41">
        <f t="shared" ca="1" si="18"/>
        <v>270.97930000000002</v>
      </c>
      <c r="K115" s="43">
        <f t="shared" ca="1" si="19"/>
        <v>481288.93178893486</v>
      </c>
      <c r="L115" s="43" t="str">
        <f ca="1">IF($A115="","",IF(COUNTIFS(Dividends!$G:$G,"&gt;"&amp;INT($A114),Dividends!$G:$G,"&lt;="&amp;INT($A115))=0,"",$H$2*SUMIFS(Dividends!$H:$H,Dividends!$G:$G,"&gt;"&amp;INT($A114),Dividends!$G:$G,"&lt;="&amp;INT($A115))))</f>
        <v/>
      </c>
      <c r="M115" s="44">
        <f ca="1">IF(ISERROR(B115-2),"",C115+D115-F115-G115-K115+SUM($L$14:L115))</f>
        <v>-296827.59320419445</v>
      </c>
      <c r="U115" s="3" t="str">
        <f t="shared" si="10"/>
        <v/>
      </c>
      <c r="V115" s="3" t="str">
        <f t="shared" si="11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2"/>
        <v>45939</v>
      </c>
    </row>
    <row r="116" spans="1:30" x14ac:dyDescent="0.25">
      <c r="A116" s="39" t="str">
        <f t="shared" ca="1" si="13"/>
        <v/>
      </c>
      <c r="B116" s="40" t="str">
        <f ca="1">IF(COUNTIF($W$2:W1101,A116)=1,VLOOKUP(A116,O:P,2), IF(COUNTIF($W$2:W1101,A116)=0,$B$9,""))</f>
        <v/>
      </c>
      <c r="C116" s="2" t="str">
        <f t="shared" ca="1" si="14"/>
        <v/>
      </c>
      <c r="D116" s="43" t="str">
        <f t="shared" ca="1" si="15"/>
        <v/>
      </c>
      <c r="E116" s="40" t="str">
        <f ca="1">IF(COUNTIF($W$2:W1101,A116)=1,VLOOKUP(A116,Q:R,2), IF(COUNTIF($W$2:W1101,A116)=0,$C$9,""))</f>
        <v/>
      </c>
      <c r="F116" s="2" t="str">
        <f t="shared" ca="1" si="16"/>
        <v/>
      </c>
      <c r="G116" s="43" t="str">
        <f t="shared" ca="1" si="17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8"/>
        <v/>
      </c>
      <c r="K116" s="43" t="str">
        <f t="shared" ca="1" si="19"/>
        <v/>
      </c>
      <c r="L116" s="43" t="str">
        <f ca="1">IF($A116="","",IF(COUNTIFS(Dividends!$G:$G,"&gt;"&amp;INT($A115),Dividends!$G:$G,"&lt;="&amp;INT($A116))=0,"",$H$2*SUMIFS(Dividends!$H:$H,Dividends!$G:$G,"&gt;"&amp;INT($A115),Dividends!$G:$G,"&lt;="&amp;INT($A116))))</f>
        <v/>
      </c>
      <c r="M116" s="44" t="str">
        <f ca="1">IF(ISERROR(B116-2),"",C116+D116-F116-G116-K116+SUM($L$14:L116))</f>
        <v/>
      </c>
      <c r="U116" s="3" t="str">
        <f t="shared" si="10"/>
        <v/>
      </c>
      <c r="V116" s="3" t="str">
        <f t="shared" si="11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2"/>
        <v>45940</v>
      </c>
    </row>
    <row r="117" spans="1:30" x14ac:dyDescent="0.25">
      <c r="A117" s="39" t="str">
        <f t="shared" ca="1" si="13"/>
        <v/>
      </c>
      <c r="B117" s="40" t="str">
        <f ca="1">IF(COUNTIF($W$2:W1102,A117)=1,VLOOKUP(A117,O:P,2), IF(COUNTIF($W$2:W1102,A117)=0,$B$9,""))</f>
        <v/>
      </c>
      <c r="C117" s="2" t="str">
        <f t="shared" ca="1" si="14"/>
        <v/>
      </c>
      <c r="D117" s="43" t="str">
        <f t="shared" ca="1" si="15"/>
        <v/>
      </c>
      <c r="E117" s="40" t="str">
        <f ca="1">IF(COUNTIF($W$2:W1102,A117)=1,VLOOKUP(A117,Q:R,2), IF(COUNTIF($W$2:W1102,A117)=0,$C$9,""))</f>
        <v/>
      </c>
      <c r="F117" s="2" t="str">
        <f t="shared" ca="1" si="16"/>
        <v/>
      </c>
      <c r="G117" s="43" t="str">
        <f t="shared" ca="1" si="17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8"/>
        <v/>
      </c>
      <c r="K117" s="43" t="str">
        <f t="shared" ca="1" si="19"/>
        <v/>
      </c>
      <c r="L117" s="43" t="str">
        <f ca="1">IF($A117="","",IF(COUNTIFS(Dividends!$G:$G,"&gt;"&amp;INT($A116),Dividends!$G:$G,"&lt;="&amp;INT($A117))=0,"",$H$2*SUMIFS(Dividends!$H:$H,Dividends!$G:$G,"&gt;"&amp;INT($A116),Dividends!$G:$G,"&lt;="&amp;INT($A117))))</f>
        <v/>
      </c>
      <c r="M117" s="44" t="str">
        <f ca="1">IF(ISERROR(B117-2),"",C117+D117-F117-G117-K117+SUM($L$14:L117))</f>
        <v/>
      </c>
      <c r="U117" s="3" t="str">
        <f t="shared" si="10"/>
        <v/>
      </c>
      <c r="V117" s="3" t="str">
        <f t="shared" si="11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2"/>
        <v>45943</v>
      </c>
    </row>
    <row r="118" spans="1:30" x14ac:dyDescent="0.25">
      <c r="A118" s="39" t="str">
        <f t="shared" ca="1" si="13"/>
        <v/>
      </c>
      <c r="B118" s="40" t="str">
        <f ca="1">IF(COUNTIF($W$2:W1103,A118)=1,VLOOKUP(A118,O:P,2), IF(COUNTIF($W$2:W1103,A118)=0,$B$9,""))</f>
        <v/>
      </c>
      <c r="C118" s="2" t="str">
        <f t="shared" ca="1" si="14"/>
        <v/>
      </c>
      <c r="D118" s="43" t="str">
        <f t="shared" ca="1" si="15"/>
        <v/>
      </c>
      <c r="E118" s="40" t="str">
        <f ca="1">IF(COUNTIF($W$2:W1103,A118)=1,VLOOKUP(A118,Q:R,2), IF(COUNTIF($W$2:W1103,A118)=0,$C$9,""))</f>
        <v/>
      </c>
      <c r="F118" s="2" t="str">
        <f t="shared" ca="1" si="16"/>
        <v/>
      </c>
      <c r="G118" s="43" t="str">
        <f t="shared" ca="1" si="17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8"/>
        <v/>
      </c>
      <c r="K118" s="43" t="str">
        <f t="shared" ca="1" si="19"/>
        <v/>
      </c>
      <c r="L118" s="43" t="str">
        <f ca="1">IF($A118="","",IF(COUNTIFS(Dividends!$G:$G,"&gt;"&amp;INT($A117),Dividends!$G:$G,"&lt;="&amp;INT($A118))=0,"",$H$2*SUMIFS(Dividends!$H:$H,Dividends!$G:$G,"&gt;"&amp;INT($A117),Dividends!$G:$G,"&lt;="&amp;INT($A118))))</f>
        <v/>
      </c>
      <c r="M118" s="44" t="str">
        <f ca="1">IF(ISERROR(B118-2),"",C118+D118-F118-G118-K118+SUM($L$14:L118))</f>
        <v/>
      </c>
      <c r="U118" s="3" t="str">
        <f t="shared" si="10"/>
        <v/>
      </c>
      <c r="V118" s="3" t="str">
        <f t="shared" si="11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2"/>
        <v>45944</v>
      </c>
    </row>
    <row r="119" spans="1:30" x14ac:dyDescent="0.25">
      <c r="A119" s="39" t="str">
        <f t="shared" ca="1" si="13"/>
        <v/>
      </c>
      <c r="B119" s="40" t="str">
        <f ca="1">IF(COUNTIF($W$2:W1104,A119)=1,VLOOKUP(A119,O:P,2), IF(COUNTIF($W$2:W1104,A119)=0,$B$9,""))</f>
        <v/>
      </c>
      <c r="C119" s="2" t="str">
        <f t="shared" ca="1" si="14"/>
        <v/>
      </c>
      <c r="D119" s="43" t="str">
        <f t="shared" ca="1" si="15"/>
        <v/>
      </c>
      <c r="E119" s="40" t="str">
        <f ca="1">IF(COUNTIF($W$2:W1104,A119)=1,VLOOKUP(A119,Q:R,2), IF(COUNTIF($W$2:W1104,A119)=0,$C$9,""))</f>
        <v/>
      </c>
      <c r="F119" s="2" t="str">
        <f t="shared" ca="1" si="16"/>
        <v/>
      </c>
      <c r="G119" s="43" t="str">
        <f t="shared" ca="1" si="17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8"/>
        <v/>
      </c>
      <c r="K119" s="43" t="str">
        <f t="shared" ca="1" si="19"/>
        <v/>
      </c>
      <c r="L119" s="43" t="str">
        <f ca="1">IF($A119="","",IF(COUNTIFS(Dividends!$G:$G,"&gt;"&amp;INT($A118),Dividends!$G:$G,"&lt;="&amp;INT($A119))=0,"",$H$2*SUMIFS(Dividends!$H:$H,Dividends!$G:$G,"&gt;"&amp;INT($A118),Dividends!$G:$G,"&lt;="&amp;INT($A119))))</f>
        <v/>
      </c>
      <c r="M119" s="44" t="str">
        <f ca="1">IF(ISERROR(B119-2),"",C119+D119-F119-G119-K119+SUM($L$14:L119))</f>
        <v/>
      </c>
      <c r="U119" s="3" t="str">
        <f t="shared" si="10"/>
        <v/>
      </c>
      <c r="V119" s="3" t="str">
        <f t="shared" si="11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2"/>
        <v>45945</v>
      </c>
    </row>
    <row r="120" spans="1:30" x14ac:dyDescent="0.25">
      <c r="A120" s="39" t="str">
        <f t="shared" ca="1" si="13"/>
        <v/>
      </c>
      <c r="B120" s="40" t="str">
        <f ca="1">IF(COUNTIF($W$2:W1105,A120)=1,VLOOKUP(A120,O:P,2), IF(COUNTIF($W$2:W1105,A120)=0,$B$9,""))</f>
        <v/>
      </c>
      <c r="C120" s="2" t="str">
        <f t="shared" ca="1" si="14"/>
        <v/>
      </c>
      <c r="D120" s="43" t="str">
        <f t="shared" ca="1" si="15"/>
        <v/>
      </c>
      <c r="E120" s="40" t="str">
        <f ca="1">IF(COUNTIF($W$2:W1105,A120)=1,VLOOKUP(A120,Q:R,2), IF(COUNTIF($W$2:W1105,A120)=0,$C$9,""))</f>
        <v/>
      </c>
      <c r="F120" s="2" t="str">
        <f t="shared" ca="1" si="16"/>
        <v/>
      </c>
      <c r="G120" s="43" t="str">
        <f t="shared" ca="1" si="17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8"/>
        <v/>
      </c>
      <c r="K120" s="43" t="str">
        <f t="shared" ca="1" si="19"/>
        <v/>
      </c>
      <c r="L120" s="43" t="str">
        <f ca="1">IF($A120="","",IF(COUNTIFS(Dividends!$G:$G,"&gt;"&amp;INT($A119),Dividends!$G:$G,"&lt;="&amp;INT($A120))=0,"",$H$2*SUMIFS(Dividends!$H:$H,Dividends!$G:$G,"&gt;"&amp;INT($A119),Dividends!$G:$G,"&lt;="&amp;INT($A120))))</f>
        <v/>
      </c>
      <c r="M120" s="44" t="str">
        <f ca="1">IF(ISERROR(B120-2),"",C120+D120-F120-G120-K120+SUM($L$14:L120))</f>
        <v/>
      </c>
      <c r="U120" s="3" t="str">
        <f t="shared" si="10"/>
        <v/>
      </c>
      <c r="V120" s="3" t="str">
        <f t="shared" si="11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2"/>
        <v>45946</v>
      </c>
    </row>
    <row r="121" spans="1:30" x14ac:dyDescent="0.25">
      <c r="A121" s="39" t="str">
        <f t="shared" ca="1" si="13"/>
        <v/>
      </c>
      <c r="B121" s="40" t="str">
        <f ca="1">IF(COUNTIF($W$2:W1106,A121)=1,VLOOKUP(A121,O:P,2), IF(COUNTIF($W$2:W1106,A121)=0,$B$9,""))</f>
        <v/>
      </c>
      <c r="C121" s="2" t="str">
        <f t="shared" ca="1" si="14"/>
        <v/>
      </c>
      <c r="D121" s="43" t="str">
        <f t="shared" ca="1" si="15"/>
        <v/>
      </c>
      <c r="E121" s="40" t="str">
        <f ca="1">IF(COUNTIF($W$2:W1106,A121)=1,VLOOKUP(A121,Q:R,2), IF(COUNTIF($W$2:W1106,A121)=0,$C$9,""))</f>
        <v/>
      </c>
      <c r="F121" s="2" t="str">
        <f t="shared" ca="1" si="16"/>
        <v/>
      </c>
      <c r="G121" s="43" t="str">
        <f t="shared" ca="1" si="17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8"/>
        <v/>
      </c>
      <c r="K121" s="43" t="str">
        <f t="shared" ca="1" si="19"/>
        <v/>
      </c>
      <c r="L121" s="43" t="str">
        <f ca="1">IF($A121="","",IF(COUNTIFS(Dividends!$G:$G,"&gt;"&amp;INT($A120),Dividends!$G:$G,"&lt;="&amp;INT($A121))=0,"",$H$2*SUMIFS(Dividends!$H:$H,Dividends!$G:$G,"&gt;"&amp;INT($A120),Dividends!$G:$G,"&lt;="&amp;INT($A121))))</f>
        <v/>
      </c>
      <c r="M121" s="44" t="str">
        <f ca="1">IF(ISERROR(B121-2),"",C121+D121-F121-G121-K121+SUM($L$14:L121))</f>
        <v/>
      </c>
      <c r="U121" s="3" t="str">
        <f t="shared" si="10"/>
        <v/>
      </c>
      <c r="V121" s="3" t="str">
        <f t="shared" si="11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2"/>
        <v>45947</v>
      </c>
    </row>
    <row r="122" spans="1:30" x14ac:dyDescent="0.25">
      <c r="A122" s="39" t="str">
        <f t="shared" ca="1" si="13"/>
        <v/>
      </c>
      <c r="B122" s="40" t="str">
        <f ca="1">IF(COUNTIF($W$2:W1107,A122)=1,VLOOKUP(A122,O:P,2), IF(COUNTIF($W$2:W1107,A122)=0,$B$9,""))</f>
        <v/>
      </c>
      <c r="C122" s="2" t="str">
        <f t="shared" ca="1" si="14"/>
        <v/>
      </c>
      <c r="D122" s="43" t="str">
        <f t="shared" ca="1" si="15"/>
        <v/>
      </c>
      <c r="E122" s="40" t="str">
        <f ca="1">IF(COUNTIF($W$2:W1107,A122)=1,VLOOKUP(A122,Q:R,2), IF(COUNTIF($W$2:W1107,A122)=0,$C$9,""))</f>
        <v/>
      </c>
      <c r="F122" s="2" t="str">
        <f t="shared" ca="1" si="16"/>
        <v/>
      </c>
      <c r="G122" s="43" t="str">
        <f t="shared" ca="1" si="17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8"/>
        <v/>
      </c>
      <c r="K122" s="43" t="str">
        <f t="shared" ca="1" si="19"/>
        <v/>
      </c>
      <c r="L122" s="43" t="str">
        <f ca="1">IF($A122="","",IF(COUNTIFS(Dividends!$G:$G,"&gt;"&amp;INT($A121),Dividends!$G:$G,"&lt;="&amp;INT($A122))=0,"",$H$2*SUMIFS(Dividends!$H:$H,Dividends!$G:$G,"&gt;"&amp;INT($A121),Dividends!$G:$G,"&lt;="&amp;INT($A122))))</f>
        <v/>
      </c>
      <c r="M122" s="44" t="str">
        <f ca="1">IF(ISERROR(B122-2),"",C122+D122-F122-G122-K122+SUM($L$14:L122))</f>
        <v/>
      </c>
      <c r="U122" s="3" t="str">
        <f t="shared" si="10"/>
        <v/>
      </c>
      <c r="V122" s="3" t="str">
        <f t="shared" si="11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2"/>
        <v>45950</v>
      </c>
    </row>
    <row r="123" spans="1:30" x14ac:dyDescent="0.25">
      <c r="A123" s="39" t="str">
        <f t="shared" ca="1" si="13"/>
        <v/>
      </c>
      <c r="B123" s="40" t="str">
        <f ca="1">IF(COUNTIF($W$2:W1108,A123)=1,VLOOKUP(A123,O:P,2), IF(COUNTIF($W$2:W1108,A123)=0,$B$9,""))</f>
        <v/>
      </c>
      <c r="C123" s="2" t="str">
        <f t="shared" ca="1" si="14"/>
        <v/>
      </c>
      <c r="D123" s="43" t="str">
        <f t="shared" ca="1" si="15"/>
        <v/>
      </c>
      <c r="E123" s="40" t="str">
        <f ca="1">IF(COUNTIF($W$2:W1108,A123)=1,VLOOKUP(A123,Q:R,2), IF(COUNTIF($W$2:W1108,A123)=0,$C$9,""))</f>
        <v/>
      </c>
      <c r="F123" s="2" t="str">
        <f t="shared" ca="1" si="16"/>
        <v/>
      </c>
      <c r="G123" s="43" t="str">
        <f t="shared" ca="1" si="17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8"/>
        <v/>
      </c>
      <c r="K123" s="43" t="str">
        <f t="shared" ca="1" si="19"/>
        <v/>
      </c>
      <c r="L123" s="43" t="str">
        <f ca="1">IF($A123="","",IF(COUNTIFS(Dividends!$G:$G,"&gt;"&amp;INT($A122),Dividends!$G:$G,"&lt;="&amp;INT($A123))=0,"",$H$2*SUMIFS(Dividends!$H:$H,Dividends!$G:$G,"&gt;"&amp;INT($A122),Dividends!$G:$G,"&lt;="&amp;INT($A123))))</f>
        <v/>
      </c>
      <c r="M123" s="44" t="str">
        <f ca="1">IF(ISERROR(B123-2),"",C123+D123-F123-G123-K123+SUM($L$14:L123))</f>
        <v/>
      </c>
      <c r="U123" s="3" t="str">
        <f t="shared" si="10"/>
        <v/>
      </c>
      <c r="V123" s="3" t="str">
        <f t="shared" si="11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2"/>
        <v>45951</v>
      </c>
    </row>
    <row r="124" spans="1:30" x14ac:dyDescent="0.25">
      <c r="A124" s="39" t="str">
        <f t="shared" ca="1" si="13"/>
        <v/>
      </c>
      <c r="B124" s="40" t="str">
        <f ca="1">IF(COUNTIF($W$2:W1109,A124)=1,VLOOKUP(A124,O:P,2), IF(COUNTIF($W$2:W1109,A124)=0,$B$9,""))</f>
        <v/>
      </c>
      <c r="C124" s="2" t="str">
        <f t="shared" ca="1" si="14"/>
        <v/>
      </c>
      <c r="D124" s="43" t="str">
        <f t="shared" ca="1" si="15"/>
        <v/>
      </c>
      <c r="E124" s="40" t="str">
        <f ca="1">IF(COUNTIF($W$2:W1109,A124)=1,VLOOKUP(A124,Q:R,2), IF(COUNTIF($W$2:W1109,A124)=0,$C$9,""))</f>
        <v/>
      </c>
      <c r="F124" s="2" t="str">
        <f t="shared" ca="1" si="16"/>
        <v/>
      </c>
      <c r="G124" s="43" t="str">
        <f t="shared" ca="1" si="17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8"/>
        <v/>
      </c>
      <c r="K124" s="43" t="str">
        <f t="shared" ca="1" si="19"/>
        <v/>
      </c>
      <c r="L124" s="43" t="str">
        <f ca="1">IF($A124="","",IF(COUNTIFS(Dividends!$G:$G,"&gt;"&amp;INT($A123),Dividends!$G:$G,"&lt;="&amp;INT($A124))=0,"",$H$2*SUMIFS(Dividends!$H:$H,Dividends!$G:$G,"&gt;"&amp;INT($A123),Dividends!$G:$G,"&lt;="&amp;INT($A124))))</f>
        <v/>
      </c>
      <c r="M124" s="44" t="str">
        <f ca="1">IF(ISERROR(B124-2),"",C124+D124-F124-G124-K124+SUM($L$14:L124))</f>
        <v/>
      </c>
      <c r="U124" s="3" t="str">
        <f t="shared" si="10"/>
        <v/>
      </c>
      <c r="V124" s="3" t="str">
        <f t="shared" si="11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2"/>
        <v>45952</v>
      </c>
    </row>
    <row r="125" spans="1:30" x14ac:dyDescent="0.25">
      <c r="A125" s="39" t="str">
        <f t="shared" ca="1" si="13"/>
        <v/>
      </c>
      <c r="B125" s="40" t="str">
        <f ca="1">IF(COUNTIF($W$2:W1110,A125)=1,VLOOKUP(A125,O:P,2), IF(COUNTIF($W$2:W1110,A125)=0,$B$9,""))</f>
        <v/>
      </c>
      <c r="C125" s="2" t="str">
        <f t="shared" ca="1" si="14"/>
        <v/>
      </c>
      <c r="D125" s="43" t="str">
        <f t="shared" ca="1" si="15"/>
        <v/>
      </c>
      <c r="E125" s="40" t="str">
        <f ca="1">IF(COUNTIF($W$2:W1110,A125)=1,VLOOKUP(A125,Q:R,2), IF(COUNTIF($W$2:W1110,A125)=0,$C$9,""))</f>
        <v/>
      </c>
      <c r="F125" s="2" t="str">
        <f t="shared" ca="1" si="16"/>
        <v/>
      </c>
      <c r="G125" s="43" t="str">
        <f t="shared" ca="1" si="17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8"/>
        <v/>
      </c>
      <c r="K125" s="43" t="str">
        <f t="shared" ca="1" si="19"/>
        <v/>
      </c>
      <c r="L125" s="43" t="str">
        <f ca="1">IF($A125="","",IF(COUNTIFS(Dividends!$G:$G,"&gt;"&amp;INT($A124),Dividends!$G:$G,"&lt;="&amp;INT($A125))=0,"",$H$2*SUMIFS(Dividends!$H:$H,Dividends!$G:$G,"&gt;"&amp;INT($A124),Dividends!$G:$G,"&lt;="&amp;INT($A125))))</f>
        <v/>
      </c>
      <c r="M125" s="44" t="str">
        <f ca="1">IF(ISERROR(B125-2),"",C125+D125-F125-G125-K125+SUM($L$14:L125))</f>
        <v/>
      </c>
      <c r="U125" s="3" t="str">
        <f t="shared" si="10"/>
        <v/>
      </c>
      <c r="V125" s="3" t="str">
        <f t="shared" si="11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2"/>
        <v>45953</v>
      </c>
    </row>
    <row r="126" spans="1:30" x14ac:dyDescent="0.25">
      <c r="A126" s="39" t="str">
        <f t="shared" ca="1" si="13"/>
        <v/>
      </c>
      <c r="B126" s="40" t="str">
        <f ca="1">IF(COUNTIF($W$2:W1111,A126)=1,VLOOKUP(A126,O:P,2), IF(COUNTIF($W$2:W1111,A126)=0,$B$9,""))</f>
        <v/>
      </c>
      <c r="C126" s="2" t="str">
        <f t="shared" ca="1" si="14"/>
        <v/>
      </c>
      <c r="D126" s="43" t="str">
        <f t="shared" ca="1" si="15"/>
        <v/>
      </c>
      <c r="E126" s="40" t="str">
        <f ca="1">IF(COUNTIF($W$2:W1111,A126)=1,VLOOKUP(A126,Q:R,2), IF(COUNTIF($W$2:W1111,A126)=0,$C$9,""))</f>
        <v/>
      </c>
      <c r="F126" s="2" t="str">
        <f t="shared" ca="1" si="16"/>
        <v/>
      </c>
      <c r="G126" s="43" t="str">
        <f t="shared" ca="1" si="17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8"/>
        <v/>
      </c>
      <c r="K126" s="43" t="str">
        <f t="shared" ca="1" si="19"/>
        <v/>
      </c>
      <c r="L126" s="43" t="str">
        <f ca="1">IF($A126="","",IF(COUNTIFS(Dividends!$G:$G,"&gt;"&amp;INT($A125),Dividends!$G:$G,"&lt;="&amp;INT($A126))=0,"",$H$2*SUMIFS(Dividends!$H:$H,Dividends!$G:$G,"&gt;"&amp;INT($A125),Dividends!$G:$G,"&lt;="&amp;INT($A126))))</f>
        <v/>
      </c>
      <c r="M126" s="44" t="str">
        <f ca="1">IF(ISERROR(B126-2),"",C126+D126-F126-G126-K126+SUM($L$14:L126))</f>
        <v/>
      </c>
      <c r="U126" s="3" t="str">
        <f t="shared" si="10"/>
        <v/>
      </c>
      <c r="V126" s="3" t="str">
        <f t="shared" si="11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2"/>
        <v>45954</v>
      </c>
    </row>
    <row r="127" spans="1:30" x14ac:dyDescent="0.25">
      <c r="A127" s="39" t="str">
        <f t="shared" ca="1" si="13"/>
        <v/>
      </c>
      <c r="B127" s="40" t="str">
        <f ca="1">IF(COUNTIF($W$2:W1112,A127)=1,VLOOKUP(A127,O:P,2), IF(COUNTIF($W$2:W1112,A127)=0,$B$9,""))</f>
        <v/>
      </c>
      <c r="C127" s="2" t="str">
        <f t="shared" ca="1" si="14"/>
        <v/>
      </c>
      <c r="D127" s="43" t="str">
        <f t="shared" ca="1" si="15"/>
        <v/>
      </c>
      <c r="E127" s="40" t="str">
        <f ca="1">IF(COUNTIF($W$2:W1112,A127)=1,VLOOKUP(A127,Q:R,2), IF(COUNTIF($W$2:W1112,A127)=0,$C$9,""))</f>
        <v/>
      </c>
      <c r="F127" s="2" t="str">
        <f t="shared" ca="1" si="16"/>
        <v/>
      </c>
      <c r="G127" s="43" t="str">
        <f t="shared" ca="1" si="17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8"/>
        <v/>
      </c>
      <c r="K127" s="43" t="str">
        <f t="shared" ca="1" si="19"/>
        <v/>
      </c>
      <c r="L127" s="43" t="str">
        <f ca="1">IF($A127="","",IF(COUNTIFS(Dividends!$G:$G,"&gt;"&amp;INT($A126),Dividends!$G:$G,"&lt;="&amp;INT($A127))=0,"",$H$2*SUMIFS(Dividends!$H:$H,Dividends!$G:$G,"&gt;"&amp;INT($A126),Dividends!$G:$G,"&lt;="&amp;INT($A127))))</f>
        <v/>
      </c>
      <c r="M127" s="44" t="str">
        <f ca="1">IF(ISERROR(B127-2),"",C127+D127-F127-G127-K127+SUM($L$14:L127))</f>
        <v/>
      </c>
      <c r="U127" s="3" t="str">
        <f t="shared" si="10"/>
        <v/>
      </c>
      <c r="V127" s="3" t="str">
        <f t="shared" si="11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2"/>
        <v>45957</v>
      </c>
    </row>
    <row r="128" spans="1:30" x14ac:dyDescent="0.25">
      <c r="A128" s="39" t="str">
        <f t="shared" ca="1" si="13"/>
        <v/>
      </c>
      <c r="B128" s="40" t="str">
        <f ca="1">IF(COUNTIF($W$2:W1113,A128)=1,VLOOKUP(A128,O:P,2), IF(COUNTIF($W$2:W1113,A128)=0,$B$9,""))</f>
        <v/>
      </c>
      <c r="C128" s="2" t="str">
        <f t="shared" ca="1" si="14"/>
        <v/>
      </c>
      <c r="D128" s="43" t="str">
        <f t="shared" ca="1" si="15"/>
        <v/>
      </c>
      <c r="E128" s="40" t="str">
        <f ca="1">IF(COUNTIF($W$2:W1113,A128)=1,VLOOKUP(A128,Q:R,2), IF(COUNTIF($W$2:W1113,A128)=0,$C$9,""))</f>
        <v/>
      </c>
      <c r="F128" s="2" t="str">
        <f t="shared" ca="1" si="16"/>
        <v/>
      </c>
      <c r="G128" s="43" t="str">
        <f t="shared" ca="1" si="17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8"/>
        <v/>
      </c>
      <c r="K128" s="43" t="str">
        <f t="shared" ca="1" si="19"/>
        <v/>
      </c>
      <c r="L128" s="43" t="str">
        <f ca="1">IF($A128="","",IF(COUNTIFS(Dividends!$G:$G,"&gt;"&amp;INT($A127),Dividends!$G:$G,"&lt;="&amp;INT($A128))=0,"",$H$2*SUMIFS(Dividends!$H:$H,Dividends!$G:$G,"&gt;"&amp;INT($A127),Dividends!$G:$G,"&lt;="&amp;INT($A128))))</f>
        <v/>
      </c>
      <c r="M128" s="44" t="str">
        <f ca="1">IF(ISERROR(B128-2),"",C128+D128-F128-G128-K128+SUM($L$14:L128))</f>
        <v/>
      </c>
      <c r="U128" s="3" t="str">
        <f t="shared" si="10"/>
        <v/>
      </c>
      <c r="V128" s="3" t="str">
        <f t="shared" si="11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2"/>
        <v>45958</v>
      </c>
    </row>
    <row r="129" spans="1:30" x14ac:dyDescent="0.25">
      <c r="A129" s="39" t="str">
        <f t="shared" ca="1" si="13"/>
        <v/>
      </c>
      <c r="B129" s="40" t="str">
        <f ca="1">IF(COUNTIF($W$2:W1114,A129)=1,VLOOKUP(A129,O:P,2), IF(COUNTIF($W$2:W1114,A129)=0,$B$9,""))</f>
        <v/>
      </c>
      <c r="C129" s="2" t="str">
        <f t="shared" ca="1" si="14"/>
        <v/>
      </c>
      <c r="D129" s="43" t="str">
        <f t="shared" ca="1" si="15"/>
        <v/>
      </c>
      <c r="E129" s="40" t="str">
        <f ca="1">IF(COUNTIF($W$2:W1114,A129)=1,VLOOKUP(A129,Q:R,2), IF(COUNTIF($W$2:W1114,A129)=0,$C$9,""))</f>
        <v/>
      </c>
      <c r="F129" s="2" t="str">
        <f t="shared" ca="1" si="16"/>
        <v/>
      </c>
      <c r="G129" s="43" t="str">
        <f t="shared" ca="1" si="17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8"/>
        <v/>
      </c>
      <c r="K129" s="43" t="str">
        <f t="shared" ca="1" si="19"/>
        <v/>
      </c>
      <c r="L129" s="43" t="str">
        <f ca="1">IF($A129="","",IF(COUNTIFS(Dividends!$G:$G,"&gt;"&amp;INT($A128),Dividends!$G:$G,"&lt;="&amp;INT($A129))=0,"",$H$2*SUMIFS(Dividends!$H:$H,Dividends!$G:$G,"&gt;"&amp;INT($A128),Dividends!$G:$G,"&lt;="&amp;INT($A129))))</f>
        <v/>
      </c>
      <c r="M129" s="44" t="str">
        <f ca="1">IF(ISERROR(B129-2),"",C129+D129-F129-G129-K129+SUM($L$14:L129))</f>
        <v/>
      </c>
      <c r="U129" s="3" t="str">
        <f t="shared" si="10"/>
        <v/>
      </c>
      <c r="V129" s="3" t="str">
        <f t="shared" si="11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2"/>
        <v>45959</v>
      </c>
    </row>
    <row r="130" spans="1:30" x14ac:dyDescent="0.25">
      <c r="A130" s="39" t="str">
        <f t="shared" ca="1" si="13"/>
        <v/>
      </c>
      <c r="B130" s="40" t="str">
        <f ca="1">IF(COUNTIF($W$2:W1115,A130)=1,VLOOKUP(A130,O:P,2), IF(COUNTIF($W$2:W1115,A130)=0,$B$9,""))</f>
        <v/>
      </c>
      <c r="C130" s="2" t="str">
        <f t="shared" ca="1" si="14"/>
        <v/>
      </c>
      <c r="D130" s="43" t="str">
        <f t="shared" ca="1" si="15"/>
        <v/>
      </c>
      <c r="E130" s="40" t="str">
        <f ca="1">IF(COUNTIF($W$2:W1115,A130)=1,VLOOKUP(A130,Q:R,2), IF(COUNTIF($W$2:W1115,A130)=0,$C$9,""))</f>
        <v/>
      </c>
      <c r="F130" s="2" t="str">
        <f t="shared" ca="1" si="16"/>
        <v/>
      </c>
      <c r="G130" s="43" t="str">
        <f t="shared" ca="1" si="17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8"/>
        <v/>
      </c>
      <c r="K130" s="43" t="str">
        <f t="shared" ca="1" si="19"/>
        <v/>
      </c>
      <c r="L130" s="43" t="str">
        <f ca="1">IF($A130="","",IF(COUNTIFS(Dividends!$G:$G,"&gt;"&amp;INT($A129),Dividends!$G:$G,"&lt;="&amp;INT($A130))=0,"",$H$2*SUMIFS(Dividends!$H:$H,Dividends!$G:$G,"&gt;"&amp;INT($A129),Dividends!$G:$G,"&lt;="&amp;INT($A130))))</f>
        <v/>
      </c>
      <c r="M130" s="44" t="str">
        <f ca="1">IF(ISERROR(B130-2),"",C130+D130-F130-G130-K130+SUM($L$14:L130))</f>
        <v/>
      </c>
      <c r="U130" s="3" t="str">
        <f t="shared" si="10"/>
        <v/>
      </c>
      <c r="V130" s="3" t="str">
        <f t="shared" si="11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2"/>
        <v>45960</v>
      </c>
    </row>
    <row r="131" spans="1:30" x14ac:dyDescent="0.25">
      <c r="A131" s="39" t="str">
        <f t="shared" ca="1" si="13"/>
        <v/>
      </c>
      <c r="B131" s="40" t="str">
        <f ca="1">IF(COUNTIF($W$2:W1116,A131)=1,VLOOKUP(A131,O:P,2), IF(COUNTIF($W$2:W1116,A131)=0,$B$9,""))</f>
        <v/>
      </c>
      <c r="C131" s="2" t="str">
        <f t="shared" ca="1" si="14"/>
        <v/>
      </c>
      <c r="D131" s="43" t="str">
        <f t="shared" ca="1" si="15"/>
        <v/>
      </c>
      <c r="E131" s="40" t="str">
        <f ca="1">IF(COUNTIF($W$2:W1116,A131)=1,VLOOKUP(A131,Q:R,2), IF(COUNTIF($W$2:W1116,A131)=0,$C$9,""))</f>
        <v/>
      </c>
      <c r="F131" s="2" t="str">
        <f t="shared" ca="1" si="16"/>
        <v/>
      </c>
      <c r="G131" s="43" t="str">
        <f t="shared" ca="1" si="17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8"/>
        <v/>
      </c>
      <c r="K131" s="43" t="str">
        <f t="shared" ca="1" si="19"/>
        <v/>
      </c>
      <c r="L131" s="43" t="str">
        <f ca="1">IF($A131="","",IF(COUNTIFS(Dividends!$G:$G,"&gt;"&amp;INT($A130),Dividends!$G:$G,"&lt;="&amp;INT($A131))=0,"",$H$2*SUMIFS(Dividends!$H:$H,Dividends!$G:$G,"&gt;"&amp;INT($A130),Dividends!$G:$G,"&lt;="&amp;INT($A131))))</f>
        <v/>
      </c>
      <c r="M131" s="44" t="str">
        <f ca="1">IF(ISERROR(B131-2),"",C131+D131-F131-G131-K131+SUM($L$14:L131))</f>
        <v/>
      </c>
      <c r="U131" s="3" t="str">
        <f t="shared" si="10"/>
        <v/>
      </c>
      <c r="V131" s="3" t="str">
        <f t="shared" si="11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2"/>
        <v>45961</v>
      </c>
    </row>
    <row r="132" spans="1:30" x14ac:dyDescent="0.25">
      <c r="A132" s="39" t="str">
        <f t="shared" ca="1" si="13"/>
        <v/>
      </c>
      <c r="B132" s="40" t="str">
        <f ca="1">IF(COUNTIF($W$2:W1117,A132)=1,VLOOKUP(A132,O:P,2), IF(COUNTIF($W$2:W1117,A132)=0,$B$9,""))</f>
        <v/>
      </c>
      <c r="C132" s="2" t="str">
        <f t="shared" ca="1" si="14"/>
        <v/>
      </c>
      <c r="D132" s="43" t="str">
        <f t="shared" ca="1" si="15"/>
        <v/>
      </c>
      <c r="E132" s="40" t="str">
        <f ca="1">IF(COUNTIF($W$2:W1117,A132)=1,VLOOKUP(A132,Q:R,2), IF(COUNTIF($W$2:W1117,A132)=0,$C$9,""))</f>
        <v/>
      </c>
      <c r="F132" s="2" t="str">
        <f t="shared" ca="1" si="16"/>
        <v/>
      </c>
      <c r="G132" s="43" t="str">
        <f t="shared" ca="1" si="17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8"/>
        <v/>
      </c>
      <c r="K132" s="43" t="str">
        <f t="shared" ca="1" si="19"/>
        <v/>
      </c>
      <c r="L132" s="43" t="str">
        <f ca="1">IF($A132="","",IF(COUNTIFS(Dividends!$G:$G,"&gt;"&amp;INT($A131),Dividends!$G:$G,"&lt;="&amp;INT($A132))=0,"",$H$2*SUMIFS(Dividends!$H:$H,Dividends!$G:$G,"&gt;"&amp;INT($A131),Dividends!$G:$G,"&lt;="&amp;INT($A132))))</f>
        <v/>
      </c>
      <c r="M132" s="44" t="str">
        <f ca="1">IF(ISERROR(B132-2),"",C132+D132-F132-G132-K132+SUM($L$14:L132))</f>
        <v/>
      </c>
      <c r="U132" s="3" t="str">
        <f t="shared" ref="U132:U195" si="20">IF(COUNTIF(Q:Q,O132)*COUNTIF(S:S,O132),O132,"")</f>
        <v/>
      </c>
      <c r="V132" s="3" t="str">
        <f t="shared" ref="V132:V195" si="21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2">IF(COUNTIF(AB:AB,Z132),Z132,"")</f>
        <v>45964</v>
      </c>
    </row>
    <row r="133" spans="1:30" x14ac:dyDescent="0.25">
      <c r="A133" s="39" t="str">
        <f t="shared" ca="1" si="13"/>
        <v/>
      </c>
      <c r="B133" s="40" t="str">
        <f ca="1">IF(COUNTIF($W$2:W1118,A133)=1,VLOOKUP(A133,O:P,2), IF(COUNTIF($W$2:W1118,A133)=0,$B$9,""))</f>
        <v/>
      </c>
      <c r="C133" s="2" t="str">
        <f t="shared" ca="1" si="14"/>
        <v/>
      </c>
      <c r="D133" s="43" t="str">
        <f t="shared" ca="1" si="15"/>
        <v/>
      </c>
      <c r="E133" s="40" t="str">
        <f ca="1">IF(COUNTIF($W$2:W1118,A133)=1,VLOOKUP(A133,Q:R,2), IF(COUNTIF($W$2:W1118,A133)=0,$C$9,""))</f>
        <v/>
      </c>
      <c r="F133" s="2" t="str">
        <f t="shared" ca="1" si="16"/>
        <v/>
      </c>
      <c r="G133" s="43" t="str">
        <f t="shared" ca="1" si="17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8"/>
        <v/>
      </c>
      <c r="K133" s="43" t="str">
        <f t="shared" ca="1" si="19"/>
        <v/>
      </c>
      <c r="L133" s="43" t="str">
        <f ca="1">IF($A133="","",IF(COUNTIFS(Dividends!$G:$G,"&gt;"&amp;INT($A132),Dividends!$G:$G,"&lt;="&amp;INT($A133))=0,"",$H$2*SUMIFS(Dividends!$H:$H,Dividends!$G:$G,"&gt;"&amp;INT($A132),Dividends!$G:$G,"&lt;="&amp;INT($A133))))</f>
        <v/>
      </c>
      <c r="M133" s="44" t="str">
        <f ca="1">IF(ISERROR(B133-2),"",C133+D133-F133-G133-K133+SUM($L$14:L133))</f>
        <v/>
      </c>
      <c r="U133" s="3" t="str">
        <f t="shared" si="20"/>
        <v/>
      </c>
      <c r="V133" s="3" t="str">
        <f t="shared" si="21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2"/>
        <v>45965</v>
      </c>
    </row>
    <row r="134" spans="1:30" x14ac:dyDescent="0.25">
      <c r="A134" s="39" t="str">
        <f t="shared" ca="1" si="13"/>
        <v/>
      </c>
      <c r="B134" s="40" t="str">
        <f ca="1">IF(COUNTIF($W$2:W1119,A134)=1,VLOOKUP(A134,O:P,2), IF(COUNTIF($W$2:W1119,A134)=0,$B$9,""))</f>
        <v/>
      </c>
      <c r="C134" s="2" t="str">
        <f t="shared" ca="1" si="14"/>
        <v/>
      </c>
      <c r="D134" s="43" t="str">
        <f t="shared" ca="1" si="15"/>
        <v/>
      </c>
      <c r="E134" s="40" t="str">
        <f ca="1">IF(COUNTIF($W$2:W1119,A134)=1,VLOOKUP(A134,Q:R,2), IF(COUNTIF($W$2:W1119,A134)=0,$C$9,""))</f>
        <v/>
      </c>
      <c r="F134" s="2" t="str">
        <f t="shared" ca="1" si="16"/>
        <v/>
      </c>
      <c r="G134" s="43" t="str">
        <f t="shared" ca="1" si="17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8"/>
        <v/>
      </c>
      <c r="K134" s="43" t="str">
        <f t="shared" ca="1" si="19"/>
        <v/>
      </c>
      <c r="L134" s="43" t="str">
        <f ca="1">IF($A134="","",IF(COUNTIFS(Dividends!$G:$G,"&gt;"&amp;INT($A133),Dividends!$G:$G,"&lt;="&amp;INT($A134))=0,"",$H$2*SUMIFS(Dividends!$H:$H,Dividends!$G:$G,"&gt;"&amp;INT($A133),Dividends!$G:$G,"&lt;="&amp;INT($A134))))</f>
        <v/>
      </c>
      <c r="M134" s="44" t="str">
        <f ca="1">IF(ISERROR(B134-2),"",C134+D134-F134-G134-K134+SUM($L$14:L134))</f>
        <v/>
      </c>
      <c r="U134" s="3" t="str">
        <f t="shared" si="20"/>
        <v/>
      </c>
      <c r="V134" s="3" t="str">
        <f t="shared" si="21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2"/>
        <v>45966</v>
      </c>
    </row>
    <row r="135" spans="1:30" x14ac:dyDescent="0.25">
      <c r="A135" s="39" t="str">
        <f t="shared" ca="1" si="13"/>
        <v/>
      </c>
      <c r="B135" s="40" t="str">
        <f ca="1">IF(COUNTIF($W$2:W1120,A135)=1,VLOOKUP(A135,O:P,2), IF(COUNTIF($W$2:W1120,A135)=0,$B$9,""))</f>
        <v/>
      </c>
      <c r="C135" s="2" t="str">
        <f t="shared" ca="1" si="14"/>
        <v/>
      </c>
      <c r="D135" s="43" t="str">
        <f t="shared" ca="1" si="15"/>
        <v/>
      </c>
      <c r="E135" s="40" t="str">
        <f ca="1">IF(COUNTIF($W$2:W1120,A135)=1,VLOOKUP(A135,Q:R,2), IF(COUNTIF($W$2:W1120,A135)=0,$C$9,""))</f>
        <v/>
      </c>
      <c r="F135" s="2" t="str">
        <f t="shared" ca="1" si="16"/>
        <v/>
      </c>
      <c r="G135" s="43" t="str">
        <f t="shared" ca="1" si="17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8"/>
        <v/>
      </c>
      <c r="K135" s="43" t="str">
        <f t="shared" ca="1" si="19"/>
        <v/>
      </c>
      <c r="L135" s="43" t="str">
        <f ca="1">IF($A135="","",IF(COUNTIFS(Dividends!$G:$G,"&gt;"&amp;INT($A134),Dividends!$G:$G,"&lt;="&amp;INT($A135))=0,"",$H$2*SUMIFS(Dividends!$H:$H,Dividends!$G:$G,"&gt;"&amp;INT($A134),Dividends!$G:$G,"&lt;="&amp;INT($A135))))</f>
        <v/>
      </c>
      <c r="M135" s="44" t="str">
        <f ca="1">IF(ISERROR(B135-2),"",C135+D135-F135-G135-K135+SUM($L$14:L135))</f>
        <v/>
      </c>
      <c r="U135" s="3" t="str">
        <f t="shared" si="20"/>
        <v/>
      </c>
      <c r="V135" s="3" t="str">
        <f t="shared" si="21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2"/>
        <v>45967</v>
      </c>
    </row>
    <row r="136" spans="1:30" x14ac:dyDescent="0.25">
      <c r="A136" s="39" t="str">
        <f t="shared" ca="1" si="13"/>
        <v/>
      </c>
      <c r="B136" s="40" t="str">
        <f ca="1">IF(COUNTIF($W$2:W1121,A136)=1,VLOOKUP(A136,O:P,2), IF(COUNTIF($W$2:W1121,A136)=0,$B$9,""))</f>
        <v/>
      </c>
      <c r="C136" s="2" t="str">
        <f t="shared" ca="1" si="14"/>
        <v/>
      </c>
      <c r="D136" s="43" t="str">
        <f t="shared" ca="1" si="15"/>
        <v/>
      </c>
      <c r="E136" s="40" t="str">
        <f ca="1">IF(COUNTIF($W$2:W1121,A136)=1,VLOOKUP(A136,Q:R,2), IF(COUNTIF($W$2:W1121,A136)=0,$C$9,""))</f>
        <v/>
      </c>
      <c r="F136" s="2" t="str">
        <f t="shared" ca="1" si="16"/>
        <v/>
      </c>
      <c r="G136" s="43" t="str">
        <f t="shared" ca="1" si="17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8"/>
        <v/>
      </c>
      <c r="K136" s="43" t="str">
        <f t="shared" ca="1" si="19"/>
        <v/>
      </c>
      <c r="L136" s="43" t="str">
        <f ca="1">IF($A136="","",IF(COUNTIFS(Dividends!$G:$G,"&gt;"&amp;INT($A135),Dividends!$G:$G,"&lt;="&amp;INT($A136))=0,"",$H$2*SUMIFS(Dividends!$H:$H,Dividends!$G:$G,"&gt;"&amp;INT($A135),Dividends!$G:$G,"&lt;="&amp;INT($A136))))</f>
        <v/>
      </c>
      <c r="M136" s="44" t="str">
        <f ca="1">IF(ISERROR(B136-2),"",C136+D136-F136-G136-K136+SUM($L$14:L136))</f>
        <v/>
      </c>
      <c r="U136" s="3" t="str">
        <f t="shared" si="20"/>
        <v/>
      </c>
      <c r="V136" s="3" t="str">
        <f t="shared" si="21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2"/>
        <v>45968</v>
      </c>
    </row>
    <row r="137" spans="1:30" x14ac:dyDescent="0.25">
      <c r="A137" s="39" t="str">
        <f t="shared" ca="1" si="13"/>
        <v/>
      </c>
      <c r="B137" s="40" t="str">
        <f ca="1">IF(COUNTIF($W$2:W1122,A137)=1,VLOOKUP(A137,O:P,2), IF(COUNTIF($W$2:W1122,A137)=0,$B$9,""))</f>
        <v/>
      </c>
      <c r="C137" s="2" t="str">
        <f t="shared" ca="1" si="14"/>
        <v/>
      </c>
      <c r="D137" s="43" t="str">
        <f t="shared" ca="1" si="15"/>
        <v/>
      </c>
      <c r="E137" s="40" t="str">
        <f ca="1">IF(COUNTIF($W$2:W1122,A137)=1,VLOOKUP(A137,Q:R,2), IF(COUNTIF($W$2:W1122,A137)=0,$C$9,""))</f>
        <v/>
      </c>
      <c r="F137" s="2" t="str">
        <f t="shared" ca="1" si="16"/>
        <v/>
      </c>
      <c r="G137" s="43" t="str">
        <f t="shared" ca="1" si="17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8"/>
        <v/>
      </c>
      <c r="K137" s="43" t="str">
        <f t="shared" ca="1" si="19"/>
        <v/>
      </c>
      <c r="L137" s="43" t="str">
        <f ca="1">IF($A137="","",IF(COUNTIFS(Dividends!$G:$G,"&gt;"&amp;INT($A136),Dividends!$G:$G,"&lt;="&amp;INT($A137))=0,"",$H$2*SUMIFS(Dividends!$H:$H,Dividends!$G:$G,"&gt;"&amp;INT($A136),Dividends!$G:$G,"&lt;="&amp;INT($A137))))</f>
        <v/>
      </c>
      <c r="M137" s="44" t="str">
        <f ca="1">IF(ISERROR(B137-2),"",C137+D137-F137-G137-K137+SUM($L$14:L137))</f>
        <v/>
      </c>
      <c r="U137" s="3" t="str">
        <f t="shared" si="20"/>
        <v/>
      </c>
      <c r="V137" s="3" t="str">
        <f t="shared" si="21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2"/>
        <v>45971</v>
      </c>
    </row>
    <row r="138" spans="1:30" x14ac:dyDescent="0.25">
      <c r="A138" s="39" t="str">
        <f t="shared" ca="1" si="13"/>
        <v/>
      </c>
      <c r="B138" s="40" t="str">
        <f ca="1">IF(COUNTIF($W$2:W1123,A138)=1,VLOOKUP(A138,O:P,2), IF(COUNTIF($W$2:W1123,A138)=0,$B$9,""))</f>
        <v/>
      </c>
      <c r="C138" s="2" t="str">
        <f t="shared" ca="1" si="14"/>
        <v/>
      </c>
      <c r="D138" s="43" t="str">
        <f t="shared" ca="1" si="15"/>
        <v/>
      </c>
      <c r="E138" s="40" t="str">
        <f ca="1">IF(COUNTIF($W$2:W1123,A138)=1,VLOOKUP(A138,Q:R,2), IF(COUNTIF($W$2:W1123,A138)=0,$C$9,""))</f>
        <v/>
      </c>
      <c r="F138" s="2" t="str">
        <f t="shared" ca="1" si="16"/>
        <v/>
      </c>
      <c r="G138" s="43" t="str">
        <f t="shared" ca="1" si="17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8"/>
        <v/>
      </c>
      <c r="K138" s="43" t="str">
        <f t="shared" ca="1" si="19"/>
        <v/>
      </c>
      <c r="L138" s="43" t="str">
        <f ca="1">IF($A138="","",IF(COUNTIFS(Dividends!$G:$G,"&gt;"&amp;INT($A137),Dividends!$G:$G,"&lt;="&amp;INT($A138))=0,"",$H$2*SUMIFS(Dividends!$H:$H,Dividends!$G:$G,"&gt;"&amp;INT($A137),Dividends!$G:$G,"&lt;="&amp;INT($A138))))</f>
        <v/>
      </c>
      <c r="M138" s="44" t="str">
        <f ca="1">IF(ISERROR(B138-2),"",C138+D138-F138-G138-K138+SUM($L$14:L138))</f>
        <v/>
      </c>
      <c r="U138" s="3" t="str">
        <f t="shared" si="20"/>
        <v/>
      </c>
      <c r="V138" s="3" t="str">
        <f t="shared" si="21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2"/>
        <v>45972</v>
      </c>
    </row>
    <row r="139" spans="1:30" x14ac:dyDescent="0.25">
      <c r="A139" s="39" t="str">
        <f t="shared" ca="1" si="13"/>
        <v/>
      </c>
      <c r="B139" s="40" t="str">
        <f ca="1">IF(COUNTIF($W$2:W1124,A139)=1,VLOOKUP(A139,O:P,2), IF(COUNTIF($W$2:W1124,A139)=0,$B$9,""))</f>
        <v/>
      </c>
      <c r="C139" s="2" t="str">
        <f t="shared" ca="1" si="14"/>
        <v/>
      </c>
      <c r="D139" s="43" t="str">
        <f t="shared" ca="1" si="15"/>
        <v/>
      </c>
      <c r="E139" s="40" t="str">
        <f ca="1">IF(COUNTIF($W$2:W1124,A139)=1,VLOOKUP(A139,Q:R,2), IF(COUNTIF($W$2:W1124,A139)=0,$C$9,""))</f>
        <v/>
      </c>
      <c r="F139" s="2" t="str">
        <f t="shared" ca="1" si="16"/>
        <v/>
      </c>
      <c r="G139" s="43" t="str">
        <f t="shared" ca="1" si="17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8"/>
        <v/>
      </c>
      <c r="K139" s="43" t="str">
        <f t="shared" ca="1" si="19"/>
        <v/>
      </c>
      <c r="L139" s="43" t="str">
        <f ca="1">IF($A139="","",IF(COUNTIFS(Dividends!$G:$G,"&gt;"&amp;INT($A138),Dividends!$G:$G,"&lt;="&amp;INT($A139))=0,"",$H$2*SUMIFS(Dividends!$H:$H,Dividends!$G:$G,"&gt;"&amp;INT($A138),Dividends!$G:$G,"&lt;="&amp;INT($A139))))</f>
        <v/>
      </c>
      <c r="M139" s="44" t="str">
        <f ca="1">IF(ISERROR(B139-2),"",C139+D139-F139-G139-K139+SUM($L$14:L139))</f>
        <v/>
      </c>
      <c r="U139" s="3" t="str">
        <f t="shared" si="20"/>
        <v/>
      </c>
      <c r="V139" s="3" t="str">
        <f t="shared" si="21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2"/>
        <v>45973</v>
      </c>
    </row>
    <row r="140" spans="1:30" x14ac:dyDescent="0.25">
      <c r="A140" s="39" t="str">
        <f t="shared" ca="1" si="13"/>
        <v/>
      </c>
      <c r="B140" s="40" t="str">
        <f ca="1">IF(COUNTIF($W$2:W1125,A140)=1,VLOOKUP(A140,O:P,2), IF(COUNTIF($W$2:W1125,A140)=0,$B$9,""))</f>
        <v/>
      </c>
      <c r="C140" s="2" t="str">
        <f t="shared" ca="1" si="14"/>
        <v/>
      </c>
      <c r="D140" s="43" t="str">
        <f t="shared" ca="1" si="15"/>
        <v/>
      </c>
      <c r="E140" s="40" t="str">
        <f ca="1">IF(COUNTIF($W$2:W1125,A140)=1,VLOOKUP(A140,Q:R,2), IF(COUNTIF($W$2:W1125,A140)=0,$C$9,""))</f>
        <v/>
      </c>
      <c r="F140" s="2" t="str">
        <f t="shared" ca="1" si="16"/>
        <v/>
      </c>
      <c r="G140" s="43" t="str">
        <f t="shared" ca="1" si="17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8"/>
        <v/>
      </c>
      <c r="K140" s="43" t="str">
        <f t="shared" ca="1" si="19"/>
        <v/>
      </c>
      <c r="L140" s="43" t="str">
        <f ca="1">IF($A140="","",IF(COUNTIFS(Dividends!$G:$G,"&gt;"&amp;INT($A139),Dividends!$G:$G,"&lt;="&amp;INT($A140))=0,"",$H$2*SUMIFS(Dividends!$H:$H,Dividends!$G:$G,"&gt;"&amp;INT($A139),Dividends!$G:$G,"&lt;="&amp;INT($A140))))</f>
        <v/>
      </c>
      <c r="M140" s="44" t="str">
        <f ca="1">IF(ISERROR(B140-2),"",C140+D140-F140-G140-K140+SUM($L$14:L140))</f>
        <v/>
      </c>
      <c r="U140" s="3" t="str">
        <f t="shared" si="20"/>
        <v/>
      </c>
      <c r="V140" s="3" t="str">
        <f t="shared" si="21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2"/>
        <v>45974</v>
      </c>
    </row>
    <row r="141" spans="1:30" x14ac:dyDescent="0.25">
      <c r="A141" s="39" t="str">
        <f t="shared" ca="1" si="13"/>
        <v/>
      </c>
      <c r="B141" s="40" t="str">
        <f ca="1">IF(COUNTIF($W$2:W1126,A141)=1,VLOOKUP(A141,O:P,2), IF(COUNTIF($W$2:W1126,A141)=0,$B$9,""))</f>
        <v/>
      </c>
      <c r="C141" s="2" t="str">
        <f t="shared" ca="1" si="14"/>
        <v/>
      </c>
      <c r="D141" s="43" t="str">
        <f t="shared" ca="1" si="15"/>
        <v/>
      </c>
      <c r="E141" s="40" t="str">
        <f ca="1">IF(COUNTIF($W$2:W1126,A141)=1,VLOOKUP(A141,Q:R,2), IF(COUNTIF($W$2:W1126,A141)=0,$C$9,""))</f>
        <v/>
      </c>
      <c r="F141" s="2" t="str">
        <f t="shared" ca="1" si="16"/>
        <v/>
      </c>
      <c r="G141" s="43" t="str">
        <f t="shared" ca="1" si="17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8"/>
        <v/>
      </c>
      <c r="K141" s="43" t="str">
        <f t="shared" ca="1" si="19"/>
        <v/>
      </c>
      <c r="L141" s="43" t="str">
        <f ca="1">IF($A141="","",IF(COUNTIFS(Dividends!$G:$G,"&gt;"&amp;INT($A140),Dividends!$G:$G,"&lt;="&amp;INT($A141))=0,"",$H$2*SUMIFS(Dividends!$H:$H,Dividends!$G:$G,"&gt;"&amp;INT($A140),Dividends!$G:$G,"&lt;="&amp;INT($A141))))</f>
        <v/>
      </c>
      <c r="M141" s="44" t="str">
        <f ca="1">IF(ISERROR(B141-2),"",C141+D141-F141-G141-K141+SUM($L$14:L141))</f>
        <v/>
      </c>
      <c r="U141" s="3" t="str">
        <f t="shared" si="20"/>
        <v/>
      </c>
      <c r="V141" s="3" t="str">
        <f t="shared" si="21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2"/>
        <v>45975</v>
      </c>
    </row>
    <row r="142" spans="1:30" x14ac:dyDescent="0.25">
      <c r="A142" s="39" t="str">
        <f t="shared" ca="1" si="13"/>
        <v/>
      </c>
      <c r="B142" s="40" t="str">
        <f ca="1">IF(COUNTIF($W$2:W1127,A142)=1,VLOOKUP(A142,O:P,2), IF(COUNTIF($W$2:W1127,A142)=0,$B$9,""))</f>
        <v/>
      </c>
      <c r="C142" s="2" t="str">
        <f t="shared" ca="1" si="14"/>
        <v/>
      </c>
      <c r="D142" s="43" t="str">
        <f t="shared" ca="1" si="15"/>
        <v/>
      </c>
      <c r="E142" s="40" t="str">
        <f ca="1">IF(COUNTIF($W$2:W1127,A142)=1,VLOOKUP(A142,Q:R,2), IF(COUNTIF($W$2:W1127,A142)=0,$C$9,""))</f>
        <v/>
      </c>
      <c r="F142" s="2" t="str">
        <f t="shared" ca="1" si="16"/>
        <v/>
      </c>
      <c r="G142" s="43" t="str">
        <f t="shared" ca="1" si="17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8"/>
        <v/>
      </c>
      <c r="K142" s="43" t="str">
        <f t="shared" ca="1" si="19"/>
        <v/>
      </c>
      <c r="L142" s="43" t="str">
        <f ca="1">IF($A142="","",IF(COUNTIFS(Dividends!$G:$G,"&gt;"&amp;INT($A141),Dividends!$G:$G,"&lt;="&amp;INT($A142))=0,"",$H$2*SUMIFS(Dividends!$H:$H,Dividends!$G:$G,"&gt;"&amp;INT($A141),Dividends!$G:$G,"&lt;="&amp;INT($A142))))</f>
        <v/>
      </c>
      <c r="M142" s="44" t="str">
        <f ca="1">IF(ISERROR(B142-2),"",C142+D142-F142-G142-K142+SUM($L$14:L142))</f>
        <v/>
      </c>
      <c r="U142" s="3" t="str">
        <f t="shared" si="20"/>
        <v/>
      </c>
      <c r="V142" s="3" t="str">
        <f t="shared" si="21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2"/>
        <v>45978</v>
      </c>
    </row>
    <row r="143" spans="1:30" x14ac:dyDescent="0.25">
      <c r="A143" s="39" t="str">
        <f t="shared" ref="A143:A204" ca="1" si="23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4"/>
        <v/>
      </c>
      <c r="D143" s="43" t="str">
        <f t="shared" ca="1" si="15"/>
        <v/>
      </c>
      <c r="E143" s="40" t="str">
        <f ca="1">IF(COUNTIF($W$2:W1128,A143)=1,VLOOKUP(A143,Q:R,2), IF(COUNTIF($W$2:W1128,A143)=0,$C$9,""))</f>
        <v/>
      </c>
      <c r="F143" s="2" t="str">
        <f t="shared" ca="1" si="16"/>
        <v/>
      </c>
      <c r="G143" s="43" t="str">
        <f t="shared" ca="1" si="17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8"/>
        <v/>
      </c>
      <c r="K143" s="43" t="str">
        <f t="shared" ca="1" si="19"/>
        <v/>
      </c>
      <c r="L143" s="43" t="str">
        <f ca="1">IF($A143="","",IF(COUNTIFS(Dividends!$G:$G,"&gt;"&amp;INT($A142),Dividends!$G:$G,"&lt;="&amp;INT($A143))=0,"",$H$2*SUMIFS(Dividends!$H:$H,Dividends!$G:$G,"&gt;"&amp;INT($A142),Dividends!$G:$G,"&lt;="&amp;INT($A143))))</f>
        <v/>
      </c>
      <c r="M143" s="44" t="str">
        <f ca="1">IF(ISERROR(B143-2),"",C143+D143-F143-G143-K143+SUM($L$14:L143))</f>
        <v/>
      </c>
      <c r="U143" s="3" t="str">
        <f t="shared" si="20"/>
        <v/>
      </c>
      <c r="V143" s="3" t="str">
        <f t="shared" si="21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2"/>
        <v>45979</v>
      </c>
    </row>
    <row r="144" spans="1:30" x14ac:dyDescent="0.25">
      <c r="A144" s="39" t="str">
        <f t="shared" ca="1" si="23"/>
        <v/>
      </c>
      <c r="B144" s="40" t="str">
        <f ca="1">IF(COUNTIF($W$2:W1129,A144)=1,VLOOKUP(A144,O:P,2), IF(COUNTIF($W$2:W1129,A144)=0,$B$9,""))</f>
        <v/>
      </c>
      <c r="C144" s="2" t="str">
        <f t="shared" ref="C144:C204" ca="1" si="24">IF(ISERROR(B144-2),"",(B144/$B$14-1)*$B$5)</f>
        <v/>
      </c>
      <c r="D144" s="43" t="str">
        <f t="shared" ref="D144:D204" ca="1" si="25">IF(ISERROR(B144-2),"",-1*(INT(A144)-INT($A$14))/360*$B$7*$B$5)</f>
        <v/>
      </c>
      <c r="E144" s="40" t="str">
        <f ca="1">IF(COUNTIF($W$2:W1129,A144)=1,VLOOKUP(A144,Q:R,2), IF(COUNTIF($W$2:W1129,A144)=0,$C$9,""))</f>
        <v/>
      </c>
      <c r="F144" s="2" t="str">
        <f t="shared" ref="F144:F204" ca="1" si="26">IF(ISERROR(B144-2),"",(E144-$E$14)/100*$C$5)</f>
        <v/>
      </c>
      <c r="G144" s="43" t="str">
        <f t="shared" ref="G144:G204" ca="1" si="27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204" ca="1" si="28">IF(ISERROR(H144-2),"",I144)</f>
        <v/>
      </c>
      <c r="K144" s="43" t="str">
        <f t="shared" ref="K144:K204" ca="1" si="29">IF(ISERROR(H144-2),"",(J144/$J$14-1)*$D$5)</f>
        <v/>
      </c>
      <c r="L144" s="43" t="str">
        <f ca="1">IF($A144="","",IF(COUNTIFS(Dividends!$G:$G,"&gt;"&amp;INT($A143),Dividends!$G:$G,"&lt;="&amp;INT($A144))=0,"",$H$2*SUMIFS(Dividends!$H:$H,Dividends!$G:$G,"&gt;"&amp;INT($A143),Dividends!$G:$G,"&lt;="&amp;INT($A144))))</f>
        <v/>
      </c>
      <c r="M144" s="44" t="str">
        <f ca="1">IF(ISERROR(B144-2),"",C144+D144-F144-G144-K144+SUM($L$14:L144))</f>
        <v/>
      </c>
      <c r="U144" s="3" t="str">
        <f t="shared" si="20"/>
        <v/>
      </c>
      <c r="V144" s="3" t="str">
        <f t="shared" si="21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2"/>
        <v>45980</v>
      </c>
    </row>
    <row r="145" spans="1:30" x14ac:dyDescent="0.25">
      <c r="A145" s="39" t="str">
        <f t="shared" ca="1" si="23"/>
        <v/>
      </c>
      <c r="B145" s="40" t="str">
        <f ca="1">IF(COUNTIF($W$2:W1130,A145)=1,VLOOKUP(A145,O:P,2), IF(COUNTIF($W$2:W1130,A145)=0,$B$9,""))</f>
        <v/>
      </c>
      <c r="C145" s="2" t="str">
        <f t="shared" ca="1" si="24"/>
        <v/>
      </c>
      <c r="D145" s="43" t="str">
        <f t="shared" ca="1" si="25"/>
        <v/>
      </c>
      <c r="E145" s="40" t="str">
        <f ca="1">IF(COUNTIF($W$2:W1130,A145)=1,VLOOKUP(A145,Q:R,2), IF(COUNTIF($W$2:W1130,A145)=0,$C$9,""))</f>
        <v/>
      </c>
      <c r="F145" s="2" t="str">
        <f t="shared" ca="1" si="26"/>
        <v/>
      </c>
      <c r="G145" s="43" t="str">
        <f t="shared" ca="1" si="27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8"/>
        <v/>
      </c>
      <c r="K145" s="43" t="str">
        <f t="shared" ca="1" si="29"/>
        <v/>
      </c>
      <c r="L145" s="43" t="str">
        <f ca="1">IF($A145="","",IF(COUNTIFS(Dividends!$G:$G,"&gt;"&amp;INT($A144),Dividends!$G:$G,"&lt;="&amp;INT($A145))=0,"",$H$2*SUMIFS(Dividends!$H:$H,Dividends!$G:$G,"&gt;"&amp;INT($A144),Dividends!$G:$G,"&lt;="&amp;INT($A145))))</f>
        <v/>
      </c>
      <c r="M145" s="44" t="str">
        <f ca="1">IF(ISERROR(B145-2),"",C145+D145-F145-G145-K145+SUM($L$14:L145))</f>
        <v/>
      </c>
      <c r="U145" s="3" t="str">
        <f t="shared" si="20"/>
        <v/>
      </c>
      <c r="V145" s="3" t="str">
        <f t="shared" si="21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2"/>
        <v>45981</v>
      </c>
    </row>
    <row r="146" spans="1:30" x14ac:dyDescent="0.25">
      <c r="A146" s="39" t="str">
        <f t="shared" ca="1" si="23"/>
        <v/>
      </c>
      <c r="B146" s="40" t="str">
        <f ca="1">IF(COUNTIF($W$2:W1131,A146)=1,VLOOKUP(A146,O:P,2), IF(COUNTIF($W$2:W1131,A146)=0,$B$9,""))</f>
        <v/>
      </c>
      <c r="C146" s="2" t="str">
        <f t="shared" ca="1" si="24"/>
        <v/>
      </c>
      <c r="D146" s="43" t="str">
        <f t="shared" ca="1" si="25"/>
        <v/>
      </c>
      <c r="E146" s="40" t="str">
        <f ca="1">IF(COUNTIF($W$2:W1131,A146)=1,VLOOKUP(A146,Q:R,2), IF(COUNTIF($W$2:W1131,A146)=0,$C$9,""))</f>
        <v/>
      </c>
      <c r="F146" s="2" t="str">
        <f t="shared" ca="1" si="26"/>
        <v/>
      </c>
      <c r="G146" s="43" t="str">
        <f t="shared" ca="1" si="27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8"/>
        <v/>
      </c>
      <c r="K146" s="43" t="str">
        <f t="shared" ca="1" si="29"/>
        <v/>
      </c>
      <c r="L146" s="43" t="str">
        <f ca="1">IF($A146="","",IF(COUNTIFS(Dividends!$G:$G,"&gt;"&amp;INT($A145),Dividends!$G:$G,"&lt;="&amp;INT($A146))=0,"",$H$2*SUMIFS(Dividends!$H:$H,Dividends!$G:$G,"&gt;"&amp;INT($A145),Dividends!$G:$G,"&lt;="&amp;INT($A146))))</f>
        <v/>
      </c>
      <c r="M146" s="44" t="str">
        <f ca="1">IF(ISERROR(B146-2),"",C146+D146-F146-G146-K146+SUM($L$14:L146))</f>
        <v/>
      </c>
      <c r="U146" s="3" t="str">
        <f t="shared" si="20"/>
        <v/>
      </c>
      <c r="V146" s="3" t="str">
        <f t="shared" si="21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2"/>
        <v>45982</v>
      </c>
    </row>
    <row r="147" spans="1:30" x14ac:dyDescent="0.25">
      <c r="A147" s="39" t="str">
        <f t="shared" ca="1" si="23"/>
        <v/>
      </c>
      <c r="B147" s="40" t="str">
        <f ca="1">IF(COUNTIF($W$2:W1132,A147)=1,VLOOKUP(A147,O:P,2), IF(COUNTIF($W$2:W1132,A147)=0,$B$9,""))</f>
        <v/>
      </c>
      <c r="C147" s="2" t="str">
        <f t="shared" ca="1" si="24"/>
        <v/>
      </c>
      <c r="D147" s="43" t="str">
        <f t="shared" ca="1" si="25"/>
        <v/>
      </c>
      <c r="E147" s="40" t="str">
        <f ca="1">IF(COUNTIF($W$2:W1132,A147)=1,VLOOKUP(A147,Q:R,2), IF(COUNTIF($W$2:W1132,A147)=0,$C$9,""))</f>
        <v/>
      </c>
      <c r="F147" s="2" t="str">
        <f t="shared" ca="1" si="26"/>
        <v/>
      </c>
      <c r="G147" s="43" t="str">
        <f t="shared" ca="1" si="27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8"/>
        <v/>
      </c>
      <c r="K147" s="43" t="str">
        <f t="shared" ca="1" si="29"/>
        <v/>
      </c>
      <c r="L147" s="43" t="str">
        <f ca="1">IF($A147="","",IF(COUNTIFS(Dividends!$G:$G,"&gt;"&amp;INT($A146),Dividends!$G:$G,"&lt;="&amp;INT($A147))=0,"",$H$2*SUMIFS(Dividends!$H:$H,Dividends!$G:$G,"&gt;"&amp;INT($A146),Dividends!$G:$G,"&lt;="&amp;INT($A147))))</f>
        <v/>
      </c>
      <c r="M147" s="44" t="str">
        <f ca="1">IF(ISERROR(B147-2),"",C147+D147-F147-G147-K147+SUM($L$14:L147))</f>
        <v/>
      </c>
      <c r="U147" s="3" t="str">
        <f t="shared" si="20"/>
        <v/>
      </c>
      <c r="V147" s="3" t="str">
        <f t="shared" si="21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2"/>
        <v>45985</v>
      </c>
    </row>
    <row r="148" spans="1:30" x14ac:dyDescent="0.25">
      <c r="A148" s="39" t="str">
        <f t="shared" ca="1" si="23"/>
        <v/>
      </c>
      <c r="B148" s="40" t="str">
        <f ca="1">IF(COUNTIF($W$2:W1133,A148)=1,VLOOKUP(A148,O:P,2), IF(COUNTIF($W$2:W1133,A148)=0,$B$9,""))</f>
        <v/>
      </c>
      <c r="C148" s="2" t="str">
        <f t="shared" ca="1" si="24"/>
        <v/>
      </c>
      <c r="D148" s="43" t="str">
        <f t="shared" ca="1" si="25"/>
        <v/>
      </c>
      <c r="E148" s="40" t="str">
        <f ca="1">IF(COUNTIF($W$2:W1133,A148)=1,VLOOKUP(A148,Q:R,2), IF(COUNTIF($W$2:W1133,A148)=0,$C$9,""))</f>
        <v/>
      </c>
      <c r="F148" s="2" t="str">
        <f t="shared" ca="1" si="26"/>
        <v/>
      </c>
      <c r="G148" s="43" t="str">
        <f t="shared" ca="1" si="27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8"/>
        <v/>
      </c>
      <c r="K148" s="43" t="str">
        <f t="shared" ca="1" si="29"/>
        <v/>
      </c>
      <c r="L148" s="43" t="str">
        <f ca="1">IF($A148="","",IF(COUNTIFS(Dividends!$G:$G,"&gt;"&amp;INT($A147),Dividends!$G:$G,"&lt;="&amp;INT($A148))=0,"",$H$2*SUMIFS(Dividends!$H:$H,Dividends!$G:$G,"&gt;"&amp;INT($A147),Dividends!$G:$G,"&lt;="&amp;INT($A148))))</f>
        <v/>
      </c>
      <c r="M148" s="44" t="str">
        <f ca="1">IF(ISERROR(B148-2),"",C148+D148-F148-G148-K148+SUM($L$14:L148))</f>
        <v/>
      </c>
      <c r="U148" s="3" t="str">
        <f t="shared" si="20"/>
        <v/>
      </c>
      <c r="V148" s="3" t="str">
        <f t="shared" si="21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2"/>
        <v>45986</v>
      </c>
    </row>
    <row r="149" spans="1:30" x14ac:dyDescent="0.25">
      <c r="A149" s="39" t="str">
        <f t="shared" ca="1" si="23"/>
        <v/>
      </c>
      <c r="B149" s="40" t="str">
        <f ca="1">IF(COUNTIF($W$2:W1134,A149)=1,VLOOKUP(A149,O:P,2), IF(COUNTIF($W$2:W1134,A149)=0,$B$9,""))</f>
        <v/>
      </c>
      <c r="C149" s="2" t="str">
        <f t="shared" ca="1" si="24"/>
        <v/>
      </c>
      <c r="D149" s="43" t="str">
        <f t="shared" ca="1" si="25"/>
        <v/>
      </c>
      <c r="E149" s="40" t="str">
        <f ca="1">IF(COUNTIF($W$2:W1134,A149)=1,VLOOKUP(A149,Q:R,2), IF(COUNTIF($W$2:W1134,A149)=0,$C$9,""))</f>
        <v/>
      </c>
      <c r="F149" s="2" t="str">
        <f t="shared" ca="1" si="26"/>
        <v/>
      </c>
      <c r="G149" s="43" t="str">
        <f t="shared" ca="1" si="27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8"/>
        <v/>
      </c>
      <c r="K149" s="43" t="str">
        <f t="shared" ca="1" si="29"/>
        <v/>
      </c>
      <c r="L149" s="43" t="str">
        <f ca="1">IF($A149="","",IF(COUNTIFS(Dividends!$G:$G,"&gt;"&amp;INT($A148),Dividends!$G:$G,"&lt;="&amp;INT($A149))=0,"",$H$2*SUMIFS(Dividends!$H:$H,Dividends!$G:$G,"&gt;"&amp;INT($A148),Dividends!$G:$G,"&lt;="&amp;INT($A149))))</f>
        <v/>
      </c>
      <c r="M149" s="44" t="str">
        <f ca="1">IF(ISERROR(B149-2),"",C149+D149-F149-G149-K149+SUM($L$14:L149))</f>
        <v/>
      </c>
      <c r="U149" s="3" t="str">
        <f t="shared" si="20"/>
        <v/>
      </c>
      <c r="V149" s="3" t="str">
        <f t="shared" si="21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2"/>
        <v>45987</v>
      </c>
    </row>
    <row r="150" spans="1:30" x14ac:dyDescent="0.25">
      <c r="A150" s="39" t="str">
        <f t="shared" ca="1" si="23"/>
        <v/>
      </c>
      <c r="B150" s="40" t="str">
        <f ca="1">IF(COUNTIF($W$2:W1135,A150)=1,VLOOKUP(A150,O:P,2), IF(COUNTIF($W$2:W1135,A150)=0,$B$9,""))</f>
        <v/>
      </c>
      <c r="C150" s="2" t="str">
        <f t="shared" ca="1" si="24"/>
        <v/>
      </c>
      <c r="D150" s="43" t="str">
        <f t="shared" ca="1" si="25"/>
        <v/>
      </c>
      <c r="E150" s="40" t="str">
        <f ca="1">IF(COUNTIF($W$2:W1135,A150)=1,VLOOKUP(A150,Q:R,2), IF(COUNTIF($W$2:W1135,A150)=0,$C$9,""))</f>
        <v/>
      </c>
      <c r="F150" s="2" t="str">
        <f t="shared" ca="1" si="26"/>
        <v/>
      </c>
      <c r="G150" s="43" t="str">
        <f t="shared" ca="1" si="27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8"/>
        <v/>
      </c>
      <c r="K150" s="43" t="str">
        <f t="shared" ca="1" si="29"/>
        <v/>
      </c>
      <c r="L150" s="43" t="str">
        <f ca="1">IF($A150="","",IF(COUNTIFS(Dividends!$G:$G,"&gt;"&amp;INT($A149),Dividends!$G:$G,"&lt;="&amp;INT($A150))=0,"",$H$2*SUMIFS(Dividends!$H:$H,Dividends!$G:$G,"&gt;"&amp;INT($A149),Dividends!$G:$G,"&lt;="&amp;INT($A150))))</f>
        <v/>
      </c>
      <c r="M150" s="44" t="str">
        <f ca="1">IF(ISERROR(B150-2),"",C150+D150-F150-G150-K150+SUM($L$14:L150))</f>
        <v/>
      </c>
      <c r="U150" s="3" t="str">
        <f t="shared" si="20"/>
        <v/>
      </c>
      <c r="V150" s="3" t="str">
        <f t="shared" si="21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2"/>
        <v>45988</v>
      </c>
    </row>
    <row r="151" spans="1:30" x14ac:dyDescent="0.25">
      <c r="A151" s="39" t="str">
        <f t="shared" ca="1" si="23"/>
        <v/>
      </c>
      <c r="B151" s="40" t="str">
        <f ca="1">IF(COUNTIF($W$2:W1136,A151)=1,VLOOKUP(A151,O:P,2), IF(COUNTIF($W$2:W1136,A151)=0,$B$9,""))</f>
        <v/>
      </c>
      <c r="C151" s="2" t="str">
        <f t="shared" ca="1" si="24"/>
        <v/>
      </c>
      <c r="D151" s="43" t="str">
        <f t="shared" ca="1" si="25"/>
        <v/>
      </c>
      <c r="E151" s="40" t="str">
        <f ca="1">IF(COUNTIF($W$2:W1136,A151)=1,VLOOKUP(A151,Q:R,2), IF(COUNTIF($W$2:W1136,A151)=0,$C$9,""))</f>
        <v/>
      </c>
      <c r="F151" s="2" t="str">
        <f t="shared" ca="1" si="26"/>
        <v/>
      </c>
      <c r="G151" s="43" t="str">
        <f t="shared" ca="1" si="27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8"/>
        <v/>
      </c>
      <c r="K151" s="43" t="str">
        <f t="shared" ca="1" si="29"/>
        <v/>
      </c>
      <c r="L151" s="43" t="str">
        <f ca="1">IF($A151="","",IF(COUNTIFS(Dividends!$G:$G,"&gt;"&amp;INT($A150),Dividends!$G:$G,"&lt;="&amp;INT($A151))=0,"",$H$2*SUMIFS(Dividends!$H:$H,Dividends!$G:$G,"&gt;"&amp;INT($A150),Dividends!$G:$G,"&lt;="&amp;INT($A151))))</f>
        <v/>
      </c>
      <c r="M151" s="44" t="str">
        <f ca="1">IF(ISERROR(B151-2),"",C151+D151-F151-G151-K151+SUM($L$14:L151))</f>
        <v/>
      </c>
      <c r="U151" s="3" t="str">
        <f t="shared" si="20"/>
        <v/>
      </c>
      <c r="V151" s="3" t="str">
        <f t="shared" si="21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2"/>
        <v>45989</v>
      </c>
    </row>
    <row r="152" spans="1:30" x14ac:dyDescent="0.25">
      <c r="A152" s="39" t="str">
        <f t="shared" ca="1" si="23"/>
        <v/>
      </c>
      <c r="B152" s="40" t="str">
        <f ca="1">IF(COUNTIF($W$2:W1137,A152)=1,VLOOKUP(A152,O:P,2), IF(COUNTIF($W$2:W1137,A152)=0,$B$9,""))</f>
        <v/>
      </c>
      <c r="C152" s="2" t="str">
        <f t="shared" ca="1" si="24"/>
        <v/>
      </c>
      <c r="D152" s="43" t="str">
        <f t="shared" ca="1" si="25"/>
        <v/>
      </c>
      <c r="E152" s="40" t="str">
        <f ca="1">IF(COUNTIF($W$2:W1137,A152)=1,VLOOKUP(A152,Q:R,2), IF(COUNTIF($W$2:W1137,A152)=0,$C$9,""))</f>
        <v/>
      </c>
      <c r="F152" s="2" t="str">
        <f t="shared" ca="1" si="26"/>
        <v/>
      </c>
      <c r="G152" s="43" t="str">
        <f t="shared" ca="1" si="27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8"/>
        <v/>
      </c>
      <c r="K152" s="43" t="str">
        <f t="shared" ca="1" si="29"/>
        <v/>
      </c>
      <c r="L152" s="43" t="str">
        <f ca="1">IF($A152="","",IF(COUNTIFS(Dividends!$G:$G,"&gt;"&amp;INT($A151),Dividends!$G:$G,"&lt;="&amp;INT($A152))=0,"",$H$2*SUMIFS(Dividends!$H:$H,Dividends!$G:$G,"&gt;"&amp;INT($A151),Dividends!$G:$G,"&lt;="&amp;INT($A152))))</f>
        <v/>
      </c>
      <c r="M152" s="44" t="str">
        <f ca="1">IF(ISERROR(B152-2),"",C152+D152-F152-G152-K152+SUM($L$14:L152))</f>
        <v/>
      </c>
      <c r="U152" s="3" t="str">
        <f t="shared" si="20"/>
        <v/>
      </c>
      <c r="V152" s="3" t="str">
        <f t="shared" si="21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2"/>
        <v>45992</v>
      </c>
    </row>
    <row r="153" spans="1:30" x14ac:dyDescent="0.25">
      <c r="A153" s="39" t="str">
        <f t="shared" ca="1" si="23"/>
        <v/>
      </c>
      <c r="B153" s="40" t="str">
        <f ca="1">IF(COUNTIF($W$2:W1138,A153)=1,VLOOKUP(A153,O:P,2), IF(COUNTIF($W$2:W1138,A153)=0,$B$9,""))</f>
        <v/>
      </c>
      <c r="C153" s="2" t="str">
        <f t="shared" ca="1" si="24"/>
        <v/>
      </c>
      <c r="D153" s="43" t="str">
        <f t="shared" ca="1" si="25"/>
        <v/>
      </c>
      <c r="E153" s="40" t="str">
        <f ca="1">IF(COUNTIF($W$2:W1138,A153)=1,VLOOKUP(A153,Q:R,2), IF(COUNTIF($W$2:W1138,A153)=0,$C$9,""))</f>
        <v/>
      </c>
      <c r="F153" s="2" t="str">
        <f t="shared" ca="1" si="26"/>
        <v/>
      </c>
      <c r="G153" s="43" t="str">
        <f t="shared" ca="1" si="27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8"/>
        <v/>
      </c>
      <c r="K153" s="43" t="str">
        <f t="shared" ca="1" si="29"/>
        <v/>
      </c>
      <c r="L153" s="43" t="str">
        <f ca="1">IF($A153="","",IF(COUNTIFS(Dividends!$G:$G,"&gt;"&amp;INT($A152),Dividends!$G:$G,"&lt;="&amp;INT($A153))=0,"",$H$2*SUMIFS(Dividends!$H:$H,Dividends!$G:$G,"&gt;"&amp;INT($A152),Dividends!$G:$G,"&lt;="&amp;INT($A153))))</f>
        <v/>
      </c>
      <c r="M153" s="44" t="str">
        <f ca="1">IF(ISERROR(B153-2),"",C153+D153-F153-G153-K153+SUM($L$14:L153))</f>
        <v/>
      </c>
      <c r="U153" s="3" t="str">
        <f t="shared" si="20"/>
        <v/>
      </c>
      <c r="V153" s="3" t="str">
        <f t="shared" si="21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2"/>
        <v>45993</v>
      </c>
    </row>
    <row r="154" spans="1:30" x14ac:dyDescent="0.25">
      <c r="A154" s="39" t="str">
        <f t="shared" ca="1" si="23"/>
        <v/>
      </c>
      <c r="B154" s="40" t="str">
        <f ca="1">IF(COUNTIF($W$2:W1139,A154)=1,VLOOKUP(A154,O:P,2), IF(COUNTIF($W$2:W1139,A154)=0,$B$9,""))</f>
        <v/>
      </c>
      <c r="C154" s="2" t="str">
        <f t="shared" ca="1" si="24"/>
        <v/>
      </c>
      <c r="D154" s="43" t="str">
        <f t="shared" ca="1" si="25"/>
        <v/>
      </c>
      <c r="E154" s="40" t="str">
        <f ca="1">IF(COUNTIF($W$2:W1139,A154)=1,VLOOKUP(A154,Q:R,2), IF(COUNTIF($W$2:W1139,A154)=0,$C$9,""))</f>
        <v/>
      </c>
      <c r="F154" s="2" t="str">
        <f t="shared" ca="1" si="26"/>
        <v/>
      </c>
      <c r="G154" s="43" t="str">
        <f t="shared" ca="1" si="27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8"/>
        <v/>
      </c>
      <c r="K154" s="43" t="str">
        <f t="shared" ca="1" si="29"/>
        <v/>
      </c>
      <c r="L154" s="43" t="str">
        <f ca="1">IF($A154="","",IF(COUNTIFS(Dividends!$G:$G,"&gt;"&amp;INT($A153),Dividends!$G:$G,"&lt;="&amp;INT($A154))=0,"",$H$2*SUMIFS(Dividends!$H:$H,Dividends!$G:$G,"&gt;"&amp;INT($A153),Dividends!$G:$G,"&lt;="&amp;INT($A154))))</f>
        <v/>
      </c>
      <c r="M154" s="44" t="str">
        <f ca="1">IF(ISERROR(B154-2),"",C154+D154-F154-G154-K154+SUM($L$14:L154))</f>
        <v/>
      </c>
      <c r="U154" s="3" t="str">
        <f t="shared" si="20"/>
        <v/>
      </c>
      <c r="V154" s="3" t="str">
        <f t="shared" si="21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2"/>
        <v>45994</v>
      </c>
    </row>
    <row r="155" spans="1:30" x14ac:dyDescent="0.25">
      <c r="A155" s="39" t="str">
        <f t="shared" ca="1" si="23"/>
        <v/>
      </c>
      <c r="B155" s="40" t="str">
        <f ca="1">IF(COUNTIF($W$2:W1140,A155)=1,VLOOKUP(A155,O:P,2), IF(COUNTIF($W$2:W1140,A155)=0,$B$9,""))</f>
        <v/>
      </c>
      <c r="C155" s="2" t="str">
        <f t="shared" ca="1" si="24"/>
        <v/>
      </c>
      <c r="D155" s="43" t="str">
        <f t="shared" ca="1" si="25"/>
        <v/>
      </c>
      <c r="E155" s="40" t="str">
        <f ca="1">IF(COUNTIF($W$2:W1140,A155)=1,VLOOKUP(A155,Q:R,2), IF(COUNTIF($W$2:W1140,A155)=0,$C$9,""))</f>
        <v/>
      </c>
      <c r="F155" s="2" t="str">
        <f t="shared" ca="1" si="26"/>
        <v/>
      </c>
      <c r="G155" s="43" t="str">
        <f t="shared" ca="1" si="27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8"/>
        <v/>
      </c>
      <c r="K155" s="43" t="str">
        <f t="shared" ca="1" si="29"/>
        <v/>
      </c>
      <c r="L155" s="43" t="str">
        <f ca="1">IF($A155="","",IF(COUNTIFS(Dividends!$G:$G,"&gt;"&amp;INT($A154),Dividends!$G:$G,"&lt;="&amp;INT($A155))=0,"",$H$2*SUMIFS(Dividends!$H:$H,Dividends!$G:$G,"&gt;"&amp;INT($A154),Dividends!$G:$G,"&lt;="&amp;INT($A155))))</f>
        <v/>
      </c>
      <c r="M155" s="44" t="str">
        <f ca="1">IF(ISERROR(B155-2),"",C155+D155-F155-G155-K155+SUM($L$14:L155))</f>
        <v/>
      </c>
      <c r="U155" s="3" t="str">
        <f t="shared" si="20"/>
        <v/>
      </c>
      <c r="V155" s="3" t="str">
        <f t="shared" si="21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2"/>
        <v>45995</v>
      </c>
    </row>
    <row r="156" spans="1:30" x14ac:dyDescent="0.25">
      <c r="A156" s="39" t="str">
        <f t="shared" ca="1" si="23"/>
        <v/>
      </c>
      <c r="B156" s="40" t="str">
        <f ca="1">IF(COUNTIF($W$2:W1141,A156)=1,VLOOKUP(A156,O:P,2), IF(COUNTIF($W$2:W1141,A156)=0,$B$9,""))</f>
        <v/>
      </c>
      <c r="C156" s="2" t="str">
        <f t="shared" ca="1" si="24"/>
        <v/>
      </c>
      <c r="D156" s="43" t="str">
        <f t="shared" ca="1" si="25"/>
        <v/>
      </c>
      <c r="E156" s="40" t="str">
        <f ca="1">IF(COUNTIF($W$2:W1141,A156)=1,VLOOKUP(A156,Q:R,2), IF(COUNTIF($W$2:W1141,A156)=0,$C$9,""))</f>
        <v/>
      </c>
      <c r="F156" s="2" t="str">
        <f t="shared" ca="1" si="26"/>
        <v/>
      </c>
      <c r="G156" s="43" t="str">
        <f t="shared" ca="1" si="27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8"/>
        <v/>
      </c>
      <c r="K156" s="43" t="str">
        <f t="shared" ca="1" si="29"/>
        <v/>
      </c>
      <c r="L156" s="43" t="str">
        <f ca="1">IF($A156="","",IF(COUNTIFS(Dividends!$G:$G,"&gt;"&amp;INT($A155),Dividends!$G:$G,"&lt;="&amp;INT($A156))=0,"",$H$2*SUMIFS(Dividends!$H:$H,Dividends!$G:$G,"&gt;"&amp;INT($A155),Dividends!$G:$G,"&lt;="&amp;INT($A156))))</f>
        <v/>
      </c>
      <c r="M156" s="44" t="str">
        <f ca="1">IF(ISERROR(B156-2),"",C156+D156-F156-G156-K156+SUM($L$14:L156))</f>
        <v/>
      </c>
      <c r="U156" s="3" t="str">
        <f t="shared" si="20"/>
        <v/>
      </c>
      <c r="V156" s="3" t="str">
        <f t="shared" si="21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2"/>
        <v>45996</v>
      </c>
    </row>
    <row r="157" spans="1:30" x14ac:dyDescent="0.25">
      <c r="A157" s="39" t="str">
        <f t="shared" ca="1" si="23"/>
        <v/>
      </c>
      <c r="B157" s="40" t="str">
        <f ca="1">IF(COUNTIF($W$2:W1142,A157)=1,VLOOKUP(A157,O:P,2), IF(COUNTIF($W$2:W1142,A157)=0,$B$9,""))</f>
        <v/>
      </c>
      <c r="C157" s="2" t="str">
        <f t="shared" ca="1" si="24"/>
        <v/>
      </c>
      <c r="D157" s="43" t="str">
        <f t="shared" ca="1" si="25"/>
        <v/>
      </c>
      <c r="E157" s="40" t="str">
        <f ca="1">IF(COUNTIF($W$2:W1142,A157)=1,VLOOKUP(A157,Q:R,2), IF(COUNTIF($W$2:W1142,A157)=0,$C$9,""))</f>
        <v/>
      </c>
      <c r="F157" s="2" t="str">
        <f t="shared" ca="1" si="26"/>
        <v/>
      </c>
      <c r="G157" s="43" t="str">
        <f t="shared" ca="1" si="27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8"/>
        <v/>
      </c>
      <c r="K157" s="43" t="str">
        <f t="shared" ca="1" si="29"/>
        <v/>
      </c>
      <c r="L157" s="43" t="str">
        <f ca="1">IF($A157="","",IF(COUNTIFS(Dividends!$G:$G,"&gt;"&amp;INT($A156),Dividends!$G:$G,"&lt;="&amp;INT($A157))=0,"",$H$2*SUMIFS(Dividends!$H:$H,Dividends!$G:$G,"&gt;"&amp;INT($A156),Dividends!$G:$G,"&lt;="&amp;INT($A157))))</f>
        <v/>
      </c>
      <c r="M157" s="44" t="str">
        <f ca="1">IF(ISERROR(B157-2),"",C157+D157-F157-G157-K157+SUM($L$14:L157))</f>
        <v/>
      </c>
      <c r="U157" s="3" t="str">
        <f t="shared" si="20"/>
        <v/>
      </c>
      <c r="V157" s="3" t="str">
        <f t="shared" si="21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2"/>
        <v>45999</v>
      </c>
    </row>
    <row r="158" spans="1:30" x14ac:dyDescent="0.25">
      <c r="A158" s="39" t="str">
        <f t="shared" ca="1" si="23"/>
        <v/>
      </c>
      <c r="B158" s="40" t="str">
        <f ca="1">IF(COUNTIF($W$2:W1143,A158)=1,VLOOKUP(A158,O:P,2), IF(COUNTIF($W$2:W1143,A158)=0,$B$9,""))</f>
        <v/>
      </c>
      <c r="C158" s="2" t="str">
        <f t="shared" ca="1" si="24"/>
        <v/>
      </c>
      <c r="D158" s="43" t="str">
        <f t="shared" ca="1" si="25"/>
        <v/>
      </c>
      <c r="E158" s="40" t="str">
        <f ca="1">IF(COUNTIF($W$2:W1143,A158)=1,VLOOKUP(A158,Q:R,2), IF(COUNTIF($W$2:W1143,A158)=0,$C$9,""))</f>
        <v/>
      </c>
      <c r="F158" s="2" t="str">
        <f t="shared" ca="1" si="26"/>
        <v/>
      </c>
      <c r="G158" s="43" t="str">
        <f t="shared" ca="1" si="27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8"/>
        <v/>
      </c>
      <c r="K158" s="43" t="str">
        <f t="shared" ca="1" si="29"/>
        <v/>
      </c>
      <c r="L158" s="43" t="str">
        <f ca="1">IF($A158="","",IF(COUNTIFS(Dividends!$G:$G,"&gt;"&amp;INT($A157),Dividends!$G:$G,"&lt;="&amp;INT($A158))=0,"",$H$2*SUMIFS(Dividends!$H:$H,Dividends!$G:$G,"&gt;"&amp;INT($A157),Dividends!$G:$G,"&lt;="&amp;INT($A158))))</f>
        <v/>
      </c>
      <c r="M158" s="44" t="str">
        <f ca="1">IF(ISERROR(B158-2),"",C158+D158-F158-G158-K158+SUM($L$14:L158))</f>
        <v/>
      </c>
      <c r="U158" s="3" t="str">
        <f t="shared" si="20"/>
        <v/>
      </c>
      <c r="V158" s="3" t="str">
        <f t="shared" si="21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2"/>
        <v>46000</v>
      </c>
    </row>
    <row r="159" spans="1:30" x14ac:dyDescent="0.25">
      <c r="A159" s="39" t="str">
        <f t="shared" ca="1" si="23"/>
        <v/>
      </c>
      <c r="B159" s="40" t="str">
        <f ca="1">IF(COUNTIF($W$2:W1144,A159)=1,VLOOKUP(A159,O:P,2), IF(COUNTIF($W$2:W1144,A159)=0,$B$9,""))</f>
        <v/>
      </c>
      <c r="C159" s="2" t="str">
        <f t="shared" ca="1" si="24"/>
        <v/>
      </c>
      <c r="D159" s="43" t="str">
        <f t="shared" ca="1" si="25"/>
        <v/>
      </c>
      <c r="E159" s="40" t="str">
        <f ca="1">IF(COUNTIF($W$2:W1144,A159)=1,VLOOKUP(A159,Q:R,2), IF(COUNTIF($W$2:W1144,A159)=0,$C$9,""))</f>
        <v/>
      </c>
      <c r="F159" s="2" t="str">
        <f t="shared" ca="1" si="26"/>
        <v/>
      </c>
      <c r="G159" s="43" t="str">
        <f t="shared" ca="1" si="27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8"/>
        <v/>
      </c>
      <c r="K159" s="43" t="str">
        <f t="shared" ca="1" si="29"/>
        <v/>
      </c>
      <c r="L159" s="43" t="str">
        <f ca="1">IF($A159="","",IF(COUNTIFS(Dividends!$G:$G,"&gt;"&amp;INT($A158),Dividends!$G:$G,"&lt;="&amp;INT($A159))=0,"",$H$2*SUMIFS(Dividends!$H:$H,Dividends!$G:$G,"&gt;"&amp;INT($A158),Dividends!$G:$G,"&lt;="&amp;INT($A159))))</f>
        <v/>
      </c>
      <c r="M159" s="44" t="str">
        <f ca="1">IF(ISERROR(B159-2),"",C159+D159-F159-G159-K159+SUM($L$14:L159))</f>
        <v/>
      </c>
      <c r="U159" s="3" t="str">
        <f t="shared" si="20"/>
        <v/>
      </c>
      <c r="V159" s="3" t="str">
        <f t="shared" si="21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2"/>
        <v>46001</v>
      </c>
    </row>
    <row r="160" spans="1:30" x14ac:dyDescent="0.25">
      <c r="A160" s="39" t="str">
        <f t="shared" ca="1" si="23"/>
        <v/>
      </c>
      <c r="B160" s="40" t="str">
        <f ca="1">IF(COUNTIF($W$2:W1145,A160)=1,VLOOKUP(A160,O:P,2), IF(COUNTIF($W$2:W1145,A160)=0,$B$9,""))</f>
        <v/>
      </c>
      <c r="C160" s="2" t="str">
        <f t="shared" ca="1" si="24"/>
        <v/>
      </c>
      <c r="D160" s="43" t="str">
        <f t="shared" ca="1" si="25"/>
        <v/>
      </c>
      <c r="E160" s="40" t="str">
        <f ca="1">IF(COUNTIF($W$2:W1145,A160)=1,VLOOKUP(A160,Q:R,2), IF(COUNTIF($W$2:W1145,A160)=0,$C$9,""))</f>
        <v/>
      </c>
      <c r="F160" s="2" t="str">
        <f t="shared" ca="1" si="26"/>
        <v/>
      </c>
      <c r="G160" s="43" t="str">
        <f t="shared" ca="1" si="27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8"/>
        <v/>
      </c>
      <c r="K160" s="43" t="str">
        <f t="shared" ca="1" si="29"/>
        <v/>
      </c>
      <c r="L160" s="43" t="str">
        <f ca="1">IF($A160="","",IF(COUNTIFS(Dividends!$G:$G,"&gt;"&amp;INT($A159),Dividends!$G:$G,"&lt;="&amp;INT($A160))=0,"",$H$2*SUMIFS(Dividends!$H:$H,Dividends!$G:$G,"&gt;"&amp;INT($A159),Dividends!$G:$G,"&lt;="&amp;INT($A160))))</f>
        <v/>
      </c>
      <c r="M160" s="44" t="str">
        <f ca="1">IF(ISERROR(B160-2),"",C160+D160-F160-G160-K160+SUM($L$14:L160))</f>
        <v/>
      </c>
      <c r="U160" s="3" t="str">
        <f t="shared" si="20"/>
        <v/>
      </c>
      <c r="V160" s="3" t="str">
        <f t="shared" si="21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2"/>
        <v>46002</v>
      </c>
    </row>
    <row r="161" spans="1:30" x14ac:dyDescent="0.25">
      <c r="A161" s="39" t="str">
        <f t="shared" ca="1" si="23"/>
        <v/>
      </c>
      <c r="B161" s="40" t="str">
        <f ca="1">IF(COUNTIF($W$2:W1146,A161)=1,VLOOKUP(A161,O:P,2), IF(COUNTIF($W$2:W1146,A161)=0,$B$9,""))</f>
        <v/>
      </c>
      <c r="C161" s="2" t="str">
        <f t="shared" ca="1" si="24"/>
        <v/>
      </c>
      <c r="D161" s="43" t="str">
        <f t="shared" ca="1" si="25"/>
        <v/>
      </c>
      <c r="E161" s="40" t="str">
        <f ca="1">IF(COUNTIF($W$2:W1146,A161)=1,VLOOKUP(A161,Q:R,2), IF(COUNTIF($W$2:W1146,A161)=0,$C$9,""))</f>
        <v/>
      </c>
      <c r="F161" s="2" t="str">
        <f t="shared" ca="1" si="26"/>
        <v/>
      </c>
      <c r="G161" s="43" t="str">
        <f t="shared" ca="1" si="27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8"/>
        <v/>
      </c>
      <c r="K161" s="43" t="str">
        <f t="shared" ca="1" si="29"/>
        <v/>
      </c>
      <c r="L161" s="43" t="str">
        <f ca="1">IF($A161="","",IF(COUNTIFS(Dividends!$G:$G,"&gt;"&amp;INT($A160),Dividends!$G:$G,"&lt;="&amp;INT($A161))=0,"",$H$2*SUMIFS(Dividends!$H:$H,Dividends!$G:$G,"&gt;"&amp;INT($A160),Dividends!$G:$G,"&lt;="&amp;INT($A161))))</f>
        <v/>
      </c>
      <c r="M161" s="44" t="str">
        <f ca="1">IF(ISERROR(B161-2),"",C161+D161-F161-G161-K161+SUM($L$14:L161))</f>
        <v/>
      </c>
      <c r="U161" s="3" t="str">
        <f t="shared" si="20"/>
        <v/>
      </c>
      <c r="V161" s="3" t="str">
        <f t="shared" si="21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2"/>
        <v>46003</v>
      </c>
    </row>
    <row r="162" spans="1:30" x14ac:dyDescent="0.25">
      <c r="A162" s="39" t="str">
        <f t="shared" ca="1" si="23"/>
        <v/>
      </c>
      <c r="B162" s="40" t="str">
        <f ca="1">IF(COUNTIF($W$2:W1147,A162)=1,VLOOKUP(A162,O:P,2), IF(COUNTIF($W$2:W1147,A162)=0,$B$9,""))</f>
        <v/>
      </c>
      <c r="C162" s="2" t="str">
        <f t="shared" ca="1" si="24"/>
        <v/>
      </c>
      <c r="D162" s="43" t="str">
        <f t="shared" ca="1" si="25"/>
        <v/>
      </c>
      <c r="E162" s="40" t="str">
        <f ca="1">IF(COUNTIF($W$2:W1147,A162)=1,VLOOKUP(A162,Q:R,2), IF(COUNTIF($W$2:W1147,A162)=0,$C$9,""))</f>
        <v/>
      </c>
      <c r="F162" s="2" t="str">
        <f t="shared" ca="1" si="26"/>
        <v/>
      </c>
      <c r="G162" s="43" t="str">
        <f t="shared" ca="1" si="27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8"/>
        <v/>
      </c>
      <c r="K162" s="43" t="str">
        <f t="shared" ca="1" si="29"/>
        <v/>
      </c>
      <c r="L162" s="43" t="str">
        <f ca="1">IF($A162="","",IF(COUNTIFS(Dividends!$G:$G,"&gt;"&amp;INT($A161),Dividends!$G:$G,"&lt;="&amp;INT($A162))=0,"",$H$2*SUMIFS(Dividends!$H:$H,Dividends!$G:$G,"&gt;"&amp;INT($A161),Dividends!$G:$G,"&lt;="&amp;INT($A162))))</f>
        <v/>
      </c>
      <c r="M162" s="44" t="str">
        <f ca="1">IF(ISERROR(B162-2),"",C162+D162-F162-G162-K162+SUM($L$14:L162))</f>
        <v/>
      </c>
      <c r="U162" s="3" t="str">
        <f t="shared" si="20"/>
        <v/>
      </c>
      <c r="V162" s="3" t="str">
        <f t="shared" si="21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2"/>
        <v>46006</v>
      </c>
    </row>
    <row r="163" spans="1:30" x14ac:dyDescent="0.25">
      <c r="A163" s="39" t="str">
        <f t="shared" ca="1" si="23"/>
        <v/>
      </c>
      <c r="B163" s="40" t="str">
        <f ca="1">IF(COUNTIF($W$2:W1148,A163)=1,VLOOKUP(A163,O:P,2), IF(COUNTIF($W$2:W1148,A163)=0,$B$9,""))</f>
        <v/>
      </c>
      <c r="C163" s="2" t="str">
        <f t="shared" ca="1" si="24"/>
        <v/>
      </c>
      <c r="D163" s="43" t="str">
        <f t="shared" ca="1" si="25"/>
        <v/>
      </c>
      <c r="E163" s="40" t="str">
        <f ca="1">IF(COUNTIF($W$2:W1148,A163)=1,VLOOKUP(A163,Q:R,2), IF(COUNTIF($W$2:W1148,A163)=0,$C$9,""))</f>
        <v/>
      </c>
      <c r="F163" s="2" t="str">
        <f t="shared" ca="1" si="26"/>
        <v/>
      </c>
      <c r="G163" s="43" t="str">
        <f t="shared" ca="1" si="27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8"/>
        <v/>
      </c>
      <c r="K163" s="43" t="str">
        <f t="shared" ca="1" si="29"/>
        <v/>
      </c>
      <c r="L163" s="43" t="str">
        <f ca="1">IF($A163="","",IF(COUNTIFS(Dividends!$G:$G,"&gt;"&amp;INT($A162),Dividends!$G:$G,"&lt;="&amp;INT($A163))=0,"",$H$2*SUMIFS(Dividends!$H:$H,Dividends!$G:$G,"&gt;"&amp;INT($A162),Dividends!$G:$G,"&lt;="&amp;INT($A163))))</f>
        <v/>
      </c>
      <c r="M163" s="44" t="str">
        <f ca="1">IF(ISERROR(B163-2),"",C163+D163-F163-G163-K163+SUM($L$14:L163))</f>
        <v/>
      </c>
      <c r="U163" s="3" t="str">
        <f t="shared" si="20"/>
        <v/>
      </c>
      <c r="V163" s="3" t="str">
        <f t="shared" si="21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2"/>
        <v>46007</v>
      </c>
    </row>
    <row r="164" spans="1:30" x14ac:dyDescent="0.25">
      <c r="A164" s="39" t="str">
        <f t="shared" ca="1" si="23"/>
        <v/>
      </c>
      <c r="B164" s="40" t="str">
        <f ca="1">IF(COUNTIF($W$2:W1149,A164)=1,VLOOKUP(A164,O:P,2), IF(COUNTIF($W$2:W1149,A164)=0,$B$9,""))</f>
        <v/>
      </c>
      <c r="C164" s="2" t="str">
        <f t="shared" ca="1" si="24"/>
        <v/>
      </c>
      <c r="D164" s="43" t="str">
        <f t="shared" ca="1" si="25"/>
        <v/>
      </c>
      <c r="E164" s="40" t="str">
        <f ca="1">IF(COUNTIF($W$2:W1149,A164)=1,VLOOKUP(A164,Q:R,2), IF(COUNTIF($W$2:W1149,A164)=0,$C$9,""))</f>
        <v/>
      </c>
      <c r="F164" s="2" t="str">
        <f t="shared" ca="1" si="26"/>
        <v/>
      </c>
      <c r="G164" s="43" t="str">
        <f t="shared" ca="1" si="27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8"/>
        <v/>
      </c>
      <c r="K164" s="43" t="str">
        <f t="shared" ca="1" si="29"/>
        <v/>
      </c>
      <c r="L164" s="43" t="str">
        <f ca="1">IF($A164="","",IF(COUNTIFS(Dividends!$G:$G,"&gt;"&amp;INT($A163),Dividends!$G:$G,"&lt;="&amp;INT($A164))=0,"",$H$2*SUMIFS(Dividends!$H:$H,Dividends!$G:$G,"&gt;"&amp;INT($A163),Dividends!$G:$G,"&lt;="&amp;INT($A164))))</f>
        <v/>
      </c>
      <c r="M164" s="44" t="str">
        <f ca="1">IF(ISERROR(B164-2),"",C164+D164-F164-G164-K164+SUM($L$14:L164))</f>
        <v/>
      </c>
      <c r="U164" s="3" t="str">
        <f t="shared" si="20"/>
        <v/>
      </c>
      <c r="V164" s="3" t="str">
        <f t="shared" si="21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2"/>
        <v>46008</v>
      </c>
    </row>
    <row r="165" spans="1:30" x14ac:dyDescent="0.25">
      <c r="A165" s="39" t="str">
        <f t="shared" ca="1" si="23"/>
        <v/>
      </c>
      <c r="B165" s="40" t="str">
        <f ca="1">IF(COUNTIF($W$2:W1150,A165)=1,VLOOKUP(A165,O:P,2), IF(COUNTIF($W$2:W1150,A165)=0,$B$9,""))</f>
        <v/>
      </c>
      <c r="C165" s="2" t="str">
        <f t="shared" ca="1" si="24"/>
        <v/>
      </c>
      <c r="D165" s="43" t="str">
        <f t="shared" ca="1" si="25"/>
        <v/>
      </c>
      <c r="E165" s="40" t="str">
        <f ca="1">IF(COUNTIF($W$2:W1150,A165)=1,VLOOKUP(A165,Q:R,2), IF(COUNTIF($W$2:W1150,A165)=0,$C$9,""))</f>
        <v/>
      </c>
      <c r="F165" s="2" t="str">
        <f t="shared" ca="1" si="26"/>
        <v/>
      </c>
      <c r="G165" s="43" t="str">
        <f t="shared" ca="1" si="27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8"/>
        <v/>
      </c>
      <c r="K165" s="43" t="str">
        <f t="shared" ca="1" si="29"/>
        <v/>
      </c>
      <c r="L165" s="43" t="str">
        <f ca="1">IF($A165="","",IF(COUNTIFS(Dividends!$G:$G,"&gt;"&amp;INT($A164),Dividends!$G:$G,"&lt;="&amp;INT($A165))=0,"",$H$2*SUMIFS(Dividends!$H:$H,Dividends!$G:$G,"&gt;"&amp;INT($A164),Dividends!$G:$G,"&lt;="&amp;INT($A165))))</f>
        <v/>
      </c>
      <c r="M165" s="44" t="str">
        <f ca="1">IF(ISERROR(B165-2),"",C165+D165-F165-G165-K165+SUM($L$14:L165))</f>
        <v/>
      </c>
      <c r="U165" s="3" t="str">
        <f t="shared" si="20"/>
        <v/>
      </c>
      <c r="V165" s="3" t="str">
        <f t="shared" si="21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2"/>
        <v>46009</v>
      </c>
    </row>
    <row r="166" spans="1:30" x14ac:dyDescent="0.25">
      <c r="A166" s="39" t="str">
        <f t="shared" ca="1" si="23"/>
        <v/>
      </c>
      <c r="B166" s="40" t="str">
        <f ca="1">IF(COUNTIF($W$2:W1151,A166)=1,VLOOKUP(A166,O:P,2), IF(COUNTIF($W$2:W1151,A166)=0,$B$9,""))</f>
        <v/>
      </c>
      <c r="C166" s="2" t="str">
        <f t="shared" ca="1" si="24"/>
        <v/>
      </c>
      <c r="D166" s="43" t="str">
        <f t="shared" ca="1" si="25"/>
        <v/>
      </c>
      <c r="E166" s="40" t="str">
        <f ca="1">IF(COUNTIF($W$2:W1151,A166)=1,VLOOKUP(A166,Q:R,2), IF(COUNTIF($W$2:W1151,A166)=0,$C$9,""))</f>
        <v/>
      </c>
      <c r="F166" s="2" t="str">
        <f t="shared" ca="1" si="26"/>
        <v/>
      </c>
      <c r="G166" s="43" t="str">
        <f t="shared" ca="1" si="27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8"/>
        <v/>
      </c>
      <c r="K166" s="43" t="str">
        <f t="shared" ca="1" si="29"/>
        <v/>
      </c>
      <c r="L166" s="43" t="str">
        <f ca="1">IF($A166="","",IF(COUNTIFS(Dividends!$G:$G,"&gt;"&amp;INT($A165),Dividends!$G:$G,"&lt;="&amp;INT($A166))=0,"",$H$2*SUMIFS(Dividends!$H:$H,Dividends!$G:$G,"&gt;"&amp;INT($A165),Dividends!$G:$G,"&lt;="&amp;INT($A166))))</f>
        <v/>
      </c>
      <c r="M166" s="44" t="str">
        <f ca="1">IF(ISERROR(B166-2),"",C166+D166-F166-G166-K166+SUM($L$14:L166))</f>
        <v/>
      </c>
      <c r="U166" s="3" t="str">
        <f t="shared" si="20"/>
        <v/>
      </c>
      <c r="V166" s="3" t="str">
        <f t="shared" si="21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2"/>
        <v>46010</v>
      </c>
    </row>
    <row r="167" spans="1:30" x14ac:dyDescent="0.25">
      <c r="A167" s="39" t="str">
        <f t="shared" ca="1" si="23"/>
        <v/>
      </c>
      <c r="B167" s="40" t="str">
        <f ca="1">IF(COUNTIF($W$2:W1152,A167)=1,VLOOKUP(A167,O:P,2), IF(COUNTIF($W$2:W1152,A167)=0,$B$9,""))</f>
        <v/>
      </c>
      <c r="C167" s="2" t="str">
        <f t="shared" ca="1" si="24"/>
        <v/>
      </c>
      <c r="D167" s="43" t="str">
        <f t="shared" ca="1" si="25"/>
        <v/>
      </c>
      <c r="E167" s="40" t="str">
        <f ca="1">IF(COUNTIF($W$2:W1152,A167)=1,VLOOKUP(A167,Q:R,2), IF(COUNTIF($W$2:W1152,A167)=0,$C$9,""))</f>
        <v/>
      </c>
      <c r="F167" s="2" t="str">
        <f t="shared" ca="1" si="26"/>
        <v/>
      </c>
      <c r="G167" s="43" t="str">
        <f t="shared" ca="1" si="27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8"/>
        <v/>
      </c>
      <c r="K167" s="43" t="str">
        <f t="shared" ca="1" si="29"/>
        <v/>
      </c>
      <c r="L167" s="43" t="str">
        <f ca="1">IF($A167="","",IF(COUNTIFS(Dividends!$G:$G,"&gt;"&amp;INT($A166),Dividends!$G:$G,"&lt;="&amp;INT($A167))=0,"",$H$2*SUMIFS(Dividends!$H:$H,Dividends!$G:$G,"&gt;"&amp;INT($A166),Dividends!$G:$G,"&lt;="&amp;INT($A167))))</f>
        <v/>
      </c>
      <c r="M167" s="44" t="str">
        <f ca="1">IF(ISERROR(B167-2),"",C167+D167-F167-G167-K167+SUM($L$14:L167))</f>
        <v/>
      </c>
      <c r="U167" s="3" t="str">
        <f t="shared" si="20"/>
        <v/>
      </c>
      <c r="V167" s="3" t="str">
        <f t="shared" si="21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2"/>
        <v>46013</v>
      </c>
    </row>
    <row r="168" spans="1:30" x14ac:dyDescent="0.25">
      <c r="A168" s="39" t="str">
        <f t="shared" ca="1" si="23"/>
        <v/>
      </c>
      <c r="B168" s="40" t="str">
        <f ca="1">IF(COUNTIF($W$2:W1153,A168)=1,VLOOKUP(A168,O:P,2), IF(COUNTIF($W$2:W1153,A168)=0,$B$9,""))</f>
        <v/>
      </c>
      <c r="C168" s="2" t="str">
        <f t="shared" ca="1" si="24"/>
        <v/>
      </c>
      <c r="D168" s="43" t="str">
        <f t="shared" ca="1" si="25"/>
        <v/>
      </c>
      <c r="E168" s="40" t="str">
        <f ca="1">IF(COUNTIF($W$2:W1153,A168)=1,VLOOKUP(A168,Q:R,2), IF(COUNTIF($W$2:W1153,A168)=0,$C$9,""))</f>
        <v/>
      </c>
      <c r="F168" s="2" t="str">
        <f t="shared" ca="1" si="26"/>
        <v/>
      </c>
      <c r="G168" s="43" t="str">
        <f t="shared" ca="1" si="27"/>
        <v/>
      </c>
      <c r="H168" s="40" t="str">
        <f ca="1">IF(COUNTIF($W$2:W1153,A168)=1,VLOOKUP(A168,S:T,2), IF(COUNTIF($W$2:W1153,A168)=0,$D$9,""))</f>
        <v/>
      </c>
      <c r="I168" s="41" t="str">
        <f ca="1">IF(COUNTIF($X$2:X1153,INT(A168))=1,VLOOKUP(INT(A168),X:Y,2), IF(ISERROR(H168-2),"",I167*(1-$D$8*(H168-H167)*0.0001)))</f>
        <v/>
      </c>
      <c r="J168" s="41" t="str">
        <f t="shared" ca="1" si="28"/>
        <v/>
      </c>
      <c r="K168" s="43" t="str">
        <f t="shared" ca="1" si="29"/>
        <v/>
      </c>
      <c r="L168" s="43" t="str">
        <f ca="1">IF($A168="","",IF(COUNTIFS(Dividends!$G:$G,"&gt;"&amp;INT($A167),Dividends!$G:$G,"&lt;="&amp;INT($A168))=0,"",$H$2*SUMIFS(Dividends!$H:$H,Dividends!$G:$G,"&gt;"&amp;INT($A167),Dividends!$G:$G,"&lt;="&amp;INT($A168))))</f>
        <v/>
      </c>
      <c r="M168" s="44" t="str">
        <f ca="1">IF(ISERROR(B168-2),"",C168+D168-F168-G168-K168+SUM($L$14:L168))</f>
        <v/>
      </c>
      <c r="U168" s="3" t="str">
        <f t="shared" si="20"/>
        <v/>
      </c>
      <c r="V168" s="3" t="str">
        <f t="shared" si="21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2"/>
        <v>46014</v>
      </c>
    </row>
    <row r="169" spans="1:30" x14ac:dyDescent="0.25">
      <c r="A169" s="39" t="str">
        <f t="shared" ca="1" si="23"/>
        <v/>
      </c>
      <c r="B169" s="40" t="str">
        <f ca="1">IF(COUNTIF($W$2:W1154,A169)=1,VLOOKUP(A169,O:P,2), IF(COUNTIF($W$2:W1154,A169)=0,$B$9,""))</f>
        <v/>
      </c>
      <c r="C169" s="2" t="str">
        <f t="shared" ca="1" si="24"/>
        <v/>
      </c>
      <c r="D169" s="43" t="str">
        <f t="shared" ca="1" si="25"/>
        <v/>
      </c>
      <c r="E169" s="40" t="str">
        <f ca="1">IF(COUNTIF($W$2:W1154,A169)=1,VLOOKUP(A169,Q:R,2), IF(COUNTIF($W$2:W1154,A169)=0,$C$9,""))</f>
        <v/>
      </c>
      <c r="F169" s="2" t="str">
        <f t="shared" ca="1" si="26"/>
        <v/>
      </c>
      <c r="G169" s="43" t="str">
        <f t="shared" ca="1" si="27"/>
        <v/>
      </c>
      <c r="H169" s="40" t="str">
        <f ca="1">IF(COUNTIF($W$2:W1154,A169)=1,VLOOKUP(A169,S:T,2), IF(COUNTIF($W$2:W1154,A169)=0,$D$9,""))</f>
        <v/>
      </c>
      <c r="I169" s="41" t="str">
        <f ca="1">IF(COUNTIF($X$2:X1154,INT(A169))=1,VLOOKUP(INT(A169),X:Y,2), IF(ISERROR(H169-2),"",I168*(1-$D$8*(H169-H168)*0.0001)))</f>
        <v/>
      </c>
      <c r="J169" s="41" t="str">
        <f t="shared" ca="1" si="28"/>
        <v/>
      </c>
      <c r="K169" s="43" t="str">
        <f t="shared" ca="1" si="29"/>
        <v/>
      </c>
      <c r="L169" s="43" t="str">
        <f ca="1">IF($A169="","",IF(COUNTIFS(Dividends!$G:$G,"&gt;"&amp;INT($A168),Dividends!$G:$G,"&lt;="&amp;INT($A169))=0,"",$H$2*SUMIFS(Dividends!$H:$H,Dividends!$G:$G,"&gt;"&amp;INT($A168),Dividends!$G:$G,"&lt;="&amp;INT($A169))))</f>
        <v/>
      </c>
      <c r="M169" s="44" t="str">
        <f ca="1">IF(ISERROR(B169-2),"",C169+D169-F169-G169-K169+SUM($L$14:L169))</f>
        <v/>
      </c>
      <c r="U169" s="3" t="str">
        <f t="shared" si="20"/>
        <v/>
      </c>
      <c r="V169" s="3" t="str">
        <f t="shared" si="21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2"/>
        <v>46015</v>
      </c>
    </row>
    <row r="170" spans="1:30" x14ac:dyDescent="0.25">
      <c r="A170" s="39" t="str">
        <f t="shared" ca="1" si="23"/>
        <v/>
      </c>
      <c r="B170" s="40" t="str">
        <f ca="1">IF(COUNTIF($W$2:W1155,A170)=1,VLOOKUP(A170,O:P,2), IF(COUNTIF($W$2:W1155,A170)=0,$B$9,""))</f>
        <v/>
      </c>
      <c r="C170" s="2" t="str">
        <f t="shared" ca="1" si="24"/>
        <v/>
      </c>
      <c r="D170" s="43" t="str">
        <f t="shared" ca="1" si="25"/>
        <v/>
      </c>
      <c r="E170" s="40" t="str">
        <f ca="1">IF(COUNTIF($W$2:W1155,A170)=1,VLOOKUP(A170,Q:R,2), IF(COUNTIF($W$2:W1155,A170)=0,$C$9,""))</f>
        <v/>
      </c>
      <c r="F170" s="2" t="str">
        <f t="shared" ca="1" si="26"/>
        <v/>
      </c>
      <c r="G170" s="43" t="str">
        <f t="shared" ca="1" si="27"/>
        <v/>
      </c>
      <c r="H170" s="40" t="str">
        <f ca="1">IF(COUNTIF($W$2:W1155,A170)=1,VLOOKUP(A170,S:T,2), IF(COUNTIF($W$2:W1155,A170)=0,$D$9,""))</f>
        <v/>
      </c>
      <c r="I170" s="41" t="str">
        <f ca="1">IF(COUNTIF($X$2:X1155,INT(A170))=1,VLOOKUP(INT(A170),X:Y,2), IF(ISERROR(H170-2),"",I169*(1-$D$8*(H170-H169)*0.0001)))</f>
        <v/>
      </c>
      <c r="J170" s="41" t="str">
        <f t="shared" ca="1" si="28"/>
        <v/>
      </c>
      <c r="K170" s="43" t="str">
        <f t="shared" ca="1" si="29"/>
        <v/>
      </c>
      <c r="L170" s="43" t="str">
        <f ca="1">IF($A170="","",IF(COUNTIFS(Dividends!$G:$G,"&gt;"&amp;INT($A169),Dividends!$G:$G,"&lt;="&amp;INT($A170))=0,"",$H$2*SUMIFS(Dividends!$H:$H,Dividends!$G:$G,"&gt;"&amp;INT($A169),Dividends!$G:$G,"&lt;="&amp;INT($A170))))</f>
        <v/>
      </c>
      <c r="M170" s="44" t="str">
        <f ca="1">IF(ISERROR(B170-2),"",C170+D170-F170-G170-K170+SUM($L$14:L170))</f>
        <v/>
      </c>
      <c r="U170" s="3" t="str">
        <f t="shared" si="20"/>
        <v/>
      </c>
      <c r="V170" s="3" t="str">
        <f t="shared" si="21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2"/>
        <v>46020</v>
      </c>
    </row>
    <row r="171" spans="1:30" x14ac:dyDescent="0.25">
      <c r="A171" s="39" t="str">
        <f t="shared" ca="1" si="23"/>
        <v/>
      </c>
      <c r="B171" s="40" t="str">
        <f ca="1">IF(COUNTIF($W$2:W1156,A171)=1,VLOOKUP(A171,O:P,2), IF(COUNTIF($W$2:W1156,A171)=0,$B$9,""))</f>
        <v/>
      </c>
      <c r="C171" s="2" t="str">
        <f t="shared" ca="1" si="24"/>
        <v/>
      </c>
      <c r="D171" s="43" t="str">
        <f t="shared" ca="1" si="25"/>
        <v/>
      </c>
      <c r="E171" s="40" t="str">
        <f ca="1">IF(COUNTIF($W$2:W1156,A171)=1,VLOOKUP(A171,Q:R,2), IF(COUNTIF($W$2:W1156,A171)=0,$C$9,""))</f>
        <v/>
      </c>
      <c r="F171" s="2" t="str">
        <f t="shared" ca="1" si="26"/>
        <v/>
      </c>
      <c r="G171" s="43" t="str">
        <f t="shared" ca="1" si="27"/>
        <v/>
      </c>
      <c r="H171" s="40" t="str">
        <f ca="1">IF(COUNTIF($W$2:W1156,A171)=1,VLOOKUP(A171,S:T,2), IF(COUNTIF($W$2:W1156,A171)=0,$D$9,""))</f>
        <v/>
      </c>
      <c r="I171" s="41" t="str">
        <f ca="1">IF(COUNTIF($X$2:X1156,INT(A171))=1,VLOOKUP(INT(A171),X:Y,2), IF(ISERROR(H171-2),"",I170*(1-$D$8*(H171-H170)*0.0001)))</f>
        <v/>
      </c>
      <c r="J171" s="41" t="str">
        <f t="shared" ca="1" si="28"/>
        <v/>
      </c>
      <c r="K171" s="43" t="str">
        <f t="shared" ca="1" si="29"/>
        <v/>
      </c>
      <c r="L171" s="43" t="str">
        <f ca="1">IF($A171="","",IF(COUNTIFS(Dividends!$G:$G,"&gt;"&amp;INT($A170),Dividends!$G:$G,"&lt;="&amp;INT($A171))=0,"",$H$2*SUMIFS(Dividends!$H:$H,Dividends!$G:$G,"&gt;"&amp;INT($A170),Dividends!$G:$G,"&lt;="&amp;INT($A171))))</f>
        <v/>
      </c>
      <c r="M171" s="44" t="str">
        <f ca="1">IF(ISERROR(B171-2),"",C171+D171-F171-G171-K171+SUM($L$14:L171))</f>
        <v/>
      </c>
      <c r="U171" s="3" t="str">
        <f t="shared" si="20"/>
        <v/>
      </c>
      <c r="V171" s="3" t="str">
        <f t="shared" si="21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2"/>
        <v>46021</v>
      </c>
    </row>
    <row r="172" spans="1:30" x14ac:dyDescent="0.25">
      <c r="A172" s="39" t="str">
        <f t="shared" ca="1" si="23"/>
        <v/>
      </c>
      <c r="B172" s="40" t="str">
        <f ca="1">IF(COUNTIF($W$2:W1157,A172)=1,VLOOKUP(A172,O:P,2), IF(COUNTIF($W$2:W1157,A172)=0,$B$9,""))</f>
        <v/>
      </c>
      <c r="C172" s="2" t="str">
        <f t="shared" ca="1" si="24"/>
        <v/>
      </c>
      <c r="D172" s="43" t="str">
        <f t="shared" ca="1" si="25"/>
        <v/>
      </c>
      <c r="E172" s="40" t="str">
        <f ca="1">IF(COUNTIF($W$2:W1157,A172)=1,VLOOKUP(A172,Q:R,2), IF(COUNTIF($W$2:W1157,A172)=0,$C$9,""))</f>
        <v/>
      </c>
      <c r="F172" s="2" t="str">
        <f t="shared" ca="1" si="26"/>
        <v/>
      </c>
      <c r="G172" s="43" t="str">
        <f t="shared" ca="1" si="27"/>
        <v/>
      </c>
      <c r="H172" s="40" t="str">
        <f ca="1">IF(COUNTIF($W$2:W1157,A172)=1,VLOOKUP(A172,S:T,2), IF(COUNTIF($W$2:W1157,A172)=0,$D$9,""))</f>
        <v/>
      </c>
      <c r="I172" s="41" t="str">
        <f ca="1">IF(COUNTIF($X$2:X1157,INT(A172))=1,VLOOKUP(INT(A172),X:Y,2), IF(ISERROR(H172-2),"",I171*(1-$D$8*(H172-H171)*0.0001)))</f>
        <v/>
      </c>
      <c r="J172" s="41" t="str">
        <f t="shared" ca="1" si="28"/>
        <v/>
      </c>
      <c r="K172" s="43" t="str">
        <f t="shared" ca="1" si="29"/>
        <v/>
      </c>
      <c r="L172" s="43" t="str">
        <f ca="1">IF($A172="","",IF(COUNTIFS(Dividends!$G:$G,"&gt;"&amp;INT($A171),Dividends!$G:$G,"&lt;="&amp;INT($A172))=0,"",$H$2*SUMIFS(Dividends!$H:$H,Dividends!$G:$G,"&gt;"&amp;INT($A171),Dividends!$G:$G,"&lt;="&amp;INT($A172))))</f>
        <v/>
      </c>
      <c r="M172" s="44" t="str">
        <f ca="1">IF(ISERROR(B172-2),"",C172+D172-F172-G172-K172+SUM($L$14:L172))</f>
        <v/>
      </c>
      <c r="U172" s="3" t="str">
        <f t="shared" si="20"/>
        <v/>
      </c>
      <c r="V172" s="3" t="str">
        <f t="shared" si="21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2"/>
        <v>46022</v>
      </c>
    </row>
    <row r="173" spans="1:30" x14ac:dyDescent="0.25">
      <c r="A173" s="39" t="str">
        <f t="shared" ca="1" si="23"/>
        <v/>
      </c>
      <c r="B173" s="40" t="str">
        <f ca="1">IF(COUNTIF($W$2:W1158,A173)=1,VLOOKUP(A173,O:P,2), IF(COUNTIF($W$2:W1158,A173)=0,$B$9,""))</f>
        <v/>
      </c>
      <c r="C173" s="2" t="str">
        <f t="shared" ca="1" si="24"/>
        <v/>
      </c>
      <c r="D173" s="43" t="str">
        <f t="shared" ca="1" si="25"/>
        <v/>
      </c>
      <c r="E173" s="40" t="str">
        <f ca="1">IF(COUNTIF($W$2:W1158,A173)=1,VLOOKUP(A173,Q:R,2), IF(COUNTIF($W$2:W1158,A173)=0,$C$9,""))</f>
        <v/>
      </c>
      <c r="F173" s="2" t="str">
        <f t="shared" ca="1" si="26"/>
        <v/>
      </c>
      <c r="G173" s="43" t="str">
        <f t="shared" ca="1" si="27"/>
        <v/>
      </c>
      <c r="H173" s="40" t="str">
        <f ca="1">IF(COUNTIF($W$2:W1158,A173)=1,VLOOKUP(A173,S:T,2), IF(COUNTIF($W$2:W1158,A173)=0,$D$9,""))</f>
        <v/>
      </c>
      <c r="I173" s="41" t="str">
        <f ca="1">IF(COUNTIF($X$2:X1158,INT(A173))=1,VLOOKUP(INT(A173),X:Y,2), IF(ISERROR(H173-2),"",I172*(1-$D$8*(H173-H172)*0.0001)))</f>
        <v/>
      </c>
      <c r="J173" s="41" t="str">
        <f t="shared" ca="1" si="28"/>
        <v/>
      </c>
      <c r="K173" s="43" t="str">
        <f t="shared" ca="1" si="29"/>
        <v/>
      </c>
      <c r="L173" s="43" t="str">
        <f ca="1">IF($A173="","",IF(COUNTIFS(Dividends!$G:$G,"&gt;"&amp;INT($A172),Dividends!$G:$G,"&lt;="&amp;INT($A173))=0,"",$H$2*SUMIFS(Dividends!$H:$H,Dividends!$G:$G,"&gt;"&amp;INT($A172),Dividends!$G:$G,"&lt;="&amp;INT($A173))))</f>
        <v/>
      </c>
      <c r="M173" s="44" t="str">
        <f ca="1">IF(ISERROR(B173-2),"",C173+D173-F173-G173-K173+SUM($L$14:L173))</f>
        <v/>
      </c>
      <c r="U173" s="3" t="str">
        <f t="shared" si="20"/>
        <v/>
      </c>
      <c r="V173" s="3" t="str">
        <f t="shared" si="21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2"/>
        <v>46024</v>
      </c>
    </row>
    <row r="174" spans="1:30" x14ac:dyDescent="0.25">
      <c r="A174" s="39" t="str">
        <f t="shared" ca="1" si="23"/>
        <v/>
      </c>
      <c r="B174" s="40" t="str">
        <f ca="1">IF(COUNTIF($W$2:W1159,A174)=1,VLOOKUP(A174,O:P,2), IF(COUNTIF($W$2:W1159,A174)=0,$B$9,""))</f>
        <v/>
      </c>
      <c r="C174" s="2" t="str">
        <f t="shared" ca="1" si="24"/>
        <v/>
      </c>
      <c r="D174" s="43" t="str">
        <f t="shared" ca="1" si="25"/>
        <v/>
      </c>
      <c r="E174" s="40" t="str">
        <f ca="1">IF(COUNTIF($W$2:W1159,A174)=1,VLOOKUP(A174,Q:R,2), IF(COUNTIF($W$2:W1159,A174)=0,$C$9,""))</f>
        <v/>
      </c>
      <c r="F174" s="2" t="str">
        <f t="shared" ca="1" si="26"/>
        <v/>
      </c>
      <c r="G174" s="43" t="str">
        <f t="shared" ca="1" si="27"/>
        <v/>
      </c>
      <c r="H174" s="40" t="str">
        <f ca="1">IF(COUNTIF($W$2:W1159,A174)=1,VLOOKUP(A174,S:T,2), IF(COUNTIF($W$2:W1159,A174)=0,$D$9,""))</f>
        <v/>
      </c>
      <c r="I174" s="41" t="str">
        <f ca="1">IF(COUNTIF($X$2:X1159,INT(A174))=1,VLOOKUP(INT(A174),X:Y,2), IF(ISERROR(H174-2),"",I173*(1-$D$8*(H174-H173)*0.0001)))</f>
        <v/>
      </c>
      <c r="J174" s="41" t="str">
        <f t="shared" ca="1" si="28"/>
        <v/>
      </c>
      <c r="K174" s="43" t="str">
        <f t="shared" ca="1" si="29"/>
        <v/>
      </c>
      <c r="L174" s="43" t="str">
        <f ca="1">IF($A174="","",IF(COUNTIFS(Dividends!$G:$G,"&gt;"&amp;INT($A173),Dividends!$G:$G,"&lt;="&amp;INT($A174))=0,"",$H$2*SUMIFS(Dividends!$H:$H,Dividends!$G:$G,"&gt;"&amp;INT($A173),Dividends!$G:$G,"&lt;="&amp;INT($A174))))</f>
        <v/>
      </c>
      <c r="M174" s="44" t="str">
        <f ca="1">IF(ISERROR(B174-2),"",C174+D174-F174-G174-K174+SUM($L$14:L174))</f>
        <v/>
      </c>
      <c r="U174" s="3" t="str">
        <f t="shared" si="20"/>
        <v/>
      </c>
      <c r="V174" s="3" t="str">
        <f t="shared" si="21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2"/>
        <v>46027</v>
      </c>
    </row>
    <row r="175" spans="1:30" x14ac:dyDescent="0.25">
      <c r="A175" s="39" t="str">
        <f t="shared" ca="1" si="23"/>
        <v/>
      </c>
      <c r="B175" s="40" t="str">
        <f ca="1">IF(COUNTIF($W$2:W1160,A175)=1,VLOOKUP(A175,O:P,2), IF(COUNTIF($W$2:W1160,A175)=0,$B$9,""))</f>
        <v/>
      </c>
      <c r="C175" s="2" t="str">
        <f t="shared" ca="1" si="24"/>
        <v/>
      </c>
      <c r="D175" s="43" t="str">
        <f t="shared" ca="1" si="25"/>
        <v/>
      </c>
      <c r="E175" s="40" t="str">
        <f ca="1">IF(COUNTIF($W$2:W1160,A175)=1,VLOOKUP(A175,Q:R,2), IF(COUNTIF($W$2:W1160,A175)=0,$C$9,""))</f>
        <v/>
      </c>
      <c r="F175" s="2" t="str">
        <f t="shared" ca="1" si="26"/>
        <v/>
      </c>
      <c r="G175" s="43" t="str">
        <f t="shared" ca="1" si="27"/>
        <v/>
      </c>
      <c r="H175" s="40" t="str">
        <f ca="1">IF(COUNTIF($W$2:W1160,A175)=1,VLOOKUP(A175,S:T,2), IF(COUNTIF($W$2:W1160,A175)=0,$D$9,""))</f>
        <v/>
      </c>
      <c r="I175" s="41" t="str">
        <f ca="1">IF(COUNTIF($X$2:X1160,INT(A175))=1,VLOOKUP(INT(A175),X:Y,2), IF(ISERROR(H175-2),"",I174*(1-$D$8*(H175-H174)*0.0001)))</f>
        <v/>
      </c>
      <c r="J175" s="41" t="str">
        <f t="shared" ca="1" si="28"/>
        <v/>
      </c>
      <c r="K175" s="43" t="str">
        <f t="shared" ca="1" si="29"/>
        <v/>
      </c>
      <c r="L175" s="43" t="str">
        <f ca="1">IF($A175="","",IF(COUNTIFS(Dividends!$G:$G,"&gt;"&amp;INT($A174),Dividends!$G:$G,"&lt;="&amp;INT($A175))=0,"",$H$2*SUMIFS(Dividends!$H:$H,Dividends!$G:$G,"&gt;"&amp;INT($A174),Dividends!$G:$G,"&lt;="&amp;INT($A175))))</f>
        <v/>
      </c>
      <c r="M175" s="44" t="str">
        <f ca="1">IF(ISERROR(B175-2),"",C175+D175-F175-G175-K175+SUM($L$14:L175))</f>
        <v/>
      </c>
      <c r="U175" s="3" t="str">
        <f t="shared" si="20"/>
        <v/>
      </c>
      <c r="V175" s="3" t="str">
        <f t="shared" si="21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2"/>
        <v>46028</v>
      </c>
    </row>
    <row r="176" spans="1:30" x14ac:dyDescent="0.25">
      <c r="A176" s="39" t="str">
        <f t="shared" ca="1" si="23"/>
        <v/>
      </c>
      <c r="B176" s="40" t="str">
        <f ca="1">IF(COUNTIF($W$2:W1161,A176)=1,VLOOKUP(A176,O:P,2), IF(COUNTIF($W$2:W1161,A176)=0,$B$9,""))</f>
        <v/>
      </c>
      <c r="C176" s="2" t="str">
        <f t="shared" ca="1" si="24"/>
        <v/>
      </c>
      <c r="D176" s="43" t="str">
        <f t="shared" ca="1" si="25"/>
        <v/>
      </c>
      <c r="E176" s="40" t="str">
        <f ca="1">IF(COUNTIF($W$2:W1161,A176)=1,VLOOKUP(A176,Q:R,2), IF(COUNTIF($W$2:W1161,A176)=0,$C$9,""))</f>
        <v/>
      </c>
      <c r="F176" s="2" t="str">
        <f t="shared" ca="1" si="26"/>
        <v/>
      </c>
      <c r="G176" s="43" t="str">
        <f t="shared" ca="1" si="27"/>
        <v/>
      </c>
      <c r="H176" s="40" t="str">
        <f ca="1">IF(COUNTIF($W$2:W1161,A176)=1,VLOOKUP(A176,S:T,2), IF(COUNTIF($W$2:W1161,A176)=0,$D$9,""))</f>
        <v/>
      </c>
      <c r="I176" s="41" t="str">
        <f ca="1">IF(COUNTIF($X$2:X1161,INT(A176))=1,VLOOKUP(INT(A176),X:Y,2), IF(ISERROR(H176-2),"",I175*(1-$D$8*(H176-H175)*0.0001)))</f>
        <v/>
      </c>
      <c r="J176" s="41" t="str">
        <f t="shared" ca="1" si="28"/>
        <v/>
      </c>
      <c r="K176" s="43" t="str">
        <f t="shared" ca="1" si="29"/>
        <v/>
      </c>
      <c r="L176" s="43" t="str">
        <f ca="1">IF($A176="","",IF(COUNTIFS(Dividends!$G:$G,"&gt;"&amp;INT($A175),Dividends!$G:$G,"&lt;="&amp;INT($A176))=0,"",$H$2*SUMIFS(Dividends!$H:$H,Dividends!$G:$G,"&gt;"&amp;INT($A175),Dividends!$G:$G,"&lt;="&amp;INT($A176))))</f>
        <v/>
      </c>
      <c r="M176" s="44" t="str">
        <f ca="1">IF(ISERROR(B176-2),"",C176+D176-F176-G176-K176+SUM($L$14:L176))</f>
        <v/>
      </c>
      <c r="U176" s="3" t="str">
        <f t="shared" si="20"/>
        <v/>
      </c>
      <c r="V176" s="3" t="str">
        <f t="shared" si="21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2"/>
        <v>46029</v>
      </c>
    </row>
    <row r="177" spans="1:30" x14ac:dyDescent="0.25">
      <c r="A177" s="39" t="str">
        <f t="shared" ca="1" si="23"/>
        <v/>
      </c>
      <c r="B177" s="40" t="str">
        <f ca="1">IF(COUNTIF($W$2:W1162,A177)=1,VLOOKUP(A177,O:P,2), IF(COUNTIF($W$2:W1162,A177)=0,$B$9,""))</f>
        <v/>
      </c>
      <c r="C177" s="2" t="str">
        <f t="shared" ca="1" si="24"/>
        <v/>
      </c>
      <c r="D177" s="43" t="str">
        <f t="shared" ca="1" si="25"/>
        <v/>
      </c>
      <c r="E177" s="40" t="str">
        <f ca="1">IF(COUNTIF($W$2:W1162,A177)=1,VLOOKUP(A177,Q:R,2), IF(COUNTIF($W$2:W1162,A177)=0,$C$9,""))</f>
        <v/>
      </c>
      <c r="F177" s="2" t="str">
        <f t="shared" ca="1" si="26"/>
        <v/>
      </c>
      <c r="G177" s="43" t="str">
        <f t="shared" ca="1" si="27"/>
        <v/>
      </c>
      <c r="H177" s="40" t="str">
        <f ca="1">IF(COUNTIF($W$2:W1162,A177)=1,VLOOKUP(A177,S:T,2), IF(COUNTIF($W$2:W1162,A177)=0,$D$9,""))</f>
        <v/>
      </c>
      <c r="I177" s="41" t="str">
        <f ca="1">IF(COUNTIF($X$2:X1162,INT(A177))=1,VLOOKUP(INT(A177),X:Y,2), IF(ISERROR(H177-2),"",I176*(1-$D$8*(H177-H176)*0.0001)))</f>
        <v/>
      </c>
      <c r="J177" s="41" t="str">
        <f t="shared" ca="1" si="28"/>
        <v/>
      </c>
      <c r="K177" s="43" t="str">
        <f t="shared" ca="1" si="29"/>
        <v/>
      </c>
      <c r="L177" s="43" t="str">
        <f ca="1">IF($A177="","",IF(COUNTIFS(Dividends!$G:$G,"&gt;"&amp;INT($A176),Dividends!$G:$G,"&lt;="&amp;INT($A177))=0,"",$H$2*SUMIFS(Dividends!$H:$H,Dividends!$G:$G,"&gt;"&amp;INT($A176),Dividends!$G:$G,"&lt;="&amp;INT($A177))))</f>
        <v/>
      </c>
      <c r="M177" s="44" t="str">
        <f ca="1">IF(ISERROR(B177-2),"",C177+D177-F177-G177-K177+SUM($L$14:L177))</f>
        <v/>
      </c>
      <c r="U177" s="3" t="str">
        <f t="shared" si="20"/>
        <v/>
      </c>
      <c r="V177" s="3" t="str">
        <f t="shared" si="21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2"/>
        <v>46030</v>
      </c>
    </row>
    <row r="178" spans="1:30" x14ac:dyDescent="0.25">
      <c r="A178" s="39" t="str">
        <f t="shared" ca="1" si="23"/>
        <v/>
      </c>
      <c r="B178" s="40" t="str">
        <f ca="1">IF(COUNTIF($W$2:W1163,A178)=1,VLOOKUP(A178,O:P,2), IF(COUNTIF($W$2:W1163,A178)=0,$B$9,""))</f>
        <v/>
      </c>
      <c r="C178" s="2" t="str">
        <f t="shared" ca="1" si="24"/>
        <v/>
      </c>
      <c r="D178" s="43" t="str">
        <f t="shared" ca="1" si="25"/>
        <v/>
      </c>
      <c r="E178" s="40" t="str">
        <f ca="1">IF(COUNTIF($W$2:W1163,A178)=1,VLOOKUP(A178,Q:R,2), IF(COUNTIF($W$2:W1163,A178)=0,$C$9,""))</f>
        <v/>
      </c>
      <c r="F178" s="2" t="str">
        <f t="shared" ca="1" si="26"/>
        <v/>
      </c>
      <c r="G178" s="43" t="str">
        <f t="shared" ca="1" si="27"/>
        <v/>
      </c>
      <c r="H178" s="40" t="str">
        <f ca="1">IF(COUNTIF($W$2:W1163,A178)=1,VLOOKUP(A178,S:T,2), IF(COUNTIF($W$2:W1163,A178)=0,$D$9,""))</f>
        <v/>
      </c>
      <c r="I178" s="41" t="str">
        <f ca="1">IF(COUNTIF($X$2:X1163,INT(A178))=1,VLOOKUP(INT(A178),X:Y,2), IF(ISERROR(H178-2),"",I177*(1-$D$8*(H178-H177)*0.0001)))</f>
        <v/>
      </c>
      <c r="J178" s="41" t="str">
        <f t="shared" ca="1" si="28"/>
        <v/>
      </c>
      <c r="K178" s="43" t="str">
        <f t="shared" ca="1" si="29"/>
        <v/>
      </c>
      <c r="L178" s="43" t="str">
        <f ca="1">IF($A178="","",IF(COUNTIFS(Dividends!$G:$G,"&gt;"&amp;INT($A177),Dividends!$G:$G,"&lt;="&amp;INT($A178))=0,"",$H$2*SUMIFS(Dividends!$H:$H,Dividends!$G:$G,"&gt;"&amp;INT($A177),Dividends!$G:$G,"&lt;="&amp;INT($A178))))</f>
        <v/>
      </c>
      <c r="M178" s="44" t="str">
        <f ca="1">IF(ISERROR(B178-2),"",C178+D178-F178-G178-K178+SUM($L$14:L178))</f>
        <v/>
      </c>
      <c r="U178" s="3" t="str">
        <f t="shared" si="20"/>
        <v/>
      </c>
      <c r="V178" s="3" t="str">
        <f t="shared" si="21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2"/>
        <v>46031</v>
      </c>
    </row>
    <row r="179" spans="1:30" x14ac:dyDescent="0.25">
      <c r="A179" s="39" t="str">
        <f t="shared" ca="1" si="23"/>
        <v/>
      </c>
      <c r="B179" s="40" t="str">
        <f ca="1">IF(COUNTIF($W$2:W1164,A179)=1,VLOOKUP(A179,O:P,2), IF(COUNTIF($W$2:W1164,A179)=0,$B$9,""))</f>
        <v/>
      </c>
      <c r="C179" s="2" t="str">
        <f t="shared" ca="1" si="24"/>
        <v/>
      </c>
      <c r="D179" s="43" t="str">
        <f t="shared" ca="1" si="25"/>
        <v/>
      </c>
      <c r="E179" s="40" t="str">
        <f ca="1">IF(COUNTIF($W$2:W1164,A179)=1,VLOOKUP(A179,Q:R,2), IF(COUNTIF($W$2:W1164,A179)=0,$C$9,""))</f>
        <v/>
      </c>
      <c r="F179" s="2" t="str">
        <f t="shared" ca="1" si="26"/>
        <v/>
      </c>
      <c r="G179" s="43" t="str">
        <f t="shared" ca="1" si="27"/>
        <v/>
      </c>
      <c r="H179" s="40" t="str">
        <f ca="1">IF(COUNTIF($W$2:W1164,A179)=1,VLOOKUP(A179,S:T,2), IF(COUNTIF($W$2:W1164,A179)=0,$D$9,""))</f>
        <v/>
      </c>
      <c r="I179" s="41" t="str">
        <f ca="1">IF(COUNTIF($X$2:X1164,INT(A179))=1,VLOOKUP(INT(A179),X:Y,2), IF(ISERROR(H179-2),"",I178*(1-$D$8*(H179-H178)*0.0001)))</f>
        <v/>
      </c>
      <c r="J179" s="41" t="str">
        <f t="shared" ca="1" si="28"/>
        <v/>
      </c>
      <c r="K179" s="43" t="str">
        <f t="shared" ca="1" si="29"/>
        <v/>
      </c>
      <c r="L179" s="43" t="str">
        <f ca="1">IF($A179="","",IF(COUNTIFS(Dividends!$G:$G,"&gt;"&amp;INT($A178),Dividends!$G:$G,"&lt;="&amp;INT($A179))=0,"",$H$2*SUMIFS(Dividends!$H:$H,Dividends!$G:$G,"&gt;"&amp;INT($A178),Dividends!$G:$G,"&lt;="&amp;INT($A179))))</f>
        <v/>
      </c>
      <c r="M179" s="44" t="str">
        <f ca="1">IF(ISERROR(B179-2),"",C179+D179-F179-G179-K179+SUM($L$14:L179))</f>
        <v/>
      </c>
      <c r="U179" s="3" t="str">
        <f t="shared" si="20"/>
        <v/>
      </c>
      <c r="V179" s="3" t="str">
        <f t="shared" si="21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2"/>
        <v>46034</v>
      </c>
    </row>
    <row r="180" spans="1:30" x14ac:dyDescent="0.25">
      <c r="A180" s="39" t="str">
        <f t="shared" ca="1" si="23"/>
        <v/>
      </c>
      <c r="B180" s="40" t="str">
        <f ca="1">IF(COUNTIF($W$2:W1165,A180)=1,VLOOKUP(A180,O:P,2), IF(COUNTIF($W$2:W1165,A180)=0,$B$9,""))</f>
        <v/>
      </c>
      <c r="C180" s="2" t="str">
        <f t="shared" ca="1" si="24"/>
        <v/>
      </c>
      <c r="D180" s="43" t="str">
        <f t="shared" ca="1" si="25"/>
        <v/>
      </c>
      <c r="E180" s="40" t="str">
        <f ca="1">IF(COUNTIF($W$2:W1165,A180)=1,VLOOKUP(A180,Q:R,2), IF(COUNTIF($W$2:W1165,A180)=0,$C$9,""))</f>
        <v/>
      </c>
      <c r="F180" s="2" t="str">
        <f t="shared" ca="1" si="26"/>
        <v/>
      </c>
      <c r="G180" s="43" t="str">
        <f t="shared" ca="1" si="27"/>
        <v/>
      </c>
      <c r="H180" s="40" t="str">
        <f ca="1">IF(COUNTIF($W$2:W1165,A180)=1,VLOOKUP(A180,S:T,2), IF(COUNTIF($W$2:W1165,A180)=0,$D$9,""))</f>
        <v/>
      </c>
      <c r="I180" s="41" t="str">
        <f ca="1">IF(COUNTIF($X$2:X1165,INT(A180))=1,VLOOKUP(INT(A180),X:Y,2), IF(ISERROR(H180-2),"",I179*(1-$D$8*(H180-H179)*0.0001)))</f>
        <v/>
      </c>
      <c r="J180" s="41" t="str">
        <f t="shared" ca="1" si="28"/>
        <v/>
      </c>
      <c r="K180" s="43" t="str">
        <f t="shared" ca="1" si="29"/>
        <v/>
      </c>
      <c r="L180" s="43" t="str">
        <f ca="1">IF($A180="","",IF(COUNTIFS(Dividends!$G:$G,"&gt;"&amp;INT($A179),Dividends!$G:$G,"&lt;="&amp;INT($A180))=0,"",$H$2*SUMIFS(Dividends!$H:$H,Dividends!$G:$G,"&gt;"&amp;INT($A179),Dividends!$G:$G,"&lt;="&amp;INT($A180))))</f>
        <v/>
      </c>
      <c r="M180" s="44" t="str">
        <f ca="1">IF(ISERROR(B180-2),"",C180+D180-F180-G180-K180+SUM($L$14:L180))</f>
        <v/>
      </c>
      <c r="U180" s="3" t="str">
        <f t="shared" si="20"/>
        <v/>
      </c>
      <c r="V180" s="3" t="str">
        <f t="shared" si="21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2"/>
        <v>46035</v>
      </c>
    </row>
    <row r="181" spans="1:30" x14ac:dyDescent="0.25">
      <c r="A181" s="39" t="str">
        <f t="shared" ca="1" si="23"/>
        <v/>
      </c>
      <c r="B181" s="40" t="str">
        <f ca="1">IF(COUNTIF($W$2:W1166,A181)=1,VLOOKUP(A181,O:P,2), IF(COUNTIF($W$2:W1166,A181)=0,$B$9,""))</f>
        <v/>
      </c>
      <c r="C181" s="2" t="str">
        <f t="shared" ca="1" si="24"/>
        <v/>
      </c>
      <c r="D181" s="43" t="str">
        <f t="shared" ca="1" si="25"/>
        <v/>
      </c>
      <c r="E181" s="40" t="str">
        <f ca="1">IF(COUNTIF($W$2:W1166,A181)=1,VLOOKUP(A181,Q:R,2), IF(COUNTIF($W$2:W1166,A181)=0,$C$9,""))</f>
        <v/>
      </c>
      <c r="F181" s="2" t="str">
        <f t="shared" ca="1" si="26"/>
        <v/>
      </c>
      <c r="G181" s="43" t="str">
        <f t="shared" ca="1" si="27"/>
        <v/>
      </c>
      <c r="H181" s="40" t="str">
        <f ca="1">IF(COUNTIF($W$2:W1166,A181)=1,VLOOKUP(A181,S:T,2), IF(COUNTIF($W$2:W1166,A181)=0,$D$9,""))</f>
        <v/>
      </c>
      <c r="I181" s="41" t="str">
        <f ca="1">IF(COUNTIF($X$2:X1166,INT(A181))=1,VLOOKUP(INT(A181),X:Y,2), IF(ISERROR(H181-2),"",I180*(1-$D$8*(H181-H180)*0.0001)))</f>
        <v/>
      </c>
      <c r="J181" s="41" t="str">
        <f t="shared" ca="1" si="28"/>
        <v/>
      </c>
      <c r="K181" s="43" t="str">
        <f t="shared" ca="1" si="29"/>
        <v/>
      </c>
      <c r="L181" s="43" t="str">
        <f ca="1">IF($A181="","",IF(COUNTIFS(Dividends!$G:$G,"&gt;"&amp;INT($A180),Dividends!$G:$G,"&lt;="&amp;INT($A181))=0,"",$H$2*SUMIFS(Dividends!$H:$H,Dividends!$G:$G,"&gt;"&amp;INT($A180),Dividends!$G:$G,"&lt;="&amp;INT($A181))))</f>
        <v/>
      </c>
      <c r="M181" s="44" t="str">
        <f ca="1">IF(ISERROR(B181-2),"",C181+D181-F181-G181-K181+SUM($L$14:L181))</f>
        <v/>
      </c>
      <c r="U181" s="3" t="str">
        <f t="shared" si="20"/>
        <v/>
      </c>
      <c r="V181" s="3" t="str">
        <f t="shared" si="21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2"/>
        <v>46036</v>
      </c>
    </row>
    <row r="182" spans="1:30" x14ac:dyDescent="0.25">
      <c r="A182" s="39" t="str">
        <f t="shared" ca="1" si="23"/>
        <v/>
      </c>
      <c r="B182" s="40" t="str">
        <f ca="1">IF(COUNTIF($W$2:W1167,A182)=1,VLOOKUP(A182,O:P,2), IF(COUNTIF($W$2:W1167,A182)=0,$B$9,""))</f>
        <v/>
      </c>
      <c r="C182" s="2" t="str">
        <f t="shared" ca="1" si="24"/>
        <v/>
      </c>
      <c r="D182" s="43" t="str">
        <f t="shared" ca="1" si="25"/>
        <v/>
      </c>
      <c r="E182" s="40" t="str">
        <f ca="1">IF(COUNTIF($W$2:W1167,A182)=1,VLOOKUP(A182,Q:R,2), IF(COUNTIF($W$2:W1167,A182)=0,$C$9,""))</f>
        <v/>
      </c>
      <c r="F182" s="2" t="str">
        <f t="shared" ca="1" si="26"/>
        <v/>
      </c>
      <c r="G182" s="43" t="str">
        <f t="shared" ca="1" si="27"/>
        <v/>
      </c>
      <c r="H182" s="40" t="str">
        <f ca="1">IF(COUNTIF($W$2:W1167,A182)=1,VLOOKUP(A182,S:T,2), IF(COUNTIF($W$2:W1167,A182)=0,$D$9,""))</f>
        <v/>
      </c>
      <c r="I182" s="41" t="str">
        <f ca="1">IF(COUNTIF($X$2:X1167,INT(A182))=1,VLOOKUP(INT(A182),X:Y,2), IF(ISERROR(H182-2),"",I181*(1-$D$8*(H182-H181)*0.0001)))</f>
        <v/>
      </c>
      <c r="J182" s="41" t="str">
        <f t="shared" ca="1" si="28"/>
        <v/>
      </c>
      <c r="K182" s="43" t="str">
        <f t="shared" ca="1" si="29"/>
        <v/>
      </c>
      <c r="L182" s="43" t="str">
        <f ca="1">IF($A182="","",IF(COUNTIFS(Dividends!$G:$G,"&gt;"&amp;INT($A181),Dividends!$G:$G,"&lt;="&amp;INT($A182))=0,"",$H$2*SUMIFS(Dividends!$H:$H,Dividends!$G:$G,"&gt;"&amp;INT($A181),Dividends!$G:$G,"&lt;="&amp;INT($A182))))</f>
        <v/>
      </c>
      <c r="M182" s="44" t="str">
        <f ca="1">IF(ISERROR(B182-2),"",C182+D182-F182-G182-K182+SUM($L$14:L182))</f>
        <v/>
      </c>
      <c r="U182" s="3" t="str">
        <f t="shared" si="20"/>
        <v/>
      </c>
      <c r="V182" s="3" t="str">
        <f t="shared" si="21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2"/>
        <v>46037</v>
      </c>
    </row>
    <row r="183" spans="1:30" x14ac:dyDescent="0.25">
      <c r="A183" s="39" t="str">
        <f t="shared" ca="1" si="23"/>
        <v/>
      </c>
      <c r="B183" s="40" t="str">
        <f ca="1">IF(COUNTIF($W$2:W1168,A183)=1,VLOOKUP(A183,O:P,2), IF(COUNTIF($W$2:W1168,A183)=0,$B$9,""))</f>
        <v/>
      </c>
      <c r="C183" s="2" t="str">
        <f t="shared" ca="1" si="24"/>
        <v/>
      </c>
      <c r="D183" s="43" t="str">
        <f t="shared" ca="1" si="25"/>
        <v/>
      </c>
      <c r="E183" s="40" t="str">
        <f ca="1">IF(COUNTIF($W$2:W1168,A183)=1,VLOOKUP(A183,Q:R,2), IF(COUNTIF($W$2:W1168,A183)=0,$C$9,""))</f>
        <v/>
      </c>
      <c r="F183" s="2" t="str">
        <f t="shared" ca="1" si="26"/>
        <v/>
      </c>
      <c r="G183" s="43" t="str">
        <f t="shared" ca="1" si="27"/>
        <v/>
      </c>
      <c r="H183" s="40" t="str">
        <f ca="1">IF(COUNTIF($W$2:W1168,A183)=1,VLOOKUP(A183,S:T,2), IF(COUNTIF($W$2:W1168,A183)=0,$D$9,""))</f>
        <v/>
      </c>
      <c r="I183" s="41" t="str">
        <f ca="1">IF(COUNTIF($X$2:X1168,INT(A183))=1,VLOOKUP(INT(A183),X:Y,2), IF(ISERROR(H183-2),"",I182*(1-$D$8*(H183-H182)*0.0001)))</f>
        <v/>
      </c>
      <c r="J183" s="41" t="str">
        <f t="shared" ca="1" si="28"/>
        <v/>
      </c>
      <c r="K183" s="43" t="str">
        <f t="shared" ca="1" si="29"/>
        <v/>
      </c>
      <c r="L183" s="43" t="str">
        <f ca="1">IF($A183="","",IF(COUNTIFS(Dividends!$G:$G,"&gt;"&amp;INT($A182),Dividends!$G:$G,"&lt;="&amp;INT($A183))=0,"",$H$2*SUMIFS(Dividends!$H:$H,Dividends!$G:$G,"&gt;"&amp;INT($A182),Dividends!$G:$G,"&lt;="&amp;INT($A183))))</f>
        <v/>
      </c>
      <c r="M183" s="44" t="str">
        <f ca="1">IF(ISERROR(B183-2),"",C183+D183-F183-G183-K183+SUM($L$14:L183))</f>
        <v/>
      </c>
      <c r="U183" s="3" t="str">
        <f t="shared" si="20"/>
        <v/>
      </c>
      <c r="V183" s="3" t="str">
        <f t="shared" si="21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2"/>
        <v>46038</v>
      </c>
    </row>
    <row r="184" spans="1:30" x14ac:dyDescent="0.25">
      <c r="A184" s="39" t="str">
        <f t="shared" ca="1" si="23"/>
        <v/>
      </c>
      <c r="B184" s="40" t="str">
        <f ca="1">IF(COUNTIF($W$2:W1169,A184)=1,VLOOKUP(A184,O:P,2), IF(COUNTIF($W$2:W1169,A184)=0,$B$9,""))</f>
        <v/>
      </c>
      <c r="C184" s="2" t="str">
        <f t="shared" ca="1" si="24"/>
        <v/>
      </c>
      <c r="D184" s="43" t="str">
        <f t="shared" ca="1" si="25"/>
        <v/>
      </c>
      <c r="E184" s="40" t="str">
        <f ca="1">IF(COUNTIF($W$2:W1169,A184)=1,VLOOKUP(A184,Q:R,2), IF(COUNTIF($W$2:W1169,A184)=0,$C$9,""))</f>
        <v/>
      </c>
      <c r="F184" s="2" t="str">
        <f t="shared" ca="1" si="26"/>
        <v/>
      </c>
      <c r="G184" s="43" t="str">
        <f t="shared" ca="1" si="27"/>
        <v/>
      </c>
      <c r="H184" s="40" t="str">
        <f ca="1">IF(COUNTIF($W$2:W1169,A184)=1,VLOOKUP(A184,S:T,2), IF(COUNTIF($W$2:W1169,A184)=0,$D$9,""))</f>
        <v/>
      </c>
      <c r="I184" s="41" t="str">
        <f ca="1">IF(COUNTIF($X$2:X1169,INT(A184))=1,VLOOKUP(INT(A184),X:Y,2), IF(ISERROR(H184-2),"",I183*(1-$D$8*(H184-H183)*0.0001)))</f>
        <v/>
      </c>
      <c r="J184" s="41" t="str">
        <f t="shared" ca="1" si="28"/>
        <v/>
      </c>
      <c r="K184" s="43" t="str">
        <f t="shared" ca="1" si="29"/>
        <v/>
      </c>
      <c r="L184" s="43" t="str">
        <f ca="1">IF($A184="","",IF(COUNTIFS(Dividends!$G:$G,"&gt;"&amp;INT($A183),Dividends!$G:$G,"&lt;="&amp;INT($A184))=0,"",$H$2*SUMIFS(Dividends!$H:$H,Dividends!$G:$G,"&gt;"&amp;INT($A183),Dividends!$G:$G,"&lt;="&amp;INT($A184))))</f>
        <v/>
      </c>
      <c r="M184" s="44" t="str">
        <f ca="1">IF(ISERROR(B184-2),"",C184+D184-F184-G184-K184+SUM($L$14:L184))</f>
        <v/>
      </c>
      <c r="U184" s="3" t="str">
        <f t="shared" si="20"/>
        <v/>
      </c>
      <c r="V184" s="3" t="str">
        <f t="shared" si="21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2"/>
        <v>46041</v>
      </c>
    </row>
    <row r="185" spans="1:30" x14ac:dyDescent="0.25">
      <c r="A185" s="39" t="str">
        <f t="shared" ca="1" si="23"/>
        <v/>
      </c>
      <c r="B185" s="40" t="str">
        <f ca="1">IF(COUNTIF($W$2:W1170,A185)=1,VLOOKUP(A185,O:P,2), IF(COUNTIF($W$2:W1170,A185)=0,$B$9,""))</f>
        <v/>
      </c>
      <c r="C185" s="2" t="str">
        <f t="shared" ca="1" si="24"/>
        <v/>
      </c>
      <c r="D185" s="43" t="str">
        <f t="shared" ca="1" si="25"/>
        <v/>
      </c>
      <c r="E185" s="40" t="str">
        <f ca="1">IF(COUNTIF($W$2:W1170,A185)=1,VLOOKUP(A185,Q:R,2), IF(COUNTIF($W$2:W1170,A185)=0,$C$9,""))</f>
        <v/>
      </c>
      <c r="F185" s="2" t="str">
        <f t="shared" ca="1" si="26"/>
        <v/>
      </c>
      <c r="G185" s="43" t="str">
        <f t="shared" ca="1" si="27"/>
        <v/>
      </c>
      <c r="H185" s="40" t="str">
        <f ca="1">IF(COUNTIF($W$2:W1170,A185)=1,VLOOKUP(A185,S:T,2), IF(COUNTIF($W$2:W1170,A185)=0,$D$9,""))</f>
        <v/>
      </c>
      <c r="I185" s="41" t="str">
        <f ca="1">IF(COUNTIF($X$2:X1170,INT(A185))=1,VLOOKUP(INT(A185),X:Y,2), IF(ISERROR(H185-2),"",I184*(1-$D$8*(H185-H184)*0.0001)))</f>
        <v/>
      </c>
      <c r="J185" s="41" t="str">
        <f t="shared" ca="1" si="28"/>
        <v/>
      </c>
      <c r="K185" s="43" t="str">
        <f t="shared" ca="1" si="29"/>
        <v/>
      </c>
      <c r="L185" s="43" t="str">
        <f ca="1">IF($A185="","",IF(COUNTIFS(Dividends!$G:$G,"&gt;"&amp;INT($A184),Dividends!$G:$G,"&lt;="&amp;INT($A185))=0,"",$H$2*SUMIFS(Dividends!$H:$H,Dividends!$G:$G,"&gt;"&amp;INT($A184),Dividends!$G:$G,"&lt;="&amp;INT($A185))))</f>
        <v/>
      </c>
      <c r="M185" s="44" t="str">
        <f ca="1">IF(ISERROR(B185-2),"",C185+D185-F185-G185-K185+SUM($L$14:L185))</f>
        <v/>
      </c>
      <c r="U185" s="3" t="str">
        <f t="shared" si="20"/>
        <v/>
      </c>
      <c r="V185" s="3" t="str">
        <f t="shared" si="21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2"/>
        <v>46042</v>
      </c>
    </row>
    <row r="186" spans="1:30" x14ac:dyDescent="0.25">
      <c r="A186" s="39" t="str">
        <f t="shared" ca="1" si="23"/>
        <v/>
      </c>
      <c r="B186" s="40" t="str">
        <f ca="1">IF(COUNTIF($W$2:W1171,A186)=1,VLOOKUP(A186,O:P,2), IF(COUNTIF($W$2:W1171,A186)=0,$B$9,""))</f>
        <v/>
      </c>
      <c r="C186" s="2" t="str">
        <f t="shared" ca="1" si="24"/>
        <v/>
      </c>
      <c r="D186" s="43" t="str">
        <f t="shared" ca="1" si="25"/>
        <v/>
      </c>
      <c r="E186" s="40" t="str">
        <f ca="1">IF(COUNTIF($W$2:W1171,A186)=1,VLOOKUP(A186,Q:R,2), IF(COUNTIF($W$2:W1171,A186)=0,$C$9,""))</f>
        <v/>
      </c>
      <c r="F186" s="2" t="str">
        <f t="shared" ca="1" si="26"/>
        <v/>
      </c>
      <c r="G186" s="43" t="str">
        <f t="shared" ca="1" si="27"/>
        <v/>
      </c>
      <c r="H186" s="40" t="str">
        <f ca="1">IF(COUNTIF($W$2:W1171,A186)=1,VLOOKUP(A186,S:T,2), IF(COUNTIF($W$2:W1171,A186)=0,$D$9,""))</f>
        <v/>
      </c>
      <c r="I186" s="41" t="str">
        <f ca="1">IF(COUNTIF($X$2:X1171,INT(A186))=1,VLOOKUP(INT(A186),X:Y,2), IF(ISERROR(H186-2),"",I185*(1-$D$8*(H186-H185)*0.0001)))</f>
        <v/>
      </c>
      <c r="J186" s="41" t="str">
        <f t="shared" ca="1" si="28"/>
        <v/>
      </c>
      <c r="K186" s="43" t="str">
        <f t="shared" ca="1" si="29"/>
        <v/>
      </c>
      <c r="L186" s="43" t="str">
        <f ca="1">IF($A186="","",IF(COUNTIFS(Dividends!$G:$G,"&gt;"&amp;INT($A185),Dividends!$G:$G,"&lt;="&amp;INT($A186))=0,"",$H$2*SUMIFS(Dividends!$H:$H,Dividends!$G:$G,"&gt;"&amp;INT($A185),Dividends!$G:$G,"&lt;="&amp;INT($A186))))</f>
        <v/>
      </c>
      <c r="M186" s="44" t="str">
        <f ca="1">IF(ISERROR(B186-2),"",C186+D186-F186-G186-K186+SUM($L$14:L186))</f>
        <v/>
      </c>
      <c r="U186" s="3" t="str">
        <f t="shared" si="20"/>
        <v/>
      </c>
      <c r="V186" s="3" t="str">
        <f t="shared" si="21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2"/>
        <v>46043</v>
      </c>
    </row>
    <row r="187" spans="1:30" x14ac:dyDescent="0.25">
      <c r="A187" s="39" t="str">
        <f t="shared" ca="1" si="23"/>
        <v/>
      </c>
      <c r="B187" s="40" t="str">
        <f ca="1">IF(COUNTIF($W$2:W1172,A187)=1,VLOOKUP(A187,O:P,2), IF(COUNTIF($W$2:W1172,A187)=0,$B$9,""))</f>
        <v/>
      </c>
      <c r="C187" s="2" t="str">
        <f t="shared" ca="1" si="24"/>
        <v/>
      </c>
      <c r="D187" s="43" t="str">
        <f t="shared" ca="1" si="25"/>
        <v/>
      </c>
      <c r="E187" s="40" t="str">
        <f ca="1">IF(COUNTIF($W$2:W1172,A187)=1,VLOOKUP(A187,Q:R,2), IF(COUNTIF($W$2:W1172,A187)=0,$C$9,""))</f>
        <v/>
      </c>
      <c r="F187" s="2" t="str">
        <f t="shared" ca="1" si="26"/>
        <v/>
      </c>
      <c r="G187" s="43" t="str">
        <f t="shared" ca="1" si="27"/>
        <v/>
      </c>
      <c r="H187" s="40" t="str">
        <f ca="1">IF(COUNTIF($W$2:W1172,A187)=1,VLOOKUP(A187,S:T,2), IF(COUNTIF($W$2:W1172,A187)=0,$D$9,""))</f>
        <v/>
      </c>
      <c r="I187" s="41" t="str">
        <f ca="1">IF(COUNTIF($X$2:X1172,INT(A187))=1,VLOOKUP(INT(A187),X:Y,2), IF(ISERROR(H187-2),"",I186*(1-$D$8*(H187-H186)*0.0001)))</f>
        <v/>
      </c>
      <c r="J187" s="41" t="str">
        <f t="shared" ca="1" si="28"/>
        <v/>
      </c>
      <c r="K187" s="43" t="str">
        <f t="shared" ca="1" si="29"/>
        <v/>
      </c>
      <c r="L187" s="43" t="str">
        <f ca="1">IF($A187="","",IF(COUNTIFS(Dividends!$G:$G,"&gt;"&amp;INT($A186),Dividends!$G:$G,"&lt;="&amp;INT($A187))=0,"",$H$2*SUMIFS(Dividends!$H:$H,Dividends!$G:$G,"&gt;"&amp;INT($A186),Dividends!$G:$G,"&lt;="&amp;INT($A187))))</f>
        <v/>
      </c>
      <c r="M187" s="44" t="str">
        <f ca="1">IF(ISERROR(B187-2),"",C187+D187-F187-G187-K187+SUM($L$14:L187))</f>
        <v/>
      </c>
      <c r="U187" s="3" t="str">
        <f t="shared" si="20"/>
        <v/>
      </c>
      <c r="V187" s="3" t="str">
        <f t="shared" si="21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2"/>
        <v>46044</v>
      </c>
    </row>
    <row r="188" spans="1:30" x14ac:dyDescent="0.25">
      <c r="A188" s="39" t="str">
        <f t="shared" ca="1" si="23"/>
        <v/>
      </c>
      <c r="B188" s="40" t="str">
        <f ca="1">IF(COUNTIF($W$2:W1173,A188)=1,VLOOKUP(A188,O:P,2), IF(COUNTIF($W$2:W1173,A188)=0,$B$9,""))</f>
        <v/>
      </c>
      <c r="C188" s="2" t="str">
        <f t="shared" ca="1" si="24"/>
        <v/>
      </c>
      <c r="D188" s="43" t="str">
        <f t="shared" ca="1" si="25"/>
        <v/>
      </c>
      <c r="E188" s="40" t="str">
        <f ca="1">IF(COUNTIF($W$2:W1173,A188)=1,VLOOKUP(A188,Q:R,2), IF(COUNTIF($W$2:W1173,A188)=0,$C$9,""))</f>
        <v/>
      </c>
      <c r="F188" s="2" t="str">
        <f t="shared" ca="1" si="26"/>
        <v/>
      </c>
      <c r="G188" s="43" t="str">
        <f t="shared" ca="1" si="27"/>
        <v/>
      </c>
      <c r="H188" s="40" t="str">
        <f ca="1">IF(COUNTIF($W$2:W1173,A188)=1,VLOOKUP(A188,S:T,2), IF(COUNTIF($W$2:W1173,A188)=0,$D$9,""))</f>
        <v/>
      </c>
      <c r="I188" s="41" t="str">
        <f ca="1">IF(COUNTIF($X$2:X1173,INT(A188))=1,VLOOKUP(INT(A188),X:Y,2), IF(ISERROR(H188-2),"",I187*(1-$D$8*(H188-H187)*0.0001)))</f>
        <v/>
      </c>
      <c r="J188" s="41" t="str">
        <f t="shared" ca="1" si="28"/>
        <v/>
      </c>
      <c r="K188" s="43" t="str">
        <f t="shared" ca="1" si="29"/>
        <v/>
      </c>
      <c r="L188" s="43" t="str">
        <f ca="1">IF($A188="","",IF(COUNTIFS(Dividends!$G:$G,"&gt;"&amp;INT($A187),Dividends!$G:$G,"&lt;="&amp;INT($A188))=0,"",$H$2*SUMIFS(Dividends!$H:$H,Dividends!$G:$G,"&gt;"&amp;INT($A187),Dividends!$G:$G,"&lt;="&amp;INT($A188))))</f>
        <v/>
      </c>
      <c r="M188" s="44" t="str">
        <f ca="1">IF(ISERROR(B188-2),"",C188+D188-F188-G188-K188+SUM($L$14:L188))</f>
        <v/>
      </c>
      <c r="U188" s="3" t="str">
        <f t="shared" si="20"/>
        <v/>
      </c>
      <c r="V188" s="3" t="str">
        <f t="shared" si="21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2"/>
        <v>46045</v>
      </c>
    </row>
    <row r="189" spans="1:30" x14ac:dyDescent="0.25">
      <c r="A189" s="39" t="str">
        <f t="shared" ca="1" si="23"/>
        <v/>
      </c>
      <c r="B189" s="40" t="str">
        <f ca="1">IF(COUNTIF($W$2:W1174,A189)=1,VLOOKUP(A189,O:P,2), IF(COUNTIF($W$2:W1174,A189)=0,$B$9,""))</f>
        <v/>
      </c>
      <c r="C189" s="2" t="str">
        <f t="shared" ca="1" si="24"/>
        <v/>
      </c>
      <c r="D189" s="43" t="str">
        <f t="shared" ca="1" si="25"/>
        <v/>
      </c>
      <c r="E189" s="40" t="str">
        <f ca="1">IF(COUNTIF($W$2:W1174,A189)=1,VLOOKUP(A189,Q:R,2), IF(COUNTIF($W$2:W1174,A189)=0,$C$9,""))</f>
        <v/>
      </c>
      <c r="F189" s="2" t="str">
        <f t="shared" ca="1" si="26"/>
        <v/>
      </c>
      <c r="G189" s="43" t="str">
        <f t="shared" ca="1" si="27"/>
        <v/>
      </c>
      <c r="H189" s="40" t="str">
        <f ca="1">IF(COUNTIF($W$2:W1174,A189)=1,VLOOKUP(A189,S:T,2), IF(COUNTIF($W$2:W1174,A189)=0,$D$9,""))</f>
        <v/>
      </c>
      <c r="I189" s="41" t="str">
        <f ca="1">IF(COUNTIF($X$2:X1174,INT(A189))=1,VLOOKUP(INT(A189),X:Y,2), IF(ISERROR(H189-2),"",I188*(1-$D$8*(H189-H188)*0.0001)))</f>
        <v/>
      </c>
      <c r="J189" s="41" t="str">
        <f t="shared" ca="1" si="28"/>
        <v/>
      </c>
      <c r="K189" s="43" t="str">
        <f t="shared" ca="1" si="29"/>
        <v/>
      </c>
      <c r="L189" s="43" t="str">
        <f ca="1">IF($A189="","",IF(COUNTIFS(Dividends!$G:$G,"&gt;"&amp;INT($A188),Dividends!$G:$G,"&lt;="&amp;INT($A189))=0,"",$H$2*SUMIFS(Dividends!$H:$H,Dividends!$G:$G,"&gt;"&amp;INT($A188),Dividends!$G:$G,"&lt;="&amp;INT($A189))))</f>
        <v/>
      </c>
      <c r="M189" s="44" t="str">
        <f ca="1">IF(ISERROR(B189-2),"",C189+D189-F189-G189-K189+SUM($L$14:L189))</f>
        <v/>
      </c>
      <c r="U189" s="3" t="str">
        <f t="shared" si="20"/>
        <v/>
      </c>
      <c r="V189" s="3" t="str">
        <f t="shared" si="21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2"/>
        <v>46048</v>
      </c>
    </row>
    <row r="190" spans="1:30" x14ac:dyDescent="0.25">
      <c r="A190" s="39" t="str">
        <f t="shared" ca="1" si="23"/>
        <v/>
      </c>
      <c r="B190" s="40" t="str">
        <f ca="1">IF(COUNTIF($W$2:W1175,A190)=1,VLOOKUP(A190,O:P,2), IF(COUNTIF($W$2:W1175,A190)=0,$B$9,""))</f>
        <v/>
      </c>
      <c r="C190" s="2" t="str">
        <f t="shared" ca="1" si="24"/>
        <v/>
      </c>
      <c r="D190" s="43" t="str">
        <f t="shared" ca="1" si="25"/>
        <v/>
      </c>
      <c r="E190" s="40" t="str">
        <f ca="1">IF(COUNTIF($W$2:W1175,A190)=1,VLOOKUP(A190,Q:R,2), IF(COUNTIF($W$2:W1175,A190)=0,$C$9,""))</f>
        <v/>
      </c>
      <c r="F190" s="2" t="str">
        <f t="shared" ca="1" si="26"/>
        <v/>
      </c>
      <c r="G190" s="43" t="str">
        <f t="shared" ca="1" si="27"/>
        <v/>
      </c>
      <c r="H190" s="40" t="str">
        <f ca="1">IF(COUNTIF($W$2:W1175,A190)=1,VLOOKUP(A190,S:T,2), IF(COUNTIF($W$2:W1175,A190)=0,$D$9,""))</f>
        <v/>
      </c>
      <c r="I190" s="41" t="str">
        <f ca="1">IF(COUNTIF($X$2:X1175,INT(A190))=1,VLOOKUP(INT(A190),X:Y,2), IF(ISERROR(H190-2),"",I189*(1-$D$8*(H190-H189)*0.0001)))</f>
        <v/>
      </c>
      <c r="J190" s="41" t="str">
        <f t="shared" ca="1" si="28"/>
        <v/>
      </c>
      <c r="K190" s="43" t="str">
        <f t="shared" ca="1" si="29"/>
        <v/>
      </c>
      <c r="L190" s="43" t="str">
        <f ca="1">IF($A190="","",IF(COUNTIFS(Dividends!$G:$G,"&gt;"&amp;INT($A189),Dividends!$G:$G,"&lt;="&amp;INT($A190))=0,"",$H$2*SUMIFS(Dividends!$H:$H,Dividends!$G:$G,"&gt;"&amp;INT($A189),Dividends!$G:$G,"&lt;="&amp;INT($A190))))</f>
        <v/>
      </c>
      <c r="M190" s="44" t="str">
        <f ca="1">IF(ISERROR(B190-2),"",C190+D190-F190-G190-K190+SUM($L$14:L190))</f>
        <v/>
      </c>
      <c r="U190" s="3" t="str">
        <f t="shared" si="20"/>
        <v/>
      </c>
      <c r="V190" s="3" t="str">
        <f t="shared" si="21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2"/>
        <v>46049</v>
      </c>
    </row>
    <row r="191" spans="1:30" x14ac:dyDescent="0.25">
      <c r="A191" s="39" t="str">
        <f t="shared" ca="1" si="23"/>
        <v/>
      </c>
      <c r="B191" s="40" t="str">
        <f ca="1">IF(COUNTIF($W$2:W1176,A191)=1,VLOOKUP(A191,O:P,2), IF(COUNTIF($W$2:W1176,A191)=0,$B$9,""))</f>
        <v/>
      </c>
      <c r="C191" s="2" t="str">
        <f t="shared" ca="1" si="24"/>
        <v/>
      </c>
      <c r="D191" s="43" t="str">
        <f t="shared" ca="1" si="25"/>
        <v/>
      </c>
      <c r="E191" s="40" t="str">
        <f ca="1">IF(COUNTIF($W$2:W1176,A191)=1,VLOOKUP(A191,Q:R,2), IF(COUNTIF($W$2:W1176,A191)=0,$C$9,""))</f>
        <v/>
      </c>
      <c r="F191" s="2" t="str">
        <f t="shared" ca="1" si="26"/>
        <v/>
      </c>
      <c r="G191" s="43" t="str">
        <f t="shared" ca="1" si="27"/>
        <v/>
      </c>
      <c r="H191" s="40" t="str">
        <f ca="1">IF(COUNTIF($W$2:W1176,A191)=1,VLOOKUP(A191,S:T,2), IF(COUNTIF($W$2:W1176,A191)=0,$D$9,""))</f>
        <v/>
      </c>
      <c r="I191" s="41" t="str">
        <f ca="1">IF(COUNTIF($X$2:X1176,INT(A191))=1,VLOOKUP(INT(A191),X:Y,2), IF(ISERROR(H191-2),"",I190*(1-$D$8*(H191-H190)*0.0001)))</f>
        <v/>
      </c>
      <c r="J191" s="41" t="str">
        <f t="shared" ca="1" si="28"/>
        <v/>
      </c>
      <c r="K191" s="43" t="str">
        <f t="shared" ca="1" si="29"/>
        <v/>
      </c>
      <c r="L191" s="43" t="str">
        <f ca="1">IF($A191="","",IF(COUNTIFS(Dividends!$G:$G,"&gt;"&amp;INT($A190),Dividends!$G:$G,"&lt;="&amp;INT($A191))=0,"",$H$2*SUMIFS(Dividends!$H:$H,Dividends!$G:$G,"&gt;"&amp;INT($A190),Dividends!$G:$G,"&lt;="&amp;INT($A191))))</f>
        <v/>
      </c>
      <c r="M191" s="44" t="str">
        <f ca="1">IF(ISERROR(B191-2),"",C191+D191-F191-G191-K191+SUM($L$14:L191))</f>
        <v/>
      </c>
      <c r="U191" s="3" t="str">
        <f t="shared" si="20"/>
        <v/>
      </c>
      <c r="V191" s="3" t="str">
        <f t="shared" si="21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2"/>
        <v>46050</v>
      </c>
    </row>
    <row r="192" spans="1:30" x14ac:dyDescent="0.25">
      <c r="A192" s="39" t="str">
        <f t="shared" ca="1" si="23"/>
        <v/>
      </c>
      <c r="B192" s="40" t="str">
        <f ca="1">IF(COUNTIF($W$2:W1177,A192)=1,VLOOKUP(A192,O:P,2), IF(COUNTIF($W$2:W1177,A192)=0,$B$9,""))</f>
        <v/>
      </c>
      <c r="C192" s="2" t="str">
        <f t="shared" ca="1" si="24"/>
        <v/>
      </c>
      <c r="D192" s="43" t="str">
        <f t="shared" ca="1" si="25"/>
        <v/>
      </c>
      <c r="E192" s="40" t="str">
        <f ca="1">IF(COUNTIF($W$2:W1177,A192)=1,VLOOKUP(A192,Q:R,2), IF(COUNTIF($W$2:W1177,A192)=0,$C$9,""))</f>
        <v/>
      </c>
      <c r="F192" s="2" t="str">
        <f t="shared" ca="1" si="26"/>
        <v/>
      </c>
      <c r="G192" s="43" t="str">
        <f t="shared" ca="1" si="27"/>
        <v/>
      </c>
      <c r="H192" s="40" t="str">
        <f ca="1">IF(COUNTIF($W$2:W1177,A192)=1,VLOOKUP(A192,S:T,2), IF(COUNTIF($W$2:W1177,A192)=0,$D$9,""))</f>
        <v/>
      </c>
      <c r="I192" s="41" t="str">
        <f ca="1">IF(COUNTIF($X$2:X1177,INT(A192))=1,VLOOKUP(INT(A192),X:Y,2), IF(ISERROR(H192-2),"",I191*(1-$D$8*(H192-H191)*0.0001)))</f>
        <v/>
      </c>
      <c r="J192" s="41" t="str">
        <f t="shared" ca="1" si="28"/>
        <v/>
      </c>
      <c r="K192" s="43" t="str">
        <f t="shared" ca="1" si="29"/>
        <v/>
      </c>
      <c r="L192" s="43" t="str">
        <f ca="1">IF($A192="","",IF(COUNTIFS(Dividends!$G:$G,"&gt;"&amp;INT($A191),Dividends!$G:$G,"&lt;="&amp;INT($A192))=0,"",$H$2*SUMIFS(Dividends!$H:$H,Dividends!$G:$G,"&gt;"&amp;INT($A191),Dividends!$G:$G,"&lt;="&amp;INT($A192))))</f>
        <v/>
      </c>
      <c r="M192" s="44" t="str">
        <f ca="1">IF(ISERROR(B192-2),"",C192+D192-F192-G192-K192+SUM($L$14:L192))</f>
        <v/>
      </c>
      <c r="U192" s="3" t="str">
        <f t="shared" si="20"/>
        <v/>
      </c>
      <c r="V192" s="3" t="str">
        <f t="shared" si="21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2"/>
        <v>46051</v>
      </c>
    </row>
    <row r="193" spans="1:30" x14ac:dyDescent="0.25">
      <c r="A193" s="39" t="str">
        <f t="shared" ca="1" si="23"/>
        <v/>
      </c>
      <c r="B193" s="40" t="str">
        <f ca="1">IF(COUNTIF($W$2:W1178,A193)=1,VLOOKUP(A193,O:P,2), IF(COUNTIF($W$2:W1178,A193)=0,$B$9,""))</f>
        <v/>
      </c>
      <c r="C193" s="2" t="str">
        <f t="shared" ca="1" si="24"/>
        <v/>
      </c>
      <c r="D193" s="43" t="str">
        <f t="shared" ca="1" si="25"/>
        <v/>
      </c>
      <c r="E193" s="40" t="str">
        <f ca="1">IF(COUNTIF($W$2:W1178,A193)=1,VLOOKUP(A193,Q:R,2), IF(COUNTIF($W$2:W1178,A193)=0,$C$9,""))</f>
        <v/>
      </c>
      <c r="F193" s="2" t="str">
        <f t="shared" ca="1" si="26"/>
        <v/>
      </c>
      <c r="G193" s="43" t="str">
        <f t="shared" ca="1" si="27"/>
        <v/>
      </c>
      <c r="H193" s="40" t="str">
        <f ca="1">IF(COUNTIF($W$2:W1178,A193)=1,VLOOKUP(A193,S:T,2), IF(COUNTIF($W$2:W1178,A193)=0,$D$9,""))</f>
        <v/>
      </c>
      <c r="I193" s="41" t="str">
        <f ca="1">IF(COUNTIF($X$2:X1178,INT(A193))=1,VLOOKUP(INT(A193),X:Y,2), IF(ISERROR(H193-2),"",I192*(1-$D$8*(H193-H192)*0.0001)))</f>
        <v/>
      </c>
      <c r="J193" s="41" t="str">
        <f t="shared" ca="1" si="28"/>
        <v/>
      </c>
      <c r="K193" s="43" t="str">
        <f t="shared" ca="1" si="29"/>
        <v/>
      </c>
      <c r="L193" s="43" t="str">
        <f ca="1">IF($A193="","",IF(COUNTIFS(Dividends!$G:$G,"&gt;"&amp;INT($A192),Dividends!$G:$G,"&lt;="&amp;INT($A193))=0,"",$H$2*SUMIFS(Dividends!$H:$H,Dividends!$G:$G,"&gt;"&amp;INT($A192),Dividends!$G:$G,"&lt;="&amp;INT($A193))))</f>
        <v/>
      </c>
      <c r="M193" s="44" t="str">
        <f ca="1">IF(ISERROR(B193-2),"",C193+D193-F193-G193-K193+SUM($L$14:L193))</f>
        <v/>
      </c>
      <c r="U193" s="3" t="str">
        <f t="shared" si="20"/>
        <v/>
      </c>
      <c r="V193" s="3" t="str">
        <f t="shared" si="21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2"/>
        <v>46052</v>
      </c>
    </row>
    <row r="194" spans="1:30" x14ac:dyDescent="0.25">
      <c r="A194" s="39" t="str">
        <f t="shared" ca="1" si="23"/>
        <v/>
      </c>
      <c r="B194" s="40" t="str">
        <f ca="1">IF(COUNTIF($W$2:W1179,A194)=1,VLOOKUP(A194,O:P,2), IF(COUNTIF($W$2:W1179,A194)=0,$B$9,""))</f>
        <v/>
      </c>
      <c r="C194" s="2" t="str">
        <f t="shared" ca="1" si="24"/>
        <v/>
      </c>
      <c r="D194" s="43" t="str">
        <f t="shared" ca="1" si="25"/>
        <v/>
      </c>
      <c r="E194" s="40" t="str">
        <f ca="1">IF(COUNTIF($W$2:W1179,A194)=1,VLOOKUP(A194,Q:R,2), IF(COUNTIF($W$2:W1179,A194)=0,$C$9,""))</f>
        <v/>
      </c>
      <c r="F194" s="2" t="str">
        <f t="shared" ca="1" si="26"/>
        <v/>
      </c>
      <c r="G194" s="43" t="str">
        <f t="shared" ca="1" si="27"/>
        <v/>
      </c>
      <c r="H194" s="40" t="str">
        <f ca="1">IF(COUNTIF($W$2:W1179,A194)=1,VLOOKUP(A194,S:T,2), IF(COUNTIF($W$2:W1179,A194)=0,$D$9,""))</f>
        <v/>
      </c>
      <c r="I194" s="41" t="str">
        <f ca="1">IF(COUNTIF($X$2:X1179,INT(A194))=1,VLOOKUP(INT(A194),X:Y,2), IF(ISERROR(H194-2),"",I193*(1-$D$8*(H194-H193)*0.0001)))</f>
        <v/>
      </c>
      <c r="J194" s="41" t="str">
        <f t="shared" ca="1" si="28"/>
        <v/>
      </c>
      <c r="K194" s="43" t="str">
        <f t="shared" ca="1" si="29"/>
        <v/>
      </c>
      <c r="L194" s="43" t="str">
        <f ca="1">IF($A194="","",IF(COUNTIFS(Dividends!$G:$G,"&gt;"&amp;INT($A193),Dividends!$G:$G,"&lt;="&amp;INT($A194))=0,"",$H$2*SUMIFS(Dividends!$H:$H,Dividends!$G:$G,"&gt;"&amp;INT($A193),Dividends!$G:$G,"&lt;="&amp;INT($A194))))</f>
        <v/>
      </c>
      <c r="M194" s="44" t="str">
        <f ca="1">IF(ISERROR(B194-2),"",C194+D194-F194-G194-K194+SUM($L$14:L194))</f>
        <v/>
      </c>
      <c r="U194" s="3" t="str">
        <f t="shared" si="20"/>
        <v/>
      </c>
      <c r="V194" s="3" t="str">
        <f t="shared" si="21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2"/>
        <v>46055</v>
      </c>
    </row>
    <row r="195" spans="1:30" x14ac:dyDescent="0.25">
      <c r="A195" s="39" t="str">
        <f t="shared" ca="1" si="23"/>
        <v/>
      </c>
      <c r="B195" s="40" t="str">
        <f ca="1">IF(COUNTIF($W$2:W1180,A195)=1,VLOOKUP(A195,O:P,2), IF(COUNTIF($W$2:W1180,A195)=0,$B$9,""))</f>
        <v/>
      </c>
      <c r="C195" s="2" t="str">
        <f t="shared" ca="1" si="24"/>
        <v/>
      </c>
      <c r="D195" s="43" t="str">
        <f t="shared" ca="1" si="25"/>
        <v/>
      </c>
      <c r="E195" s="40" t="str">
        <f ca="1">IF(COUNTIF($W$2:W1180,A195)=1,VLOOKUP(A195,Q:R,2), IF(COUNTIF($W$2:W1180,A195)=0,$C$9,""))</f>
        <v/>
      </c>
      <c r="F195" s="2" t="str">
        <f t="shared" ca="1" si="26"/>
        <v/>
      </c>
      <c r="G195" s="43" t="str">
        <f t="shared" ca="1" si="27"/>
        <v/>
      </c>
      <c r="H195" s="40" t="str">
        <f ca="1">IF(COUNTIF($W$2:W1180,A195)=1,VLOOKUP(A195,S:T,2), IF(COUNTIF($W$2:W1180,A195)=0,$D$9,""))</f>
        <v/>
      </c>
      <c r="I195" s="41" t="str">
        <f ca="1">IF(COUNTIF($X$2:X1180,INT(A195))=1,VLOOKUP(INT(A195),X:Y,2), IF(ISERROR(H195-2),"",I194*(1-$D$8*(H195-H194)*0.0001)))</f>
        <v/>
      </c>
      <c r="J195" s="41" t="str">
        <f t="shared" ca="1" si="28"/>
        <v/>
      </c>
      <c r="K195" s="43" t="str">
        <f t="shared" ca="1" si="29"/>
        <v/>
      </c>
      <c r="L195" s="43" t="str">
        <f ca="1">IF($A195="","",IF(COUNTIFS(Dividends!$G:$G,"&gt;"&amp;INT($A194),Dividends!$G:$G,"&lt;="&amp;INT($A195))=0,"",$H$2*SUMIFS(Dividends!$H:$H,Dividends!$G:$G,"&gt;"&amp;INT($A194),Dividends!$G:$G,"&lt;="&amp;INT($A195))))</f>
        <v/>
      </c>
      <c r="M195" s="44" t="str">
        <f ca="1">IF(ISERROR(B195-2),"",C195+D195-F195-G195-K195+SUM($L$14:L195))</f>
        <v/>
      </c>
      <c r="U195" s="3" t="str">
        <f t="shared" si="20"/>
        <v/>
      </c>
      <c r="V195" s="3" t="str">
        <f t="shared" si="21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2"/>
        <v>46056</v>
      </c>
    </row>
    <row r="196" spans="1:30" x14ac:dyDescent="0.25">
      <c r="A196" s="39" t="str">
        <f t="shared" ca="1" si="23"/>
        <v/>
      </c>
      <c r="B196" s="40" t="str">
        <f ca="1">IF(COUNTIF($W$2:W1181,A196)=1,VLOOKUP(A196,O:P,2), IF(COUNTIF($W$2:W1181,A196)=0,$B$9,""))</f>
        <v/>
      </c>
      <c r="C196" s="2" t="str">
        <f t="shared" ca="1" si="24"/>
        <v/>
      </c>
      <c r="D196" s="43" t="str">
        <f t="shared" ca="1" si="25"/>
        <v/>
      </c>
      <c r="E196" s="40" t="str">
        <f ca="1">IF(COUNTIF($W$2:W1181,A196)=1,VLOOKUP(A196,Q:R,2), IF(COUNTIF($W$2:W1181,A196)=0,$C$9,""))</f>
        <v/>
      </c>
      <c r="F196" s="2" t="str">
        <f t="shared" ca="1" si="26"/>
        <v/>
      </c>
      <c r="G196" s="43" t="str">
        <f t="shared" ca="1" si="27"/>
        <v/>
      </c>
      <c r="H196" s="40" t="str">
        <f ca="1">IF(COUNTIF($W$2:W1181,A196)=1,VLOOKUP(A196,S:T,2), IF(COUNTIF($W$2:W1181,A196)=0,$D$9,""))</f>
        <v/>
      </c>
      <c r="I196" s="41" t="str">
        <f ca="1">IF(COUNTIF($X$2:X1181,INT(A196))=1,VLOOKUP(INT(A196),X:Y,2), IF(ISERROR(H196-2),"",I195*(1-$D$8*(H196-H195)*0.0001)))</f>
        <v/>
      </c>
      <c r="J196" s="41" t="str">
        <f t="shared" ca="1" si="28"/>
        <v/>
      </c>
      <c r="K196" s="43" t="str">
        <f t="shared" ca="1" si="29"/>
        <v/>
      </c>
      <c r="L196" s="43" t="str">
        <f ca="1">IF($A196="","",IF(COUNTIFS(Dividends!$G:$G,"&gt;"&amp;INT($A195),Dividends!$G:$G,"&lt;="&amp;INT($A196))=0,"",$H$2*SUMIFS(Dividends!$H:$H,Dividends!$G:$G,"&gt;"&amp;INT($A195),Dividends!$G:$G,"&lt;="&amp;INT($A196))))</f>
        <v/>
      </c>
      <c r="M196" s="44" t="str">
        <f ca="1">IF(ISERROR(B196-2),"",C196+D196-F196-G196-K196+SUM($L$14:L196))</f>
        <v/>
      </c>
      <c r="U196" s="3" t="str">
        <f t="shared" ref="U196:U259" si="30">IF(COUNTIF(Q:Q,O196)*COUNTIF(S:S,O196),O196,"")</f>
        <v/>
      </c>
      <c r="V196" s="3" t="str">
        <f t="shared" ref="V196:V259" si="31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32">IF(COUNTIF(AB:AB,Z196),Z196,"")</f>
        <v>46057</v>
      </c>
    </row>
    <row r="197" spans="1:30" x14ac:dyDescent="0.25">
      <c r="A197" s="39" t="str">
        <f t="shared" ca="1" si="23"/>
        <v/>
      </c>
      <c r="B197" s="40" t="str">
        <f ca="1">IF(COUNTIF($W$2:W1182,A197)=1,VLOOKUP(A197,O:P,2), IF(COUNTIF($W$2:W1182,A197)=0,$B$9,""))</f>
        <v/>
      </c>
      <c r="C197" s="2" t="str">
        <f t="shared" ca="1" si="24"/>
        <v/>
      </c>
      <c r="D197" s="43" t="str">
        <f t="shared" ca="1" si="25"/>
        <v/>
      </c>
      <c r="E197" s="40" t="str">
        <f ca="1">IF(COUNTIF($W$2:W1182,A197)=1,VLOOKUP(A197,Q:R,2), IF(COUNTIF($W$2:W1182,A197)=0,$C$9,""))</f>
        <v/>
      </c>
      <c r="F197" s="2" t="str">
        <f t="shared" ca="1" si="26"/>
        <v/>
      </c>
      <c r="G197" s="43" t="str">
        <f t="shared" ca="1" si="27"/>
        <v/>
      </c>
      <c r="H197" s="40" t="str">
        <f ca="1">IF(COUNTIF($W$2:W1182,A197)=1,VLOOKUP(A197,S:T,2), IF(COUNTIF($W$2:W1182,A197)=0,$D$9,""))</f>
        <v/>
      </c>
      <c r="I197" s="41" t="str">
        <f ca="1">IF(COUNTIF($X$2:X1182,INT(A197))=1,VLOOKUP(INT(A197),X:Y,2), IF(ISERROR(H197-2),"",I196*(1-$D$8*(H197-H196)*0.0001)))</f>
        <v/>
      </c>
      <c r="J197" s="41" t="str">
        <f t="shared" ca="1" si="28"/>
        <v/>
      </c>
      <c r="K197" s="43" t="str">
        <f t="shared" ca="1" si="29"/>
        <v/>
      </c>
      <c r="L197" s="43" t="str">
        <f ca="1">IF($A197="","",IF(COUNTIFS(Dividends!$G:$G,"&gt;"&amp;INT($A196),Dividends!$G:$G,"&lt;="&amp;INT($A197))=0,"",$H$2*SUMIFS(Dividends!$H:$H,Dividends!$G:$G,"&gt;"&amp;INT($A196),Dividends!$G:$G,"&lt;="&amp;INT($A197))))</f>
        <v/>
      </c>
      <c r="M197" s="44" t="str">
        <f ca="1">IF(ISERROR(B197-2),"",C197+D197-F197-G197-K197+SUM($L$14:L197))</f>
        <v/>
      </c>
      <c r="U197" s="3" t="str">
        <f t="shared" si="30"/>
        <v/>
      </c>
      <c r="V197" s="3" t="str">
        <f t="shared" si="31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32"/>
        <v>46058</v>
      </c>
    </row>
    <row r="198" spans="1:30" x14ac:dyDescent="0.25">
      <c r="A198" s="39" t="str">
        <f t="shared" ca="1" si="23"/>
        <v/>
      </c>
      <c r="B198" s="40" t="str">
        <f ca="1">IF(COUNTIF($W$2:W1183,A198)=1,VLOOKUP(A198,O:P,2), IF(COUNTIF($W$2:W1183,A198)=0,$B$9,""))</f>
        <v/>
      </c>
      <c r="C198" s="2" t="str">
        <f t="shared" ca="1" si="24"/>
        <v/>
      </c>
      <c r="D198" s="43" t="str">
        <f t="shared" ca="1" si="25"/>
        <v/>
      </c>
      <c r="E198" s="40" t="str">
        <f ca="1">IF(COUNTIF($W$2:W1183,A198)=1,VLOOKUP(A198,Q:R,2), IF(COUNTIF($W$2:W1183,A198)=0,$C$9,""))</f>
        <v/>
      </c>
      <c r="F198" s="2" t="str">
        <f t="shared" ca="1" si="26"/>
        <v/>
      </c>
      <c r="G198" s="43" t="str">
        <f t="shared" ca="1" si="27"/>
        <v/>
      </c>
      <c r="H198" s="40" t="str">
        <f ca="1">IF(COUNTIF($W$2:W1183,A198)=1,VLOOKUP(A198,S:T,2), IF(COUNTIF($W$2:W1183,A198)=0,$D$9,""))</f>
        <v/>
      </c>
      <c r="I198" s="41" t="str">
        <f ca="1">IF(COUNTIF($X$2:X1183,INT(A198))=1,VLOOKUP(INT(A198),X:Y,2), IF(ISERROR(H198-2),"",I197*(1-$D$8*(H198-H197)*0.0001)))</f>
        <v/>
      </c>
      <c r="J198" s="41" t="str">
        <f t="shared" ca="1" si="28"/>
        <v/>
      </c>
      <c r="K198" s="43" t="str">
        <f t="shared" ca="1" si="29"/>
        <v/>
      </c>
      <c r="L198" s="43" t="str">
        <f ca="1">IF($A198="","",IF(COUNTIFS(Dividends!$G:$G,"&gt;"&amp;INT($A197),Dividends!$G:$G,"&lt;="&amp;INT($A198))=0,"",$H$2*SUMIFS(Dividends!$H:$H,Dividends!$G:$G,"&gt;"&amp;INT($A197),Dividends!$G:$G,"&lt;="&amp;INT($A198))))</f>
        <v/>
      </c>
      <c r="M198" s="44" t="str">
        <f ca="1">IF(ISERROR(B198-2),"",C198+D198-F198-G198-K198+SUM($L$14:L198))</f>
        <v/>
      </c>
      <c r="U198" s="3" t="str">
        <f t="shared" si="30"/>
        <v/>
      </c>
      <c r="V198" s="3" t="str">
        <f t="shared" si="31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32"/>
        <v>46059</v>
      </c>
    </row>
    <row r="199" spans="1:30" x14ac:dyDescent="0.25">
      <c r="A199" s="39" t="str">
        <f t="shared" ca="1" si="23"/>
        <v/>
      </c>
      <c r="B199" s="40" t="str">
        <f ca="1">IF(COUNTIF($W$2:W1184,A199)=1,VLOOKUP(A199,O:P,2), IF(COUNTIF($W$2:W1184,A199)=0,$B$9,""))</f>
        <v/>
      </c>
      <c r="C199" s="2" t="str">
        <f t="shared" ca="1" si="24"/>
        <v/>
      </c>
      <c r="D199" s="43" t="str">
        <f t="shared" ca="1" si="25"/>
        <v/>
      </c>
      <c r="E199" s="40" t="str">
        <f ca="1">IF(COUNTIF($W$2:W1184,A199)=1,VLOOKUP(A199,Q:R,2), IF(COUNTIF($W$2:W1184,A199)=0,$C$9,""))</f>
        <v/>
      </c>
      <c r="F199" s="2" t="str">
        <f t="shared" ca="1" si="26"/>
        <v/>
      </c>
      <c r="G199" s="43" t="str">
        <f t="shared" ca="1" si="27"/>
        <v/>
      </c>
      <c r="H199" s="40" t="str">
        <f ca="1">IF(COUNTIF($W$2:W1184,A199)=1,VLOOKUP(A199,S:T,2), IF(COUNTIF($W$2:W1184,A199)=0,$D$9,""))</f>
        <v/>
      </c>
      <c r="I199" s="41" t="str">
        <f ca="1">IF(COUNTIF($X$2:X1184,INT(A199))=1,VLOOKUP(INT(A199),X:Y,2), IF(ISERROR(H199-2),"",I198*(1-$D$8*(H199-H198)*0.0001)))</f>
        <v/>
      </c>
      <c r="J199" s="41" t="str">
        <f t="shared" ca="1" si="28"/>
        <v/>
      </c>
      <c r="K199" s="43" t="str">
        <f t="shared" ca="1" si="29"/>
        <v/>
      </c>
      <c r="L199" s="43" t="str">
        <f ca="1">IF($A199="","",IF(COUNTIFS(Dividends!$G:$G,"&gt;"&amp;INT($A198),Dividends!$G:$G,"&lt;="&amp;INT($A199))=0,"",$H$2*SUMIFS(Dividends!$H:$H,Dividends!$G:$G,"&gt;"&amp;INT($A198),Dividends!$G:$G,"&lt;="&amp;INT($A199))))</f>
        <v/>
      </c>
      <c r="M199" s="44" t="str">
        <f ca="1">IF(ISERROR(B199-2),"",C199+D199-F199-G199-K199+SUM($L$14:L199))</f>
        <v/>
      </c>
      <c r="U199" s="3" t="str">
        <f t="shared" si="30"/>
        <v/>
      </c>
      <c r="V199" s="3" t="str">
        <f t="shared" si="31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32"/>
        <v>46062</v>
      </c>
    </row>
    <row r="200" spans="1:30" x14ac:dyDescent="0.25">
      <c r="A200" s="39" t="str">
        <f t="shared" ca="1" si="23"/>
        <v/>
      </c>
      <c r="B200" s="40" t="str">
        <f ca="1">IF(COUNTIF($W$2:W1185,A200)=1,VLOOKUP(A200,O:P,2), IF(COUNTIF($W$2:W1185,A200)=0,$B$9,""))</f>
        <v/>
      </c>
      <c r="C200" s="2" t="str">
        <f t="shared" ca="1" si="24"/>
        <v/>
      </c>
      <c r="D200" s="43" t="str">
        <f t="shared" ca="1" si="25"/>
        <v/>
      </c>
      <c r="E200" s="40" t="str">
        <f ca="1">IF(COUNTIF($W$2:W1185,A200)=1,VLOOKUP(A200,Q:R,2), IF(COUNTIF($W$2:W1185,A200)=0,$C$9,""))</f>
        <v/>
      </c>
      <c r="F200" s="2" t="str">
        <f t="shared" ca="1" si="26"/>
        <v/>
      </c>
      <c r="G200" s="43" t="str">
        <f t="shared" ca="1" si="27"/>
        <v/>
      </c>
      <c r="H200" s="40" t="str">
        <f ca="1">IF(COUNTIF($W$2:W1185,A200)=1,VLOOKUP(A200,S:T,2), IF(COUNTIF($W$2:W1185,A200)=0,$D$9,""))</f>
        <v/>
      </c>
      <c r="I200" s="41" t="str">
        <f ca="1">IF(COUNTIF($X$2:X1185,INT(A200))=1,VLOOKUP(INT(A200),X:Y,2), IF(ISERROR(H200-2),"",I199*(1-$D$8*(H200-H199)*0.0001)))</f>
        <v/>
      </c>
      <c r="J200" s="41" t="str">
        <f t="shared" ca="1" si="28"/>
        <v/>
      </c>
      <c r="K200" s="43" t="str">
        <f t="shared" ca="1" si="29"/>
        <v/>
      </c>
      <c r="L200" s="43" t="str">
        <f ca="1">IF($A200="","",IF(COUNTIFS(Dividends!$G:$G,"&gt;"&amp;INT($A199),Dividends!$G:$G,"&lt;="&amp;INT($A200))=0,"",$H$2*SUMIFS(Dividends!$H:$H,Dividends!$G:$G,"&gt;"&amp;INT($A199),Dividends!$G:$G,"&lt;="&amp;INT($A200))))</f>
        <v/>
      </c>
      <c r="M200" s="44" t="str">
        <f ca="1">IF(ISERROR(B200-2),"",C200+D200-F200-G200-K200+SUM($L$14:L200))</f>
        <v/>
      </c>
      <c r="U200" s="3" t="str">
        <f t="shared" si="30"/>
        <v/>
      </c>
      <c r="V200" s="3" t="str">
        <f t="shared" si="31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32"/>
        <v>46063</v>
      </c>
    </row>
    <row r="201" spans="1:30" x14ac:dyDescent="0.25">
      <c r="A201" s="39" t="str">
        <f t="shared" ca="1" si="23"/>
        <v/>
      </c>
      <c r="B201" s="40" t="str">
        <f ca="1">IF(COUNTIF($W$2:W1186,A201)=1,VLOOKUP(A201,O:P,2), IF(COUNTIF($W$2:W1186,A201)=0,$B$9,""))</f>
        <v/>
      </c>
      <c r="C201" s="2" t="str">
        <f t="shared" ca="1" si="24"/>
        <v/>
      </c>
      <c r="D201" s="43" t="str">
        <f t="shared" ca="1" si="25"/>
        <v/>
      </c>
      <c r="E201" s="40" t="str">
        <f ca="1">IF(COUNTIF($W$2:W1186,A201)=1,VLOOKUP(A201,Q:R,2), IF(COUNTIF($W$2:W1186,A201)=0,$C$9,""))</f>
        <v/>
      </c>
      <c r="F201" s="2" t="str">
        <f t="shared" ca="1" si="26"/>
        <v/>
      </c>
      <c r="G201" s="43" t="str">
        <f t="shared" ca="1" si="27"/>
        <v/>
      </c>
      <c r="H201" s="40" t="str">
        <f ca="1">IF(COUNTIF($W$2:W1186,A201)=1,VLOOKUP(A201,S:T,2), IF(COUNTIF($W$2:W1186,A201)=0,$D$9,""))</f>
        <v/>
      </c>
      <c r="I201" s="41" t="str">
        <f ca="1">IF(COUNTIF($X$2:X1186,INT(A201))=1,VLOOKUP(INT(A201),X:Y,2), IF(ISERROR(H201-2),"",I200*(1-$D$8*(H201-H200)*0.0001)))</f>
        <v/>
      </c>
      <c r="J201" s="41" t="str">
        <f t="shared" ca="1" si="28"/>
        <v/>
      </c>
      <c r="K201" s="43" t="str">
        <f t="shared" ca="1" si="29"/>
        <v/>
      </c>
      <c r="L201" s="43" t="str">
        <f ca="1">IF($A201="","",IF(COUNTIFS(Dividends!$G:$G,"&gt;"&amp;INT($A200),Dividends!$G:$G,"&lt;="&amp;INT($A201))=0,"",$H$2*SUMIFS(Dividends!$H:$H,Dividends!$G:$G,"&gt;"&amp;INT($A200),Dividends!$G:$G,"&lt;="&amp;INT($A201))))</f>
        <v/>
      </c>
      <c r="M201" s="44" t="str">
        <f ca="1">IF(ISERROR(B201-2),"",C201+D201-F201-G201-K201+SUM($L$14:L201))</f>
        <v/>
      </c>
      <c r="U201" s="3" t="str">
        <f t="shared" si="30"/>
        <v/>
      </c>
      <c r="V201" s="3" t="str">
        <f t="shared" si="31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32"/>
        <v>46064</v>
      </c>
    </row>
    <row r="202" spans="1:30" x14ac:dyDescent="0.25">
      <c r="A202" s="39" t="str">
        <f t="shared" ca="1" si="23"/>
        <v/>
      </c>
      <c r="B202" s="40" t="str">
        <f ca="1">IF(COUNTIF($W$2:W1187,A202)=1,VLOOKUP(A202,O:P,2), IF(COUNTIF($W$2:W1187,A202)=0,$B$9,""))</f>
        <v/>
      </c>
      <c r="C202" s="2" t="str">
        <f t="shared" ca="1" si="24"/>
        <v/>
      </c>
      <c r="D202" s="43" t="str">
        <f t="shared" ca="1" si="25"/>
        <v/>
      </c>
      <c r="E202" s="40" t="str">
        <f ca="1">IF(COUNTIF($W$2:W1187,A202)=1,VLOOKUP(A202,Q:R,2), IF(COUNTIF($W$2:W1187,A202)=0,$C$9,""))</f>
        <v/>
      </c>
      <c r="F202" s="2" t="str">
        <f t="shared" ca="1" si="26"/>
        <v/>
      </c>
      <c r="G202" s="43" t="str">
        <f t="shared" ca="1" si="27"/>
        <v/>
      </c>
      <c r="H202" s="40" t="str">
        <f ca="1">IF(COUNTIF($W$2:W1187,A202)=1,VLOOKUP(A202,S:T,2), IF(COUNTIF($W$2:W1187,A202)=0,$D$9,""))</f>
        <v/>
      </c>
      <c r="I202" s="41" t="str">
        <f ca="1">IF(COUNTIF($X$2:X1187,INT(A202))=1,VLOOKUP(INT(A202),X:Y,2), IF(ISERROR(H202-2),"",I201*(1-$D$8*(H202-H201)*0.0001)))</f>
        <v/>
      </c>
      <c r="J202" s="41" t="str">
        <f t="shared" ca="1" si="28"/>
        <v/>
      </c>
      <c r="K202" s="43" t="str">
        <f t="shared" ca="1" si="29"/>
        <v/>
      </c>
      <c r="L202" s="43" t="str">
        <f ca="1">IF($A202="","",IF(COUNTIFS(Dividends!$G:$G,"&gt;"&amp;INT($A201),Dividends!$G:$G,"&lt;="&amp;INT($A202))=0,"",$H$2*SUMIFS(Dividends!$H:$H,Dividends!$G:$G,"&gt;"&amp;INT($A201),Dividends!$G:$G,"&lt;="&amp;INT($A202))))</f>
        <v/>
      </c>
      <c r="M202" s="44" t="str">
        <f ca="1">IF(ISERROR(B202-2),"",C202+D202-F202-G202-K202+SUM($L$14:L202))</f>
        <v/>
      </c>
      <c r="U202" s="3" t="str">
        <f t="shared" si="30"/>
        <v/>
      </c>
      <c r="V202" s="3" t="str">
        <f t="shared" si="31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32"/>
        <v>46065</v>
      </c>
    </row>
    <row r="203" spans="1:30" x14ac:dyDescent="0.25">
      <c r="A203" s="39" t="str">
        <f t="shared" ca="1" si="23"/>
        <v/>
      </c>
      <c r="B203" s="40" t="str">
        <f ca="1">IF(COUNTIF($W$2:W1188,A203)=1,VLOOKUP(A203,O:P,2), IF(COUNTIF($W$2:W1188,A203)=0,$B$9,""))</f>
        <v/>
      </c>
      <c r="C203" s="2" t="str">
        <f t="shared" ca="1" si="24"/>
        <v/>
      </c>
      <c r="D203" s="43" t="str">
        <f t="shared" ca="1" si="25"/>
        <v/>
      </c>
      <c r="E203" s="40" t="str">
        <f ca="1">IF(COUNTIF($W$2:W1188,A203)=1,VLOOKUP(A203,Q:R,2), IF(COUNTIF($W$2:W1188,A203)=0,$C$9,""))</f>
        <v/>
      </c>
      <c r="F203" s="2" t="str">
        <f t="shared" ca="1" si="26"/>
        <v/>
      </c>
      <c r="G203" s="43" t="str">
        <f t="shared" ca="1" si="27"/>
        <v/>
      </c>
      <c r="H203" s="40" t="str">
        <f ca="1">IF(COUNTIF($W$2:W1188,A203)=1,VLOOKUP(A203,S:T,2), IF(COUNTIF($W$2:W1188,A203)=0,$D$9,""))</f>
        <v/>
      </c>
      <c r="I203" s="41" t="str">
        <f ca="1">IF(COUNTIF($X$2:X1188,INT(A203))=1,VLOOKUP(INT(A203),X:Y,2), IF(ISERROR(H203-2),"",I202*(1-$D$8*(H203-H202)*0.0001)))</f>
        <v/>
      </c>
      <c r="J203" s="41" t="str">
        <f t="shared" ca="1" si="28"/>
        <v/>
      </c>
      <c r="K203" s="43" t="str">
        <f t="shared" ca="1" si="29"/>
        <v/>
      </c>
      <c r="L203" s="43" t="str">
        <f ca="1">IF($A203="","",IF(COUNTIFS(Dividends!$G:$G,"&gt;"&amp;INT($A202),Dividends!$G:$G,"&lt;="&amp;INT($A203))=0,"",$H$2*SUMIFS(Dividends!$H:$H,Dividends!$G:$G,"&gt;"&amp;INT($A202),Dividends!$G:$G,"&lt;="&amp;INT($A203))))</f>
        <v/>
      </c>
      <c r="M203" s="44" t="str">
        <f ca="1">IF(ISERROR(B203-2),"",C203+D203-F203-G203-K203+SUM($L$14:L203))</f>
        <v/>
      </c>
      <c r="U203" s="3" t="str">
        <f t="shared" si="30"/>
        <v/>
      </c>
      <c r="V203" s="3" t="str">
        <f t="shared" si="31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32"/>
        <v>46066</v>
      </c>
    </row>
    <row r="204" spans="1:30" x14ac:dyDescent="0.25">
      <c r="A204" s="39" t="str">
        <f t="shared" ca="1" si="23"/>
        <v/>
      </c>
      <c r="B204" s="40" t="str">
        <f ca="1">IF(COUNTIF($W$2:W1189,A204)=1,VLOOKUP(A204,O:P,2), IF(COUNTIF($W$2:W1189,A204)=0,$B$9,""))</f>
        <v/>
      </c>
      <c r="C204" s="2" t="str">
        <f t="shared" ca="1" si="24"/>
        <v/>
      </c>
      <c r="D204" s="43" t="str">
        <f t="shared" ca="1" si="25"/>
        <v/>
      </c>
      <c r="E204" s="40" t="str">
        <f ca="1">IF(COUNTIF($W$2:W1189,A204)=1,VLOOKUP(A204,Q:R,2), IF(COUNTIF($W$2:W1189,A204)=0,$C$9,""))</f>
        <v/>
      </c>
      <c r="F204" s="2" t="str">
        <f t="shared" ca="1" si="26"/>
        <v/>
      </c>
      <c r="G204" s="43" t="str">
        <f t="shared" ca="1" si="27"/>
        <v/>
      </c>
      <c r="H204" s="40" t="str">
        <f ca="1">IF(COUNTIF($W$2:W1189,A204)=1,VLOOKUP(A204,S:T,2), IF(COUNTIF($W$2:W1189,A204)=0,$D$9,""))</f>
        <v/>
      </c>
      <c r="I204" s="41" t="str">
        <f ca="1">IF(COUNTIF($X$2:X1189,INT(A204))=1,VLOOKUP(INT(A204),X:Y,2), IF(ISERROR(H204-2),"",I203*(1-$D$8*(H204-H203)*0.0001)))</f>
        <v/>
      </c>
      <c r="J204" s="41" t="str">
        <f t="shared" ca="1" si="28"/>
        <v/>
      </c>
      <c r="K204" s="43" t="str">
        <f t="shared" ca="1" si="29"/>
        <v/>
      </c>
      <c r="L204" s="43" t="str">
        <f ca="1">IF($A204="","",IF(COUNTIFS(Dividends!$G:$G,"&gt;"&amp;INT($A203),Dividends!$G:$G,"&lt;="&amp;INT($A204))=0,"",$H$2*SUMIFS(Dividends!$H:$H,Dividends!$G:$G,"&gt;"&amp;INT($A203),Dividends!$G:$G,"&lt;="&amp;INT($A204))))</f>
        <v/>
      </c>
      <c r="M204" s="44" t="str">
        <f ca="1">IF(ISERROR(B204-2),"",C204+D204-F204-G204-K204+SUM($L$14:L204))</f>
        <v/>
      </c>
      <c r="U204" s="3" t="str">
        <f t="shared" si="30"/>
        <v/>
      </c>
      <c r="V204" s="3" t="str">
        <f t="shared" si="31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32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30"/>
        <v/>
      </c>
      <c r="V205" s="3" t="str">
        <f t="shared" si="31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32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30"/>
        <v/>
      </c>
      <c r="V206" s="3" t="str">
        <f t="shared" si="31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32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30"/>
        <v/>
      </c>
      <c r="V207" s="3" t="str">
        <f t="shared" si="31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32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30"/>
        <v/>
      </c>
      <c r="V208" s="3" t="str">
        <f t="shared" si="31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32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30"/>
        <v/>
      </c>
      <c r="V209" s="3" t="str">
        <f t="shared" si="31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32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30"/>
        <v/>
      </c>
      <c r="V210" s="3" t="str">
        <f t="shared" si="31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32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30"/>
        <v/>
      </c>
      <c r="V211" s="3" t="str">
        <f t="shared" si="31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32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30"/>
        <v/>
      </c>
      <c r="V212" s="3" t="str">
        <f t="shared" si="31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32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30"/>
        <v/>
      </c>
      <c r="V213" s="3" t="str">
        <f t="shared" si="31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32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30"/>
        <v/>
      </c>
      <c r="V214" s="3" t="str">
        <f t="shared" si="31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32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30"/>
        <v/>
      </c>
      <c r="V215" s="3" t="str">
        <f t="shared" si="31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32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30"/>
        <v/>
      </c>
      <c r="V216" s="3" t="str">
        <f t="shared" si="31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32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30"/>
        <v/>
      </c>
      <c r="V217" s="3" t="str">
        <f t="shared" si="31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32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30"/>
        <v/>
      </c>
      <c r="V218" s="3" t="str">
        <f t="shared" si="31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32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30"/>
        <v/>
      </c>
      <c r="V219" s="3" t="str">
        <f t="shared" si="31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32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30"/>
        <v/>
      </c>
      <c r="V220" s="3" t="str">
        <f t="shared" si="31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32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30"/>
        <v/>
      </c>
      <c r="V221" s="3" t="str">
        <f t="shared" si="31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32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30"/>
        <v/>
      </c>
      <c r="V222" s="3" t="str">
        <f t="shared" si="31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32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30"/>
        <v/>
      </c>
      <c r="V223" s="3" t="str">
        <f t="shared" si="31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32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30"/>
        <v/>
      </c>
      <c r="V224" s="3" t="str">
        <f t="shared" si="31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32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30"/>
        <v/>
      </c>
      <c r="V225" s="3" t="str">
        <f t="shared" si="31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32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30"/>
        <v/>
      </c>
      <c r="V226" s="3" t="str">
        <f t="shared" si="31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32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30"/>
        <v/>
      </c>
      <c r="V227" s="3" t="str">
        <f t="shared" si="31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32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30"/>
        <v/>
      </c>
      <c r="V228" s="3" t="str">
        <f t="shared" si="31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32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30"/>
        <v/>
      </c>
      <c r="V229" s="3" t="str">
        <f t="shared" si="31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32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30"/>
        <v/>
      </c>
      <c r="V230" s="3" t="str">
        <f t="shared" si="31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32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30"/>
        <v/>
      </c>
      <c r="V231" s="3" t="str">
        <f t="shared" si="31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32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30"/>
        <v/>
      </c>
      <c r="V232" s="3" t="str">
        <f t="shared" si="31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32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30"/>
        <v/>
      </c>
      <c r="V233" s="3" t="str">
        <f t="shared" si="31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32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30"/>
        <v/>
      </c>
      <c r="V234" s="3" t="str">
        <f t="shared" si="31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32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30"/>
        <v/>
      </c>
      <c r="V235" s="3" t="str">
        <f t="shared" si="31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32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30"/>
        <v/>
      </c>
      <c r="V236" s="3" t="str">
        <f t="shared" si="31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32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30"/>
        <v/>
      </c>
      <c r="V237" s="3" t="str">
        <f t="shared" si="31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32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30"/>
        <v/>
      </c>
      <c r="V238" s="3" t="str">
        <f t="shared" si="31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32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30"/>
        <v/>
      </c>
      <c r="V239" s="3" t="str">
        <f t="shared" si="31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32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30"/>
        <v/>
      </c>
      <c r="V240" s="3" t="str">
        <f t="shared" si="31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32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30"/>
        <v/>
      </c>
      <c r="V241" s="3" t="str">
        <f t="shared" si="31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32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30"/>
        <v/>
      </c>
      <c r="V242" s="3" t="str">
        <f t="shared" si="31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32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30"/>
        <v/>
      </c>
      <c r="V243" s="3" t="str">
        <f t="shared" si="31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32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30"/>
        <v/>
      </c>
      <c r="V244" s="3" t="str">
        <f t="shared" si="31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32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30"/>
        <v/>
      </c>
      <c r="V245" s="3" t="str">
        <f t="shared" si="31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32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30"/>
        <v/>
      </c>
      <c r="V246" s="3" t="str">
        <f t="shared" si="31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32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30"/>
        <v/>
      </c>
      <c r="V247" s="3" t="str">
        <f t="shared" si="31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32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30"/>
        <v/>
      </c>
      <c r="V248" s="3" t="str">
        <f t="shared" si="31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32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30"/>
        <v/>
      </c>
      <c r="V249" s="3" t="str">
        <f t="shared" si="31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32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30"/>
        <v/>
      </c>
      <c r="V250" s="3" t="str">
        <f t="shared" si="31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32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30"/>
        <v/>
      </c>
      <c r="V251" s="3" t="str">
        <f t="shared" si="31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32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30"/>
        <v/>
      </c>
      <c r="V252" s="3" t="str">
        <f t="shared" si="31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32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30"/>
        <v/>
      </c>
      <c r="V253" s="3" t="str">
        <f t="shared" si="31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32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30"/>
        <v/>
      </c>
      <c r="V254" s="3" t="str">
        <f t="shared" si="31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32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30"/>
        <v/>
      </c>
      <c r="V255" s="3" t="str">
        <f t="shared" si="31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32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30"/>
        <v/>
      </c>
      <c r="V256" s="3" t="str">
        <f t="shared" si="31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32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30"/>
        <v/>
      </c>
      <c r="V257" s="3" t="str">
        <f t="shared" si="31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32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30"/>
        <v/>
      </c>
      <c r="V258" s="3" t="str">
        <f t="shared" si="31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32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30"/>
        <v/>
      </c>
      <c r="V259" s="3" t="str">
        <f t="shared" si="31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32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3">IF(COUNTIF(Q:Q,O260)*COUNTIF(S:S,O260),O260,"")</f>
        <v/>
      </c>
      <c r="V260" s="3" t="str">
        <f t="shared" ref="V260:V323" si="34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5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3"/>
        <v/>
      </c>
      <c r="V261" s="3" t="str">
        <f t="shared" si="34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5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3"/>
        <v/>
      </c>
      <c r="V262" s="3" t="str">
        <f t="shared" si="34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5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3"/>
        <v/>
      </c>
      <c r="V263" s="3" t="str">
        <f t="shared" si="34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5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3"/>
        <v/>
      </c>
      <c r="V264" s="3" t="str">
        <f t="shared" si="34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5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3"/>
        <v/>
      </c>
      <c r="V265" s="3" t="str">
        <f t="shared" si="34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5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3"/>
        <v/>
      </c>
      <c r="V266" s="3" t="str">
        <f t="shared" si="34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5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3"/>
        <v/>
      </c>
      <c r="V267" s="3" t="str">
        <f t="shared" si="34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5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3"/>
        <v/>
      </c>
      <c r="V268" s="3" t="str">
        <f t="shared" si="34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5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3"/>
        <v/>
      </c>
      <c r="V269" s="3" t="str">
        <f t="shared" si="34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5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3"/>
        <v/>
      </c>
      <c r="V270" s="3" t="str">
        <f t="shared" si="34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5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3"/>
        <v/>
      </c>
      <c r="V271" s="3" t="str">
        <f t="shared" si="34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5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3"/>
        <v/>
      </c>
      <c r="V272" s="3" t="str">
        <f t="shared" si="34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5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3"/>
        <v/>
      </c>
      <c r="V273" s="3" t="str">
        <f t="shared" si="34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5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3"/>
        <v/>
      </c>
      <c r="V274" s="3" t="str">
        <f t="shared" si="34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5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3"/>
        <v/>
      </c>
      <c r="V275" s="3" t="str">
        <f t="shared" si="34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5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3"/>
        <v/>
      </c>
      <c r="V276" s="3" t="str">
        <f t="shared" si="34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5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3"/>
        <v/>
      </c>
      <c r="V277" s="3" t="str">
        <f t="shared" si="34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5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3"/>
        <v/>
      </c>
      <c r="V278" s="3" t="str">
        <f t="shared" si="34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5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3"/>
        <v/>
      </c>
      <c r="V279" s="3" t="str">
        <f t="shared" si="34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5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3"/>
        <v/>
      </c>
      <c r="V280" s="3" t="str">
        <f t="shared" si="34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5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3"/>
        <v/>
      </c>
      <c r="V281" s="3" t="str">
        <f t="shared" si="34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5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3"/>
        <v/>
      </c>
      <c r="V282" s="3" t="str">
        <f t="shared" si="34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5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3"/>
        <v/>
      </c>
      <c r="V283" s="3" t="str">
        <f t="shared" si="34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5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3"/>
        <v/>
      </c>
      <c r="V284" s="3" t="str">
        <f t="shared" si="34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5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3"/>
        <v/>
      </c>
      <c r="V285" s="3" t="str">
        <f t="shared" si="34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5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3"/>
        <v/>
      </c>
      <c r="V286" s="3" t="str">
        <f t="shared" si="34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5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3"/>
        <v/>
      </c>
      <c r="V287" s="3" t="str">
        <f t="shared" si="34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5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3"/>
        <v/>
      </c>
      <c r="V288" s="3" t="str">
        <f t="shared" si="34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5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3"/>
        <v/>
      </c>
      <c r="V289" s="3" t="str">
        <f t="shared" si="34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5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3"/>
        <v/>
      </c>
      <c r="V290" s="3" t="str">
        <f t="shared" si="34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5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3"/>
        <v/>
      </c>
      <c r="V291" s="3" t="str">
        <f t="shared" si="34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5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3"/>
        <v/>
      </c>
      <c r="V292" s="3" t="str">
        <f t="shared" si="34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5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3"/>
        <v/>
      </c>
      <c r="V293" s="3" t="str">
        <f t="shared" si="34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5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3"/>
        <v/>
      </c>
      <c r="V294" s="3" t="str">
        <f t="shared" si="34"/>
        <v/>
      </c>
      <c r="AD294" s="6" t="str">
        <f t="shared" si="35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3"/>
        <v/>
      </c>
      <c r="V295" s="3" t="str">
        <f t="shared" si="34"/>
        <v/>
      </c>
      <c r="AD295" s="6" t="str">
        <f t="shared" si="35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3"/>
        <v/>
      </c>
      <c r="V296" s="3" t="str">
        <f t="shared" si="34"/>
        <v/>
      </c>
      <c r="AD296" s="6" t="str">
        <f t="shared" si="35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3"/>
        <v/>
      </c>
      <c r="V297" s="3" t="str">
        <f t="shared" si="34"/>
        <v/>
      </c>
      <c r="AD297" s="6" t="str">
        <f t="shared" si="35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3"/>
        <v/>
      </c>
      <c r="V298" s="3" t="str">
        <f t="shared" si="34"/>
        <v/>
      </c>
      <c r="AD298" s="6" t="str">
        <f t="shared" si="35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3"/>
        <v/>
      </c>
      <c r="V299" s="3" t="str">
        <f t="shared" si="34"/>
        <v/>
      </c>
      <c r="AD299" s="6" t="str">
        <f t="shared" si="35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3"/>
        <v/>
      </c>
      <c r="V300" s="3" t="str">
        <f t="shared" si="34"/>
        <v/>
      </c>
      <c r="AD300" s="6" t="str">
        <f t="shared" si="35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3"/>
        <v/>
      </c>
      <c r="V301" s="3" t="str">
        <f t="shared" si="34"/>
        <v/>
      </c>
      <c r="AD301" s="6" t="str">
        <f t="shared" si="35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3"/>
        <v/>
      </c>
      <c r="V302" s="3" t="str">
        <f t="shared" si="34"/>
        <v/>
      </c>
      <c r="AD302" s="6" t="str">
        <f t="shared" si="35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3"/>
        <v/>
      </c>
      <c r="V303" s="3" t="str">
        <f t="shared" si="34"/>
        <v/>
      </c>
      <c r="AD303" s="6" t="str">
        <f t="shared" si="35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3"/>
        <v/>
      </c>
      <c r="V304" s="3" t="str">
        <f t="shared" si="34"/>
        <v/>
      </c>
      <c r="AD304" s="6" t="str">
        <f t="shared" si="35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3"/>
        <v/>
      </c>
      <c r="V305" s="3" t="str">
        <f t="shared" si="34"/>
        <v/>
      </c>
      <c r="AD305" s="6" t="str">
        <f t="shared" si="35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3"/>
        <v/>
      </c>
      <c r="V306" s="3" t="str">
        <f t="shared" si="34"/>
        <v/>
      </c>
      <c r="AD306" s="6" t="str">
        <f t="shared" si="35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3"/>
        <v/>
      </c>
      <c r="V307" s="3" t="str">
        <f t="shared" si="34"/>
        <v/>
      </c>
      <c r="AD307" s="6" t="str">
        <f t="shared" si="35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3"/>
        <v/>
      </c>
      <c r="V308" s="3" t="str">
        <f t="shared" si="34"/>
        <v/>
      </c>
      <c r="AD308" s="6" t="str">
        <f t="shared" si="35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3"/>
        <v/>
      </c>
      <c r="V309" s="3" t="str">
        <f t="shared" si="34"/>
        <v/>
      </c>
      <c r="AD309" s="6" t="str">
        <f t="shared" si="35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3"/>
        <v/>
      </c>
      <c r="V310" s="3" t="str">
        <f t="shared" si="34"/>
        <v/>
      </c>
      <c r="AD310" s="6" t="str">
        <f t="shared" si="35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3"/>
        <v/>
      </c>
      <c r="V311" s="3" t="str">
        <f t="shared" si="34"/>
        <v/>
      </c>
      <c r="AD311" s="6" t="str">
        <f t="shared" si="35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3"/>
        <v/>
      </c>
      <c r="V312" s="3" t="str">
        <f t="shared" si="34"/>
        <v/>
      </c>
      <c r="AD312" s="6" t="str">
        <f t="shared" si="35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3"/>
        <v/>
      </c>
      <c r="V313" s="3" t="str">
        <f t="shared" si="34"/>
        <v/>
      </c>
      <c r="AD313" s="6" t="str">
        <f t="shared" si="35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3"/>
        <v/>
      </c>
      <c r="V314" s="3" t="str">
        <f t="shared" si="34"/>
        <v/>
      </c>
      <c r="AD314" s="6" t="str">
        <f t="shared" si="35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3"/>
        <v/>
      </c>
      <c r="V315" s="3" t="str">
        <f t="shared" si="34"/>
        <v/>
      </c>
      <c r="AD315" s="6" t="str">
        <f t="shared" si="35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3"/>
        <v/>
      </c>
      <c r="V316" s="3" t="str">
        <f t="shared" si="34"/>
        <v/>
      </c>
      <c r="AD316" s="6" t="str">
        <f t="shared" si="35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3"/>
        <v/>
      </c>
      <c r="V317" s="3" t="str">
        <f t="shared" si="34"/>
        <v/>
      </c>
      <c r="AD317" s="6" t="str">
        <f t="shared" si="35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3"/>
        <v/>
      </c>
      <c r="V318" s="3" t="str">
        <f t="shared" si="34"/>
        <v/>
      </c>
      <c r="AD318" s="6" t="str">
        <f t="shared" si="35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3"/>
        <v/>
      </c>
      <c r="V319" s="3" t="str">
        <f t="shared" si="34"/>
        <v/>
      </c>
      <c r="AD319" s="6" t="str">
        <f t="shared" si="35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3"/>
        <v/>
      </c>
      <c r="V320" s="3" t="str">
        <f t="shared" si="34"/>
        <v/>
      </c>
      <c r="AD320" s="6" t="str">
        <f t="shared" si="35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3"/>
        <v/>
      </c>
      <c r="V321" s="3" t="str">
        <f t="shared" si="34"/>
        <v/>
      </c>
      <c r="AD321" s="6" t="str">
        <f t="shared" si="35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3"/>
        <v/>
      </c>
      <c r="V322" s="3" t="str">
        <f t="shared" si="34"/>
        <v/>
      </c>
      <c r="AD322" s="6" t="str">
        <f t="shared" si="35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3"/>
        <v/>
      </c>
      <c r="V323" s="3" t="str">
        <f t="shared" si="34"/>
        <v/>
      </c>
      <c r="AD323" s="6" t="str">
        <f t="shared" si="35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6">IF(COUNTIF(Q:Q,O324)*COUNTIF(S:S,O324),O324,"")</f>
        <v/>
      </c>
      <c r="V324" s="3" t="str">
        <f t="shared" ref="V324:V387" si="37">IF(U324&gt;$A$14,U324,"")</f>
        <v/>
      </c>
      <c r="AD324" s="6" t="str">
        <f t="shared" ref="AD324:AD387" si="38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6"/>
        <v/>
      </c>
      <c r="V325" s="3" t="str">
        <f t="shared" si="37"/>
        <v/>
      </c>
      <c r="AD325" s="6" t="str">
        <f t="shared" si="38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6"/>
        <v/>
      </c>
      <c r="V326" s="3" t="str">
        <f t="shared" si="37"/>
        <v/>
      </c>
      <c r="AD326" s="6" t="str">
        <f t="shared" si="38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6"/>
        <v/>
      </c>
      <c r="V327" s="3" t="str">
        <f t="shared" si="37"/>
        <v/>
      </c>
      <c r="AD327" s="6" t="str">
        <f t="shared" si="38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6"/>
        <v/>
      </c>
      <c r="V328" s="3" t="str">
        <f t="shared" si="37"/>
        <v/>
      </c>
      <c r="AD328" s="6" t="str">
        <f t="shared" si="38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6"/>
        <v/>
      </c>
      <c r="V329" s="3" t="str">
        <f t="shared" si="37"/>
        <v/>
      </c>
      <c r="AD329" s="6" t="str">
        <f t="shared" si="38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6"/>
        <v/>
      </c>
      <c r="V330" s="3" t="str">
        <f t="shared" si="37"/>
        <v/>
      </c>
      <c r="AD330" s="6" t="str">
        <f t="shared" si="38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6"/>
        <v/>
      </c>
      <c r="V331" s="3" t="str">
        <f t="shared" si="37"/>
        <v/>
      </c>
      <c r="AD331" s="6" t="str">
        <f t="shared" si="38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6"/>
        <v/>
      </c>
      <c r="V332" s="3" t="str">
        <f t="shared" si="37"/>
        <v/>
      </c>
      <c r="AD332" s="6" t="str">
        <f t="shared" si="38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6"/>
        <v/>
      </c>
      <c r="V333" s="3" t="str">
        <f t="shared" si="37"/>
        <v/>
      </c>
      <c r="AD333" s="6" t="str">
        <f t="shared" si="38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6"/>
        <v/>
      </c>
      <c r="V334" s="3" t="str">
        <f t="shared" si="37"/>
        <v/>
      </c>
      <c r="AD334" s="6" t="str">
        <f t="shared" si="38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6"/>
        <v/>
      </c>
      <c r="V335" s="3" t="str">
        <f t="shared" si="37"/>
        <v/>
      </c>
      <c r="AD335" s="6" t="str">
        <f t="shared" si="38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6"/>
        <v/>
      </c>
      <c r="V336" s="3" t="str">
        <f t="shared" si="37"/>
        <v/>
      </c>
      <c r="AD336" s="6" t="str">
        <f t="shared" si="38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6"/>
        <v/>
      </c>
      <c r="V337" s="3" t="str">
        <f t="shared" si="37"/>
        <v/>
      </c>
      <c r="AD337" s="6" t="str">
        <f t="shared" si="38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6"/>
        <v/>
      </c>
      <c r="V338" s="3" t="str">
        <f t="shared" si="37"/>
        <v/>
      </c>
      <c r="AD338" s="6" t="str">
        <f t="shared" si="38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6"/>
        <v/>
      </c>
      <c r="V339" s="3" t="str">
        <f t="shared" si="37"/>
        <v/>
      </c>
      <c r="AD339" s="6" t="str">
        <f t="shared" si="38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6"/>
        <v/>
      </c>
      <c r="V340" s="3" t="str">
        <f t="shared" si="37"/>
        <v/>
      </c>
      <c r="AD340" s="6" t="str">
        <f t="shared" si="38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6"/>
        <v/>
      </c>
      <c r="V341" s="3" t="str">
        <f t="shared" si="37"/>
        <v/>
      </c>
      <c r="AD341" s="6" t="str">
        <f t="shared" si="38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6"/>
        <v/>
      </c>
      <c r="V342" s="3" t="str">
        <f t="shared" si="37"/>
        <v/>
      </c>
      <c r="AD342" s="6" t="str">
        <f t="shared" si="38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6"/>
        <v/>
      </c>
      <c r="V343" s="3" t="str">
        <f t="shared" si="37"/>
        <v/>
      </c>
      <c r="AD343" s="6" t="str">
        <f t="shared" si="38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6"/>
        <v/>
      </c>
      <c r="V344" s="3" t="str">
        <f t="shared" si="37"/>
        <v/>
      </c>
      <c r="AD344" s="6" t="str">
        <f t="shared" si="38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6"/>
        <v/>
      </c>
      <c r="V345" s="3" t="str">
        <f t="shared" si="37"/>
        <v/>
      </c>
      <c r="AD345" s="6" t="str">
        <f t="shared" si="38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6"/>
        <v/>
      </c>
      <c r="V346" s="3" t="str">
        <f t="shared" si="37"/>
        <v/>
      </c>
      <c r="AD346" s="6" t="str">
        <f t="shared" si="38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6"/>
        <v/>
      </c>
      <c r="V347" s="3" t="str">
        <f t="shared" si="37"/>
        <v/>
      </c>
      <c r="AD347" s="6" t="str">
        <f t="shared" si="38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6"/>
        <v/>
      </c>
      <c r="V348" s="3" t="str">
        <f t="shared" si="37"/>
        <v/>
      </c>
      <c r="AD348" s="6" t="str">
        <f t="shared" si="38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6"/>
        <v/>
      </c>
      <c r="V349" s="3" t="str">
        <f t="shared" si="37"/>
        <v/>
      </c>
      <c r="AD349" s="6" t="str">
        <f t="shared" si="38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6"/>
        <v/>
      </c>
      <c r="V350" s="3" t="str">
        <f t="shared" si="37"/>
        <v/>
      </c>
      <c r="AD350" s="6" t="str">
        <f t="shared" si="38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6"/>
        <v/>
      </c>
      <c r="V351" s="3" t="str">
        <f t="shared" si="37"/>
        <v/>
      </c>
      <c r="AD351" s="6" t="str">
        <f t="shared" si="38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6"/>
        <v/>
      </c>
      <c r="V352" s="3" t="str">
        <f t="shared" si="37"/>
        <v/>
      </c>
      <c r="AD352" s="6" t="str">
        <f t="shared" si="38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6"/>
        <v/>
      </c>
      <c r="V353" s="3" t="str">
        <f t="shared" si="37"/>
        <v/>
      </c>
      <c r="AD353" s="6" t="str">
        <f t="shared" si="38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6"/>
        <v/>
      </c>
      <c r="V354" s="3" t="str">
        <f t="shared" si="37"/>
        <v/>
      </c>
      <c r="AD354" s="6" t="str">
        <f t="shared" si="38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6"/>
        <v/>
      </c>
      <c r="V355" s="3" t="str">
        <f t="shared" si="37"/>
        <v/>
      </c>
      <c r="AD355" s="6" t="str">
        <f t="shared" si="38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6"/>
        <v/>
      </c>
      <c r="V356" s="3" t="str">
        <f t="shared" si="37"/>
        <v/>
      </c>
      <c r="AD356" s="6" t="str">
        <f t="shared" si="38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6"/>
        <v/>
      </c>
      <c r="V357" s="3" t="str">
        <f t="shared" si="37"/>
        <v/>
      </c>
      <c r="AD357" s="6" t="str">
        <f t="shared" si="38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6"/>
        <v/>
      </c>
      <c r="V358" s="3" t="str">
        <f t="shared" si="37"/>
        <v/>
      </c>
      <c r="AD358" s="6" t="str">
        <f t="shared" si="38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6"/>
        <v/>
      </c>
      <c r="V359" s="3" t="str">
        <f t="shared" si="37"/>
        <v/>
      </c>
      <c r="AD359" s="6" t="str">
        <f t="shared" si="38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6"/>
        <v/>
      </c>
      <c r="V360" s="3" t="str">
        <f t="shared" si="37"/>
        <v/>
      </c>
      <c r="AD360" s="6" t="str">
        <f t="shared" si="38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6"/>
        <v/>
      </c>
      <c r="V361" s="3" t="str">
        <f t="shared" si="37"/>
        <v/>
      </c>
      <c r="AD361" s="6" t="str">
        <f t="shared" si="38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6"/>
        <v/>
      </c>
      <c r="V362" s="3" t="str">
        <f t="shared" si="37"/>
        <v/>
      </c>
      <c r="AD362" s="6" t="str">
        <f t="shared" si="38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6"/>
        <v/>
      </c>
      <c r="V363" s="3" t="str">
        <f t="shared" si="37"/>
        <v/>
      </c>
      <c r="AD363" s="6" t="str">
        <f t="shared" si="38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6"/>
        <v/>
      </c>
      <c r="V364" s="3" t="str">
        <f t="shared" si="37"/>
        <v/>
      </c>
      <c r="AD364" s="6" t="str">
        <f t="shared" si="38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6"/>
        <v/>
      </c>
      <c r="V365" s="3" t="str">
        <f t="shared" si="37"/>
        <v/>
      </c>
      <c r="AD365" s="6" t="str">
        <f t="shared" si="38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6"/>
        <v/>
      </c>
      <c r="V366" s="3" t="str">
        <f t="shared" si="37"/>
        <v/>
      </c>
      <c r="AD366" s="6" t="str">
        <f t="shared" si="38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6"/>
        <v/>
      </c>
      <c r="V367" s="3" t="str">
        <f t="shared" si="37"/>
        <v/>
      </c>
      <c r="AD367" s="6" t="str">
        <f t="shared" si="38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6"/>
        <v/>
      </c>
      <c r="V368" s="3" t="str">
        <f t="shared" si="37"/>
        <v/>
      </c>
      <c r="AD368" s="6" t="str">
        <f t="shared" si="38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6"/>
        <v/>
      </c>
      <c r="V369" s="3" t="str">
        <f t="shared" si="37"/>
        <v/>
      </c>
      <c r="AD369" s="6" t="str">
        <f t="shared" si="38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6"/>
        <v/>
      </c>
      <c r="V370" s="3" t="str">
        <f t="shared" si="37"/>
        <v/>
      </c>
      <c r="AD370" s="6" t="str">
        <f t="shared" si="38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6"/>
        <v/>
      </c>
      <c r="V371" s="3" t="str">
        <f t="shared" si="37"/>
        <v/>
      </c>
      <c r="AD371" s="6" t="str">
        <f t="shared" si="38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6"/>
        <v/>
      </c>
      <c r="V372" s="3" t="str">
        <f t="shared" si="37"/>
        <v/>
      </c>
      <c r="AD372" s="6" t="str">
        <f t="shared" si="38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6"/>
        <v/>
      </c>
      <c r="V373" s="3" t="str">
        <f t="shared" si="37"/>
        <v/>
      </c>
      <c r="AD373" s="6" t="str">
        <f t="shared" si="38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6"/>
        <v/>
      </c>
      <c r="V374" s="3" t="str">
        <f t="shared" si="37"/>
        <v/>
      </c>
      <c r="AD374" s="6" t="str">
        <f t="shared" si="38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6"/>
        <v/>
      </c>
      <c r="V375" s="3" t="str">
        <f t="shared" si="37"/>
        <v/>
      </c>
      <c r="AD375" s="6" t="str">
        <f t="shared" si="38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6"/>
        <v/>
      </c>
      <c r="V376" s="3" t="str">
        <f t="shared" si="37"/>
        <v/>
      </c>
      <c r="AD376" s="6" t="str">
        <f t="shared" si="38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6"/>
        <v/>
      </c>
      <c r="V377" s="3" t="str">
        <f t="shared" si="37"/>
        <v/>
      </c>
      <c r="AD377" s="6" t="str">
        <f t="shared" si="38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6"/>
        <v/>
      </c>
      <c r="V378" s="3" t="str">
        <f t="shared" si="37"/>
        <v/>
      </c>
      <c r="AD378" s="6" t="str">
        <f t="shared" si="38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6"/>
        <v/>
      </c>
      <c r="V379" s="3" t="str">
        <f t="shared" si="37"/>
        <v/>
      </c>
      <c r="AD379" s="6" t="str">
        <f t="shared" si="38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6"/>
        <v/>
      </c>
      <c r="V380" s="3" t="str">
        <f t="shared" si="37"/>
        <v/>
      </c>
      <c r="AD380" s="6" t="str">
        <f t="shared" si="38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6"/>
        <v/>
      </c>
      <c r="V381" s="3" t="str">
        <f t="shared" si="37"/>
        <v/>
      </c>
      <c r="AD381" s="6" t="str">
        <f t="shared" si="38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6"/>
        <v/>
      </c>
      <c r="V382" s="3" t="str">
        <f t="shared" si="37"/>
        <v/>
      </c>
      <c r="AD382" s="6" t="str">
        <f t="shared" si="38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6"/>
        <v/>
      </c>
      <c r="V383" s="3" t="str">
        <f t="shared" si="37"/>
        <v/>
      </c>
      <c r="AD383" s="6" t="str">
        <f t="shared" si="38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6"/>
        <v/>
      </c>
      <c r="V384" s="3" t="str">
        <f t="shared" si="37"/>
        <v/>
      </c>
      <c r="AD384" s="6" t="str">
        <f t="shared" si="38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6"/>
        <v/>
      </c>
      <c r="V385" s="3" t="str">
        <f t="shared" si="37"/>
        <v/>
      </c>
      <c r="AD385" s="6" t="str">
        <f t="shared" si="38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6"/>
        <v/>
      </c>
      <c r="V386" s="3" t="str">
        <f t="shared" si="37"/>
        <v/>
      </c>
      <c r="AD386" s="6" t="str">
        <f t="shared" si="38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6"/>
        <v/>
      </c>
      <c r="V387" s="3" t="str">
        <f t="shared" si="37"/>
        <v/>
      </c>
      <c r="AD387" s="6" t="str">
        <f t="shared" si="38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9">IF(COUNTIF(Q:Q,O388)*COUNTIF(S:S,O388),O388,"")</f>
        <v/>
      </c>
      <c r="V388" s="3" t="str">
        <f t="shared" ref="V388:V451" si="40">IF(U388&gt;$A$14,U388,"")</f>
        <v/>
      </c>
      <c r="AD388" s="6" t="str">
        <f t="shared" ref="AD388:AD421" si="41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9"/>
        <v/>
      </c>
      <c r="V389" s="3" t="str">
        <f t="shared" si="40"/>
        <v/>
      </c>
      <c r="AD389" s="6" t="str">
        <f t="shared" si="41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9"/>
        <v/>
      </c>
      <c r="V390" s="3" t="str">
        <f t="shared" si="40"/>
        <v/>
      </c>
      <c r="AD390" s="6" t="str">
        <f t="shared" si="41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9"/>
        <v/>
      </c>
      <c r="V391" s="3" t="str">
        <f t="shared" si="40"/>
        <v/>
      </c>
      <c r="AD391" s="6" t="str">
        <f t="shared" si="41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9"/>
        <v/>
      </c>
      <c r="V392" s="3" t="str">
        <f t="shared" si="40"/>
        <v/>
      </c>
      <c r="AD392" s="6" t="str">
        <f t="shared" si="41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9"/>
        <v/>
      </c>
      <c r="V393" s="3" t="str">
        <f t="shared" si="40"/>
        <v/>
      </c>
      <c r="AD393" s="6" t="str">
        <f t="shared" si="41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9"/>
        <v/>
      </c>
      <c r="V394" s="3" t="str">
        <f t="shared" si="40"/>
        <v/>
      </c>
      <c r="AD394" s="6" t="str">
        <f t="shared" si="41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9"/>
        <v/>
      </c>
      <c r="V395" s="3" t="str">
        <f t="shared" si="40"/>
        <v/>
      </c>
      <c r="AD395" s="6" t="str">
        <f t="shared" si="41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9"/>
        <v/>
      </c>
      <c r="V396" s="3" t="str">
        <f t="shared" si="40"/>
        <v/>
      </c>
      <c r="AD396" s="6" t="str">
        <f t="shared" si="41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9"/>
        <v/>
      </c>
      <c r="V397" s="3" t="str">
        <f t="shared" si="40"/>
        <v/>
      </c>
      <c r="AD397" s="6" t="str">
        <f t="shared" si="41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9"/>
        <v/>
      </c>
      <c r="V398" s="3" t="str">
        <f t="shared" si="40"/>
        <v/>
      </c>
      <c r="AD398" s="6" t="str">
        <f t="shared" si="41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9"/>
        <v/>
      </c>
      <c r="V399" s="3" t="str">
        <f t="shared" si="40"/>
        <v/>
      </c>
      <c r="AD399" s="6" t="str">
        <f t="shared" si="41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9"/>
        <v/>
      </c>
      <c r="V400" s="3" t="str">
        <f t="shared" si="40"/>
        <v/>
      </c>
      <c r="AD400" s="6" t="str">
        <f t="shared" si="41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9"/>
        <v/>
      </c>
      <c r="V401" s="3" t="str">
        <f t="shared" si="40"/>
        <v/>
      </c>
      <c r="AD401" s="6" t="str">
        <f t="shared" si="41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9"/>
        <v/>
      </c>
      <c r="V402" s="3" t="str">
        <f t="shared" si="40"/>
        <v/>
      </c>
      <c r="AD402" s="6" t="str">
        <f t="shared" si="41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9"/>
        <v/>
      </c>
      <c r="V403" s="3" t="str">
        <f t="shared" si="40"/>
        <v/>
      </c>
      <c r="AD403" s="6" t="str">
        <f t="shared" si="41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9"/>
        <v/>
      </c>
      <c r="V404" s="3" t="str">
        <f t="shared" si="40"/>
        <v/>
      </c>
      <c r="AD404" s="6" t="str">
        <f t="shared" si="41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9"/>
        <v/>
      </c>
      <c r="V405" s="3" t="str">
        <f t="shared" si="40"/>
        <v/>
      </c>
      <c r="AD405" s="6" t="str">
        <f t="shared" si="41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9"/>
        <v/>
      </c>
      <c r="V406" s="3" t="str">
        <f t="shared" si="40"/>
        <v/>
      </c>
      <c r="AD406" s="6" t="str">
        <f t="shared" si="41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9"/>
        <v/>
      </c>
      <c r="V407" s="3" t="str">
        <f t="shared" si="40"/>
        <v/>
      </c>
      <c r="AD407" s="6" t="str">
        <f t="shared" si="41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9"/>
        <v/>
      </c>
      <c r="V408" s="3" t="str">
        <f t="shared" si="40"/>
        <v/>
      </c>
      <c r="AD408" s="6" t="str">
        <f t="shared" si="41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9"/>
        <v/>
      </c>
      <c r="V409" s="3" t="str">
        <f t="shared" si="40"/>
        <v/>
      </c>
      <c r="AD409" s="6" t="str">
        <f t="shared" si="41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9"/>
        <v/>
      </c>
      <c r="V410" s="3" t="str">
        <f t="shared" si="40"/>
        <v/>
      </c>
      <c r="AD410" s="6" t="str">
        <f t="shared" si="41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9"/>
        <v/>
      </c>
      <c r="V411" s="3" t="str">
        <f t="shared" si="40"/>
        <v/>
      </c>
      <c r="AD411" s="6" t="str">
        <f t="shared" si="41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9"/>
        <v/>
      </c>
      <c r="V412" s="3" t="str">
        <f t="shared" si="40"/>
        <v/>
      </c>
      <c r="AD412" s="6" t="str">
        <f t="shared" si="41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9"/>
        <v/>
      </c>
      <c r="V413" s="3" t="str">
        <f t="shared" si="40"/>
        <v/>
      </c>
      <c r="AD413" s="6" t="str">
        <f t="shared" si="41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9"/>
        <v/>
      </c>
      <c r="V414" s="3" t="str">
        <f t="shared" si="40"/>
        <v/>
      </c>
      <c r="AD414" s="6" t="str">
        <f t="shared" si="41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9"/>
        <v/>
      </c>
      <c r="V415" s="3" t="str">
        <f t="shared" si="40"/>
        <v/>
      </c>
      <c r="AD415" s="6" t="str">
        <f t="shared" si="41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9"/>
        <v/>
      </c>
      <c r="V416" s="3" t="str">
        <f t="shared" si="40"/>
        <v/>
      </c>
      <c r="AD416" s="6" t="str">
        <f t="shared" si="41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9"/>
        <v/>
      </c>
      <c r="V417" s="3" t="str">
        <f t="shared" si="40"/>
        <v/>
      </c>
      <c r="AD417" s="6" t="str">
        <f t="shared" si="41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9"/>
        <v/>
      </c>
      <c r="V418" s="3" t="str">
        <f t="shared" si="40"/>
        <v/>
      </c>
      <c r="AD418" s="6" t="str">
        <f t="shared" si="41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9"/>
        <v/>
      </c>
      <c r="V419" s="3" t="str">
        <f t="shared" si="40"/>
        <v/>
      </c>
      <c r="AD419" s="6" t="str">
        <f t="shared" si="41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9"/>
        <v/>
      </c>
      <c r="V420" s="3" t="str">
        <f t="shared" si="40"/>
        <v/>
      </c>
      <c r="AD420" s="6" t="str">
        <f t="shared" si="41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9"/>
        <v/>
      </c>
      <c r="V421" s="3" t="str">
        <f t="shared" si="40"/>
        <v/>
      </c>
      <c r="AD421" s="6" t="str">
        <f t="shared" si="41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9"/>
        <v/>
      </c>
      <c r="V422" s="3" t="str">
        <f t="shared" si="40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9"/>
        <v/>
      </c>
      <c r="V423" s="3" t="str">
        <f t="shared" si="40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9"/>
        <v/>
      </c>
      <c r="V424" s="3" t="str">
        <f t="shared" si="40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9"/>
        <v/>
      </c>
      <c r="V425" s="3" t="str">
        <f t="shared" si="40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9"/>
        <v/>
      </c>
      <c r="V426" s="3" t="str">
        <f t="shared" si="40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9"/>
        <v/>
      </c>
      <c r="V427" s="3" t="str">
        <f t="shared" si="40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9"/>
        <v/>
      </c>
      <c r="V428" s="3" t="str">
        <f t="shared" si="40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9"/>
        <v/>
      </c>
      <c r="V429" s="3" t="str">
        <f t="shared" si="40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9"/>
        <v/>
      </c>
      <c r="V430" s="3" t="str">
        <f t="shared" si="40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9"/>
        <v/>
      </c>
      <c r="V431" s="3" t="str">
        <f t="shared" si="40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9"/>
        <v/>
      </c>
      <c r="V432" s="3" t="str">
        <f t="shared" si="40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9"/>
        <v/>
      </c>
      <c r="V433" s="3" t="str">
        <f t="shared" si="40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9"/>
        <v/>
      </c>
      <c r="V434" s="3" t="str">
        <f t="shared" si="40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9"/>
        <v/>
      </c>
      <c r="V435" s="3" t="str">
        <f t="shared" si="40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9"/>
        <v/>
      </c>
      <c r="V436" s="3" t="str">
        <f t="shared" si="40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9"/>
        <v/>
      </c>
      <c r="V437" s="3" t="str">
        <f t="shared" si="40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9"/>
        <v/>
      </c>
      <c r="V438" s="3" t="str">
        <f t="shared" si="40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9"/>
        <v/>
      </c>
      <c r="V439" s="3" t="str">
        <f t="shared" si="40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9"/>
        <v/>
      </c>
      <c r="V440" s="3" t="str">
        <f t="shared" si="40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9"/>
        <v/>
      </c>
      <c r="V441" s="3" t="str">
        <f t="shared" si="40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9"/>
        <v/>
      </c>
      <c r="V442" s="3" t="str">
        <f t="shared" si="40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9"/>
        <v/>
      </c>
      <c r="V443" s="3" t="str">
        <f t="shared" si="40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9"/>
        <v/>
      </c>
      <c r="V444" s="3" t="str">
        <f t="shared" si="40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9"/>
        <v/>
      </c>
      <c r="V445" s="3" t="str">
        <f t="shared" si="40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9"/>
        <v/>
      </c>
      <c r="V446" s="3" t="str">
        <f t="shared" si="40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9"/>
        <v/>
      </c>
      <c r="V447" s="3" t="str">
        <f t="shared" si="40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9"/>
        <v/>
      </c>
      <c r="V448" s="3" t="str">
        <f t="shared" si="40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9"/>
        <v/>
      </c>
      <c r="V449" s="3" t="str">
        <f t="shared" si="40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9"/>
        <v/>
      </c>
      <c r="V450" s="3" t="str">
        <f t="shared" si="40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9"/>
        <v/>
      </c>
      <c r="V451" s="3" t="str">
        <f t="shared" si="40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42">IF(COUNTIF(Q:Q,O452)*COUNTIF(S:S,O452),O452,"")</f>
        <v/>
      </c>
      <c r="V452" s="3" t="str">
        <f t="shared" ref="V452:V515" si="43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42"/>
        <v/>
      </c>
      <c r="V453" s="3" t="str">
        <f t="shared" si="43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42"/>
        <v/>
      </c>
      <c r="V454" s="3" t="str">
        <f t="shared" si="43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42"/>
        <v/>
      </c>
      <c r="V455" s="3" t="str">
        <f t="shared" si="43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42"/>
        <v/>
      </c>
      <c r="V456" s="3" t="str">
        <f t="shared" si="43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42"/>
        <v/>
      </c>
      <c r="V457" s="3" t="str">
        <f t="shared" si="43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42"/>
        <v/>
      </c>
      <c r="V458" s="3" t="str">
        <f t="shared" si="43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42"/>
        <v/>
      </c>
      <c r="V459" s="3" t="str">
        <f t="shared" si="43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42"/>
        <v/>
      </c>
      <c r="V460" s="3" t="str">
        <f t="shared" si="43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42"/>
        <v/>
      </c>
      <c r="V461" s="3" t="str">
        <f t="shared" si="43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42"/>
        <v/>
      </c>
      <c r="V462" s="3" t="str">
        <f t="shared" si="43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42"/>
        <v/>
      </c>
      <c r="V463" s="3" t="str">
        <f t="shared" si="43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42"/>
        <v/>
      </c>
      <c r="V464" s="3" t="str">
        <f t="shared" si="43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42"/>
        <v/>
      </c>
      <c r="V465" s="3" t="str">
        <f t="shared" si="43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42"/>
        <v/>
      </c>
      <c r="V466" s="3" t="str">
        <f t="shared" si="43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42"/>
        <v/>
      </c>
      <c r="V467" s="3" t="str">
        <f t="shared" si="43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42"/>
        <v/>
      </c>
      <c r="V468" s="3" t="str">
        <f t="shared" si="43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42"/>
        <v/>
      </c>
      <c r="V469" s="3" t="str">
        <f t="shared" si="43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42"/>
        <v/>
      </c>
      <c r="V470" s="3" t="str">
        <f t="shared" si="43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42"/>
        <v/>
      </c>
      <c r="V471" s="3" t="str">
        <f t="shared" si="43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42"/>
        <v/>
      </c>
      <c r="V472" s="3" t="str">
        <f t="shared" si="43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42"/>
        <v/>
      </c>
      <c r="V473" s="3" t="str">
        <f t="shared" si="43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42"/>
        <v/>
      </c>
      <c r="V474" s="3" t="str">
        <f t="shared" si="43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42"/>
        <v/>
      </c>
      <c r="V475" s="3" t="str">
        <f t="shared" si="43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42"/>
        <v/>
      </c>
      <c r="V476" s="3" t="str">
        <f t="shared" si="43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42"/>
        <v/>
      </c>
      <c r="V477" s="3" t="str">
        <f t="shared" si="43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42"/>
        <v/>
      </c>
      <c r="V478" s="3" t="str">
        <f t="shared" si="43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42"/>
        <v/>
      </c>
      <c r="V479" s="3" t="str">
        <f t="shared" si="43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42"/>
        <v/>
      </c>
      <c r="V480" s="3" t="str">
        <f t="shared" si="43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42"/>
        <v/>
      </c>
      <c r="V481" s="3" t="str">
        <f t="shared" si="43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42"/>
        <v/>
      </c>
      <c r="V482" s="3" t="str">
        <f t="shared" si="43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42"/>
        <v/>
      </c>
      <c r="V483" s="3" t="str">
        <f t="shared" si="43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42"/>
        <v/>
      </c>
      <c r="V484" s="3" t="str">
        <f t="shared" si="43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42"/>
        <v/>
      </c>
      <c r="V485" s="3" t="str">
        <f t="shared" si="43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42"/>
        <v/>
      </c>
      <c r="V486" s="3" t="str">
        <f t="shared" si="43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42"/>
        <v/>
      </c>
      <c r="V487" s="3" t="str">
        <f t="shared" si="43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42"/>
        <v/>
      </c>
      <c r="V488" s="3" t="str">
        <f t="shared" si="43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42"/>
        <v/>
      </c>
      <c r="V489" s="3" t="str">
        <f t="shared" si="43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42"/>
        <v/>
      </c>
      <c r="V490" s="3" t="str">
        <f t="shared" si="43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42"/>
        <v/>
      </c>
      <c r="V491" s="3" t="str">
        <f t="shared" si="43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42"/>
        <v/>
      </c>
      <c r="V492" s="3" t="str">
        <f t="shared" si="43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42"/>
        <v/>
      </c>
      <c r="V493" s="3" t="str">
        <f t="shared" si="43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42"/>
        <v/>
      </c>
      <c r="V494" s="3" t="str">
        <f t="shared" si="43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42"/>
        <v/>
      </c>
      <c r="V495" s="3" t="str">
        <f t="shared" si="43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42"/>
        <v/>
      </c>
      <c r="V496" s="3" t="str">
        <f t="shared" si="43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42"/>
        <v/>
      </c>
      <c r="V497" s="3" t="str">
        <f t="shared" si="43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42"/>
        <v/>
      </c>
      <c r="V498" s="3" t="str">
        <f t="shared" si="43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42"/>
        <v/>
      </c>
      <c r="V499" s="3" t="str">
        <f t="shared" si="43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42"/>
        <v/>
      </c>
      <c r="V500" s="3" t="str">
        <f t="shared" si="43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42"/>
        <v/>
      </c>
      <c r="V501" s="3" t="str">
        <f t="shared" si="43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42"/>
        <v/>
      </c>
      <c r="V502" s="3" t="str">
        <f t="shared" si="43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42"/>
        <v/>
      </c>
      <c r="V503" s="3" t="str">
        <f t="shared" si="43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42"/>
        <v/>
      </c>
      <c r="V504" s="3" t="str">
        <f t="shared" si="43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42"/>
        <v/>
      </c>
      <c r="V505" s="3" t="str">
        <f t="shared" si="43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42"/>
        <v/>
      </c>
      <c r="V506" s="3" t="str">
        <f t="shared" si="43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42"/>
        <v/>
      </c>
      <c r="V507" s="3" t="str">
        <f t="shared" si="43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42"/>
        <v/>
      </c>
      <c r="V508" s="3" t="str">
        <f t="shared" si="43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42"/>
        <v/>
      </c>
      <c r="V509" s="3" t="str">
        <f t="shared" si="43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42"/>
        <v/>
      </c>
      <c r="V510" s="3" t="str">
        <f t="shared" si="43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42"/>
        <v/>
      </c>
      <c r="V511" s="3" t="str">
        <f t="shared" si="43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42"/>
        <v/>
      </c>
      <c r="V512" s="3" t="str">
        <f t="shared" si="43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42"/>
        <v/>
      </c>
      <c r="V513" s="3" t="str">
        <f t="shared" si="43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42"/>
        <v/>
      </c>
      <c r="V514" s="3" t="str">
        <f t="shared" si="43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42"/>
        <v/>
      </c>
      <c r="V515" s="3" t="str">
        <f t="shared" si="43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4">IF(COUNTIF(Q:Q,O516)*COUNTIF(S:S,O516),O516,"")</f>
        <v/>
      </c>
      <c r="V516" s="3" t="str">
        <f t="shared" ref="V516:V567" si="45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4"/>
        <v/>
      </c>
      <c r="V517" s="3" t="str">
        <f t="shared" si="45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4"/>
        <v/>
      </c>
      <c r="V518" s="3" t="str">
        <f t="shared" si="45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4"/>
        <v/>
      </c>
      <c r="V519" s="3" t="str">
        <f t="shared" si="45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4"/>
        <v/>
      </c>
      <c r="V520" s="3" t="str">
        <f t="shared" si="45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4"/>
        <v/>
      </c>
      <c r="V521" s="3" t="str">
        <f t="shared" si="45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4"/>
        <v/>
      </c>
      <c r="V522" s="3" t="str">
        <f t="shared" si="45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4"/>
        <v/>
      </c>
      <c r="V523" s="3" t="str">
        <f t="shared" si="45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4"/>
        <v/>
      </c>
      <c r="V524" s="3" t="str">
        <f t="shared" si="45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4"/>
        <v/>
      </c>
      <c r="V525" s="3" t="str">
        <f t="shared" si="45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4"/>
        <v/>
      </c>
      <c r="V526" s="3" t="str">
        <f t="shared" si="45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4"/>
        <v/>
      </c>
      <c r="V527" s="3" t="str">
        <f t="shared" si="45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4"/>
        <v/>
      </c>
      <c r="V528" s="3" t="str">
        <f t="shared" si="45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4"/>
        <v/>
      </c>
      <c r="V529" s="3" t="str">
        <f t="shared" si="45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4"/>
        <v/>
      </c>
      <c r="V530" s="3" t="str">
        <f t="shared" si="45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4"/>
        <v/>
      </c>
      <c r="V531" s="3" t="str">
        <f t="shared" si="45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4"/>
        <v/>
      </c>
      <c r="V532" s="3" t="str">
        <f t="shared" si="45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4"/>
        <v/>
      </c>
      <c r="V533" s="3" t="str">
        <f t="shared" si="45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4"/>
        <v/>
      </c>
      <c r="V534" s="3" t="str">
        <f t="shared" si="45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4"/>
        <v/>
      </c>
      <c r="V535" s="3" t="str">
        <f t="shared" si="45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4"/>
        <v/>
      </c>
      <c r="V536" s="3" t="str">
        <f t="shared" si="45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4"/>
        <v/>
      </c>
      <c r="V537" s="3" t="str">
        <f t="shared" si="45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4"/>
        <v/>
      </c>
      <c r="V538" s="3" t="str">
        <f t="shared" si="45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4"/>
        <v/>
      </c>
      <c r="V539" s="3" t="str">
        <f t="shared" si="45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4"/>
        <v/>
      </c>
      <c r="V540" s="3" t="str">
        <f t="shared" si="45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4"/>
        <v/>
      </c>
      <c r="V541" s="3" t="str">
        <f t="shared" si="45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4"/>
        <v/>
      </c>
      <c r="V542" s="3" t="str">
        <f t="shared" si="45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4"/>
        <v/>
      </c>
      <c r="V543" s="3" t="str">
        <f t="shared" si="45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4"/>
        <v/>
      </c>
      <c r="V544" s="3" t="str">
        <f t="shared" si="45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4"/>
        <v/>
      </c>
      <c r="V545" s="3" t="str">
        <f t="shared" si="45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4"/>
        <v/>
      </c>
      <c r="V546" s="3" t="str">
        <f t="shared" si="45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4"/>
        <v/>
      </c>
      <c r="V547" s="3" t="str">
        <f t="shared" si="45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4"/>
        <v/>
      </c>
      <c r="V548" s="3" t="str">
        <f t="shared" si="45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4"/>
        <v/>
      </c>
      <c r="V549" s="3" t="str">
        <f t="shared" si="45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4"/>
        <v/>
      </c>
      <c r="V550" s="3" t="str">
        <f t="shared" si="45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4"/>
        <v/>
      </c>
      <c r="V551" s="3" t="str">
        <f t="shared" si="45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4"/>
        <v/>
      </c>
      <c r="V552" s="3" t="str">
        <f t="shared" si="45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4"/>
        <v/>
      </c>
      <c r="V553" s="3" t="str">
        <f t="shared" si="45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4"/>
        <v/>
      </c>
      <c r="V554" s="3" t="str">
        <f t="shared" si="45"/>
        <v/>
      </c>
    </row>
    <row r="555" spans="1:22" x14ac:dyDescent="0.25">
      <c r="A555" s="39"/>
      <c r="B555" s="40"/>
      <c r="C555" s="2"/>
      <c r="D555" s="43"/>
      <c r="E555" s="40"/>
      <c r="F555" s="2"/>
      <c r="G555" s="43"/>
      <c r="H555" s="40"/>
      <c r="I555" s="41"/>
      <c r="J555" s="41"/>
      <c r="K555" s="43"/>
      <c r="L555" s="43"/>
      <c r="M555" s="44"/>
      <c r="U555" s="3" t="str">
        <f t="shared" si="44"/>
        <v/>
      </c>
      <c r="V555" s="3" t="str">
        <f t="shared" si="45"/>
        <v/>
      </c>
    </row>
    <row r="556" spans="1:22" x14ac:dyDescent="0.25">
      <c r="U556" s="3" t="str">
        <f t="shared" si="44"/>
        <v/>
      </c>
      <c r="V556" s="3" t="str">
        <f t="shared" si="45"/>
        <v/>
      </c>
    </row>
    <row r="557" spans="1:22" x14ac:dyDescent="0.25">
      <c r="U557" s="3" t="str">
        <f t="shared" si="44"/>
        <v/>
      </c>
      <c r="V557" s="3" t="str">
        <f t="shared" si="45"/>
        <v/>
      </c>
    </row>
    <row r="558" spans="1:22" x14ac:dyDescent="0.25">
      <c r="U558" s="3" t="str">
        <f t="shared" si="44"/>
        <v/>
      </c>
      <c r="V558" s="3" t="str">
        <f t="shared" si="45"/>
        <v/>
      </c>
    </row>
    <row r="559" spans="1:22" x14ac:dyDescent="0.25">
      <c r="U559" s="3" t="str">
        <f t="shared" si="44"/>
        <v/>
      </c>
      <c r="V559" s="3" t="str">
        <f t="shared" si="45"/>
        <v/>
      </c>
    </row>
    <row r="560" spans="1:22" x14ac:dyDescent="0.25">
      <c r="U560" s="3" t="str">
        <f t="shared" si="44"/>
        <v/>
      </c>
      <c r="V560" s="3" t="str">
        <f t="shared" si="45"/>
        <v/>
      </c>
    </row>
    <row r="561" spans="21:22" x14ac:dyDescent="0.25">
      <c r="U561" s="3" t="str">
        <f t="shared" si="44"/>
        <v/>
      </c>
      <c r="V561" s="3" t="str">
        <f t="shared" si="45"/>
        <v/>
      </c>
    </row>
    <row r="562" spans="21:22" x14ac:dyDescent="0.25">
      <c r="U562" s="3" t="str">
        <f t="shared" si="44"/>
        <v/>
      </c>
      <c r="V562" s="3" t="str">
        <f t="shared" si="45"/>
        <v/>
      </c>
    </row>
    <row r="563" spans="21:22" x14ac:dyDescent="0.25">
      <c r="U563" s="3" t="str">
        <f t="shared" si="44"/>
        <v/>
      </c>
      <c r="V563" s="3" t="str">
        <f t="shared" si="45"/>
        <v/>
      </c>
    </row>
    <row r="564" spans="21:22" x14ac:dyDescent="0.25">
      <c r="U564" s="3" t="str">
        <f t="shared" si="44"/>
        <v/>
      </c>
      <c r="V564" s="3" t="str">
        <f t="shared" si="45"/>
        <v/>
      </c>
    </row>
    <row r="565" spans="21:22" x14ac:dyDescent="0.25">
      <c r="U565" s="3" t="str">
        <f t="shared" si="44"/>
        <v/>
      </c>
      <c r="V565" s="3" t="str">
        <f t="shared" si="45"/>
        <v/>
      </c>
    </row>
    <row r="566" spans="21:22" x14ac:dyDescent="0.25">
      <c r="U566" s="3" t="str">
        <f t="shared" si="44"/>
        <v/>
      </c>
      <c r="V566" s="3" t="str">
        <f t="shared" si="45"/>
        <v/>
      </c>
    </row>
    <row r="567" spans="21:22" x14ac:dyDescent="0.25">
      <c r="U567" s="3" t="str">
        <f t="shared" si="44"/>
        <v/>
      </c>
      <c r="V567" s="3" t="str">
        <f t="shared" si="45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5 N50:N100 AI63:AI77 N116:N1048576">
    <cfRule type="cellIs" dxfId="2" priority="1" operator="lessThan">
      <formula>0</formula>
    </cfRule>
  </conditionalFormatting>
  <hyperlinks>
    <hyperlink ref="C4" r:id="rId1" xr:uid="{EB115D47-C756-4AFD-BBC9-C5D02D868BE3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A8E6-B6E4-4C98-AD32-C84709D2A7BF}">
  <dimension ref="A1:AJ569"/>
  <sheetViews>
    <sheetView tabSelected="1" topLeftCell="I1" zoomScale="90" zoomScaleNormal="90" workbookViewId="0">
      <selection activeCell="AG8" sqref="AG8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14.28515625" style="4" bestFit="1" customWidth="1"/>
    <col min="7" max="7" width="10.5703125" style="4" bestFit="1" customWidth="1"/>
    <col min="8" max="8" width="18" style="4" bestFit="1" customWidth="1"/>
    <col min="9" max="9" width="12.8554687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3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34" width="9.140625" style="4"/>
    <col min="35" max="35" width="17.140625" style="3" bestFit="1" customWidth="1"/>
    <col min="36" max="36" width="6.5703125" style="4" bestFit="1" customWidth="1"/>
    <col min="37" max="16384" width="9.140625" style="4"/>
  </cols>
  <sheetData>
    <row r="1" spans="1:36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46190.625</v>
      </c>
      <c r="AE1" s="7" t="s">
        <v>1</v>
      </c>
      <c r="AF1" s="6" cm="1">
        <f t="array" ref="AF1">LOOKUP(2,1/(AD:AD&lt;&gt;""),AD:AD)</f>
        <v>46198</v>
      </c>
    </row>
    <row r="2" spans="1:36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G2" s="1" t="s">
        <v>34</v>
      </c>
      <c r="H2" s="4" t="s">
        <v>35</v>
      </c>
      <c r="I2" s="1" t="s">
        <v>36</v>
      </c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38">_xlfn._xlws.SORT(_xlfn.UNIQUE(_xlfn._xlws.FILTER(V:V, ISNUMBER(V:V))))</f>
        <v>46114.625</v>
      </c>
      <c r="AE2" s="4" t="s">
        <v>5</v>
      </c>
      <c r="AF2" s="4">
        <f>VLOOKUP(AF1,AB:AC,2)</f>
        <v>247.30699999999999</v>
      </c>
      <c r="AI2" s="14" t="s">
        <v>2</v>
      </c>
    </row>
    <row r="3" spans="1:36" x14ac:dyDescent="0.25">
      <c r="A3" s="8" t="s">
        <v>6</v>
      </c>
      <c r="B3" s="17" t="s">
        <v>37</v>
      </c>
      <c r="C3" s="18" t="s">
        <v>8</v>
      </c>
      <c r="D3" s="8" t="s">
        <v>9</v>
      </c>
      <c r="F3" s="4" t="s">
        <v>38</v>
      </c>
      <c r="G3" s="1">
        <v>200</v>
      </c>
      <c r="H3" s="4">
        <f>200*B14</f>
        <v>61240</v>
      </c>
      <c r="I3" s="2">
        <f>INT(B5/H3)</f>
        <v>489</v>
      </c>
      <c r="N3" s="4"/>
      <c r="O3" s="3" cm="1">
        <f t="array" ref="O3:P55">_xll.BDH(B4, "LAST_PRICE", "01/26/2026 15:00:00", "01/26/2035 16:00:00", "BarSize=60", "BarType=T", "RecurDaily=True", "TZ=London")</f>
        <v>46094.625</v>
      </c>
      <c r="P3" s="4">
        <v>306.42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46094.625</v>
      </c>
      <c r="V3" s="3" t="str">
        <f>IF(U3&gt;$A$14,U3,"")</f>
        <v/>
      </c>
      <c r="W3" s="3">
        <v>46119.625</v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3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  <c r="AI3" s="3" cm="1">
        <f t="array" ref="AI3:AJ9">_xll.BDH("AHWU6 Index", "LAST_PRICE", "01/26/2026 15:00:00", "01/26/2035 16:00:00", "BarSize=60", "BarType=T", "RecurDaily=True", "TZ=London")</f>
        <v>46185.625</v>
      </c>
      <c r="AJ3" s="4">
        <v>314.76</v>
      </c>
    </row>
    <row r="4" spans="1:36" ht="30" customHeight="1" x14ac:dyDescent="0.25">
      <c r="A4" s="17" t="s">
        <v>12</v>
      </c>
      <c r="B4" s="23" t="s">
        <v>39</v>
      </c>
      <c r="C4" s="24" t="s">
        <v>14</v>
      </c>
      <c r="D4" s="23" t="s">
        <v>15</v>
      </c>
      <c r="G4" s="1"/>
      <c r="I4" s="2"/>
      <c r="N4" s="4"/>
      <c r="O4" s="3">
        <v>46097.625</v>
      </c>
      <c r="P4" s="4">
        <v>306.38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46097.625</v>
      </c>
      <c r="V4" s="3" t="str">
        <f t="shared" ref="V4:V67" si="1">IF(U4&gt;$A$14,U4,"")</f>
        <v/>
      </c>
      <c r="W4" s="3">
        <v>46120.625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0</v>
      </c>
      <c r="AI4" s="3">
        <v>46189.625</v>
      </c>
      <c r="AJ4" s="4">
        <v>315.8</v>
      </c>
    </row>
    <row r="5" spans="1:36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F5"/>
      <c r="N5" s="4"/>
      <c r="O5" s="3">
        <v>46098.625</v>
      </c>
      <c r="P5" s="4">
        <v>307.76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46098.625</v>
      </c>
      <c r="V5" s="3" t="str">
        <f t="shared" si="1"/>
        <v/>
      </c>
      <c r="W5" s="3">
        <v>46122.625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  <c r="AI5" s="3">
        <v>46190.625</v>
      </c>
      <c r="AJ5" s="4">
        <v>315.42</v>
      </c>
    </row>
    <row r="6" spans="1:36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46099.625</v>
      </c>
      <c r="P6" s="4">
        <v>307.33999999999997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46099.625</v>
      </c>
      <c r="V6" s="3" t="str">
        <f t="shared" si="1"/>
        <v/>
      </c>
      <c r="W6" s="3">
        <v>46126.625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  <c r="AI6" s="3">
        <v>46191.625</v>
      </c>
      <c r="AJ6" s="4">
        <v>315.68</v>
      </c>
    </row>
    <row r="7" spans="1:36" x14ac:dyDescent="0.25">
      <c r="A7" s="17" t="s">
        <v>19</v>
      </c>
      <c r="B7" s="28">
        <v>0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46100.625</v>
      </c>
      <c r="P7" s="4">
        <v>306.06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46100.625</v>
      </c>
      <c r="V7" s="3" t="str">
        <f t="shared" si="1"/>
        <v/>
      </c>
      <c r="W7" s="3">
        <v>46127.625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  <c r="AI7" s="3">
        <v>46192.625</v>
      </c>
      <c r="AJ7" s="4">
        <v>315.88</v>
      </c>
    </row>
    <row r="8" spans="1:36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46101.625</v>
      </c>
      <c r="P8" s="4">
        <v>304.02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46101.625</v>
      </c>
      <c r="V8" s="3" t="str">
        <f t="shared" si="1"/>
        <v/>
      </c>
      <c r="W8" s="3">
        <v>46128.625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  <c r="AI8" s="3">
        <v>46196.625</v>
      </c>
      <c r="AJ8" s="4">
        <v>315.56</v>
      </c>
    </row>
    <row r="9" spans="1:36" x14ac:dyDescent="0.25">
      <c r="A9" s="17" t="s">
        <v>22</v>
      </c>
      <c r="B9" s="30" cm="1">
        <f t="array" ref="B9">_xll.BDP(B4,"PX_LAST")</f>
        <v>313.66000000000003</v>
      </c>
      <c r="C9" s="30" cm="1">
        <f t="array" ref="C9">_xll.BDP(C4,"PX_LAST")</f>
        <v>99.747</v>
      </c>
      <c r="D9" s="30" cm="1">
        <f t="array" ref="D9">_xll.BDP(D4,"PX_LAST")</f>
        <v>247.30670000000001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46104.625</v>
      </c>
      <c r="P9" s="4">
        <v>305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46104.625</v>
      </c>
      <c r="V9" s="3" t="str">
        <f t="shared" si="1"/>
        <v/>
      </c>
      <c r="W9" s="3">
        <v>46129.625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  <c r="AI9" s="3">
        <v>46197.625</v>
      </c>
      <c r="AJ9" s="4">
        <v>315.52</v>
      </c>
    </row>
    <row r="10" spans="1:36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46105.625</v>
      </c>
      <c r="P10" s="4">
        <v>304.52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46105.625</v>
      </c>
      <c r="V10" s="3" t="str">
        <f t="shared" si="1"/>
        <v/>
      </c>
      <c r="W10" s="3">
        <v>46132.625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6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46106.625</v>
      </c>
      <c r="P11" s="4">
        <v>306.12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46106.625</v>
      </c>
      <c r="V11" s="3" t="str">
        <f t="shared" si="1"/>
        <v/>
      </c>
      <c r="W11" s="3">
        <v>46133.625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6" ht="15.75" thickBot="1" x14ac:dyDescent="0.3">
      <c r="A12" s="35" t="s">
        <v>24</v>
      </c>
      <c r="B12" s="53" t="s">
        <v>2</v>
      </c>
      <c r="C12" s="54"/>
      <c r="D12" s="55"/>
      <c r="E12" s="56" t="s">
        <v>3</v>
      </c>
      <c r="F12" s="57"/>
      <c r="G12" s="58"/>
      <c r="H12" s="59" t="s">
        <v>3</v>
      </c>
      <c r="I12" s="60"/>
      <c r="J12" s="60"/>
      <c r="K12" s="61"/>
      <c r="L12" s="11" t="s">
        <v>25</v>
      </c>
      <c r="M12" s="35" t="s">
        <v>26</v>
      </c>
      <c r="O12" s="3">
        <v>46107.625</v>
      </c>
      <c r="P12" s="4">
        <v>304.82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46107.625</v>
      </c>
      <c r="V12" s="3" t="str">
        <f t="shared" si="1"/>
        <v/>
      </c>
      <c r="W12" s="3">
        <v>46134.625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6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46108.625</v>
      </c>
      <c r="P13" s="4">
        <v>303.5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46108.625</v>
      </c>
      <c r="V13" s="3" t="str">
        <f t="shared" si="1"/>
        <v/>
      </c>
      <c r="W13" s="3">
        <v>46136.625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6" x14ac:dyDescent="0.25">
      <c r="A14" s="39">
        <v>46113.625</v>
      </c>
      <c r="B14" s="40">
        <v>306.2</v>
      </c>
      <c r="C14" s="2"/>
      <c r="D14" s="18"/>
      <c r="E14" s="40">
        <f>IF(COUNTIF($W$2:W999,A14)=1,VLOOKUP(A14,Q:R,2), IF(COUNTIF($W$2:W999,A14)=0,$C$9,""))</f>
        <v>99.747</v>
      </c>
      <c r="F14" s="1"/>
      <c r="G14" s="18"/>
      <c r="H14" s="40">
        <f>IF(COUNTIF($W$2:W999,A14)=1,VLOOKUP(A14,S:T,2), IF(COUNTIF($W$2:W999,A14)=0,$D$9,""))</f>
        <v>247.30670000000001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46111.625</v>
      </c>
      <c r="P14" s="4">
        <v>302.92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46111.625</v>
      </c>
      <c r="V14" s="3" t="str">
        <f t="shared" si="1"/>
        <v/>
      </c>
      <c r="W14" s="3">
        <v>46139.625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6" x14ac:dyDescent="0.25">
      <c r="A15" s="39">
        <f t="shared" ref="A15:A78" ca="1" si="3">IF(AND(ISBLANK(W4), A14 = $W$1),NOW(),IF(ISBLANK(W4),"",W4))</f>
        <v>46120.625</v>
      </c>
      <c r="B15" s="40">
        <f ca="1">IF(COUNTIF($W$2:W1000,A15)=1,VLOOKUP(A15,O:P,2), IF(COUNTIF($W$2:W1000,A15)=0,$B$9,""))</f>
        <v>309.58</v>
      </c>
      <c r="C15" s="2">
        <f ca="1">IF(ISERROR(B15-2),"",(B15-$B$14)*$G$3*$I$3)</f>
        <v>330563.99999999953</v>
      </c>
      <c r="D15" s="43"/>
      <c r="E15" s="40">
        <f ca="1">IF(COUNTIF($W$2:W1000,A15)=1,VLOOKUP(A15,Q:R,2), IF(COUNTIF($W$2:W1000,A15)=0,$C$9,""))</f>
        <v>99.777000000000001</v>
      </c>
      <c r="F15" s="2">
        <f ca="1">IF(ISERROR(B15-2),"",(E15-$E$14)/100*$C$5)</f>
        <v>7800.0000000002956</v>
      </c>
      <c r="G15" s="43">
        <f ca="1">IF(ISERROR(B15-2),"",(INT(A15)-INT($A$14))/360*$C$6*$C$5-(INT(A15)-INT($A$14))/360*$C$7*$C$5*$E$14/100)</f>
        <v>30.697333333333518</v>
      </c>
      <c r="H15" s="40">
        <f ca="1">IF(COUNTIF($W$2:W1000,A15)=1,VLOOKUP(A15,S:T,2), IF(COUNTIF($W$2:W1000,A15)=0,$D$9,""))</f>
        <v>301.61900000000003</v>
      </c>
      <c r="I15" s="41">
        <f ca="1">IF(COUNTIF($X$2:X1000,INT(A15))=1,VLOOKUP(INT(A15),X:Y,2), IF(ISERROR(H15-2),"",I14*(1-$D$8*(H15-H14)*0.0001)))</f>
        <v>262.38350000000003</v>
      </c>
      <c r="J15" s="41">
        <f ca="1">IF(ISERROR(H15-2),"",I15)</f>
        <v>262.38350000000003</v>
      </c>
      <c r="K15" s="43">
        <f ca="1">IF(ISERROR(H15-2),"",(J15/$J$14-1)*$D$5)</f>
        <v>-127165.37966537764</v>
      </c>
      <c r="L15" s="43"/>
      <c r="M15" s="44">
        <f ca="1">IF(ISERROR(B15-2),"",C15+D15-F15-G15-K15+SUM($L$14:L15))</f>
        <v>449898.68233204354</v>
      </c>
      <c r="O15" s="3">
        <v>46112.625</v>
      </c>
      <c r="P15" s="4">
        <v>304.16000000000003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46112.625</v>
      </c>
      <c r="V15" s="3" t="str">
        <f t="shared" si="1"/>
        <v/>
      </c>
      <c r="W15" s="3">
        <v>46140.625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6" x14ac:dyDescent="0.25">
      <c r="A16" s="39">
        <f t="shared" ca="1" si="3"/>
        <v>46122.625</v>
      </c>
      <c r="B16" s="40">
        <f ca="1">IF(COUNTIF($W$2:W1001,A16)=1,VLOOKUP(A16,O:P,2), IF(COUNTIF($W$2:W1001,A16)=0,$B$9,""))</f>
        <v>309.45999999999998</v>
      </c>
      <c r="C16" s="2">
        <f t="shared" ref="C16:C79" ca="1" si="4">IF(ISERROR(B16-2),"",(B16-$B$14)*$G$3*$I$3)</f>
        <v>318827.99999999913</v>
      </c>
      <c r="D16" s="43"/>
      <c r="E16" s="40">
        <f ca="1">IF(COUNTIF($W$2:W1001,A16)=1,VLOOKUP(A16,Q:R,2), IF(COUNTIF($W$2:W1001,A16)=0,$C$9,""))</f>
        <v>99.55</v>
      </c>
      <c r="F16" s="2">
        <f t="shared" ref="F16:F79" ca="1" si="5">IF(ISERROR(B16-2),"",(E16-$E$14)/100*$C$5)</f>
        <v>-51220.000000000713</v>
      </c>
      <c r="G16" s="43">
        <f t="shared" ref="G16:G79" ca="1" si="6">IF(ISERROR(B16-2),"",(INT(A16)-INT($A$14))/360*$C$6*$C$5-(INT(A16)-INT($A$14))/360*$C$7*$C$5*$E$14/100)</f>
        <v>39.468000000000757</v>
      </c>
      <c r="H16" s="40">
        <f ca="1">IF(COUNTIF($W$2:W1001,A16)=1,VLOOKUP(A16,S:T,2), IF(COUNTIF($W$2:W1001,A16)=0,$D$9,""))</f>
        <v>291.34300000000002</v>
      </c>
      <c r="I16" s="41">
        <f ca="1">IF(COUNTIF($X$2:X1001,INT(A16))=1,VLOOKUP(INT(A16),X:Y,2), IF(ISERROR(H16-2),"",I15*(1-$D$8*(H16-H15)*0.0001)))</f>
        <v>263.29309999999998</v>
      </c>
      <c r="J16" s="41">
        <f t="shared" ref="J16:J79" ca="1" si="7">IF(ISERROR(H16-2),"",I16)</f>
        <v>263.29309999999998</v>
      </c>
      <c r="K16" s="43">
        <f t="shared" ref="K16:K79" ca="1" si="8">IF(ISERROR(H16-2),"",(J16/$J$14-1)*$D$5)</f>
        <v>-62779.279279281996</v>
      </c>
      <c r="L16" s="43"/>
      <c r="M16" s="44">
        <f ca="1">IF(ISERROR(B16-2),"",C16+D16-F16-G16-K16+SUM($L$14:L16))</f>
        <v>432787.81127928186</v>
      </c>
      <c r="O16" s="3">
        <v>46113.625</v>
      </c>
      <c r="P16" s="4">
        <v>306.24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46113.625</v>
      </c>
      <c r="V16" s="3" t="str">
        <f t="shared" si="1"/>
        <v/>
      </c>
      <c r="W16" s="3">
        <v>46141.625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46126.625</v>
      </c>
      <c r="B17" s="40">
        <f ca="1">IF(COUNTIF($W$2:W1002,A17)=1,VLOOKUP(A17,O:P,2), IF(COUNTIF($W$2:W1002,A17)=0,$B$9,""))</f>
        <v>309.89999999999998</v>
      </c>
      <c r="C17" s="2">
        <f t="shared" ca="1" si="4"/>
        <v>361859.99999999889</v>
      </c>
      <c r="D17" s="43"/>
      <c r="E17" s="40">
        <f ca="1">IF(COUNTIF($W$2:W1002,A17)=1,VLOOKUP(A17,Q:R,2), IF(COUNTIF($W$2:W1002,A17)=0,$C$9,""))</f>
        <v>99.619</v>
      </c>
      <c r="F17" s="2">
        <f t="shared" ca="1" si="5"/>
        <v>-33280.000000000029</v>
      </c>
      <c r="G17" s="43">
        <f t="shared" ca="1" si="6"/>
        <v>57.009333333331597</v>
      </c>
      <c r="H17" s="40">
        <f ca="1">IF(COUNTIF($W$2:W1002,A17)=1,VLOOKUP(A17,S:T,2), IF(COUNTIF($W$2:W1002,A17)=0,$D$9,""))</f>
        <v>282.697</v>
      </c>
      <c r="I17" s="41">
        <f ca="1">IF(COUNTIF($X$2:X1002,INT(A17))=1,VLOOKUP(INT(A17),X:Y,2), IF(ISERROR(H17-2),"",I16*(1-$D$8*(H17-H16)*0.0001)))</f>
        <v>264.6927</v>
      </c>
      <c r="J17" s="41">
        <f t="shared" ca="1" si="7"/>
        <v>264.6927</v>
      </c>
      <c r="K17" s="43">
        <f t="shared" ca="1" si="8"/>
        <v>36291.505791503594</v>
      </c>
      <c r="L17" s="43"/>
      <c r="M17" s="44">
        <f ca="1">IF(ISERROR(B17-2),"",C17+D17-F17-G17-K17+SUM($L$14:L17))</f>
        <v>358791.48487516202</v>
      </c>
      <c r="O17" s="3">
        <v>46114.625</v>
      </c>
      <c r="P17" s="4">
        <v>306.5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46114.625</v>
      </c>
      <c r="V17" s="3">
        <f t="shared" si="1"/>
        <v>46114.625</v>
      </c>
      <c r="W17" s="3">
        <v>46142.625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46127.625</v>
      </c>
      <c r="B18" s="40">
        <f ca="1">IF(COUNTIF($W$2:W1003,A18)=1,VLOOKUP(A18,O:P,2), IF(COUNTIF($W$2:W1003,A18)=0,$B$9,""))</f>
        <v>310.42</v>
      </c>
      <c r="C18" s="2">
        <f t="shared" ca="1" si="4"/>
        <v>412716.00000000268</v>
      </c>
      <c r="D18" s="43"/>
      <c r="E18" s="40">
        <f ca="1">IF(COUNTIF($W$2:W1003,A18)=1,VLOOKUP(A18,Q:R,2), IF(COUNTIF($W$2:W1003,A18)=0,$C$9,""))</f>
        <v>99.653999999999996</v>
      </c>
      <c r="F18" s="2">
        <f t="shared" ca="1" si="5"/>
        <v>-24180.000000000917</v>
      </c>
      <c r="G18" s="43">
        <f t="shared" ca="1" si="6"/>
        <v>61.394666666667035</v>
      </c>
      <c r="H18" s="40">
        <f ca="1">IF(COUNTIF($W$2:W1003,A18)=1,VLOOKUP(A18,S:T,2), IF(COUNTIF($W$2:W1003,A18)=0,$D$9,""))</f>
        <v>282.51900000000001</v>
      </c>
      <c r="I18" s="41">
        <f ca="1">IF(COUNTIF($X$2:X1003,INT(A18))=1,VLOOKUP(INT(A18),X:Y,2), IF(ISERROR(H18-2),"",I17*(1-$D$8*(H18-H17)*0.0001)))</f>
        <v>264.62900000000002</v>
      </c>
      <c r="J18" s="41">
        <f t="shared" ca="1" si="7"/>
        <v>264.62900000000002</v>
      </c>
      <c r="K18" s="43">
        <f t="shared" ca="1" si="8"/>
        <v>31782.496782496895</v>
      </c>
      <c r="L18" s="43"/>
      <c r="M18" s="44">
        <f ca="1">IF(ISERROR(B18-2),"",C18+D18-F18-G18-K18+SUM($L$14:L18))</f>
        <v>405052.10855084</v>
      </c>
      <c r="O18" s="3">
        <v>46119.625</v>
      </c>
      <c r="P18" s="4">
        <v>305.86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46119.625</v>
      </c>
      <c r="V18" s="3">
        <f t="shared" si="1"/>
        <v>46119.625</v>
      </c>
      <c r="W18" s="3">
        <v>46147.625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46128.625</v>
      </c>
      <c r="B19" s="40">
        <f ca="1">IF(COUNTIF($W$2:W1004,A19)=1,VLOOKUP(A19,O:P,2), IF(COUNTIF($W$2:W1004,A19)=0,$B$9,""))</f>
        <v>310.64</v>
      </c>
      <c r="C19" s="2">
        <f t="shared" ca="1" si="4"/>
        <v>434231.99999999977</v>
      </c>
      <c r="D19" s="43"/>
      <c r="E19" s="40">
        <f ca="1">IF(COUNTIF($W$2:W1004,A19)=1,VLOOKUP(A19,Q:R,2), IF(COUNTIF($W$2:W1004,A19)=0,$C$9,""))</f>
        <v>99.677000000000007</v>
      </c>
      <c r="F19" s="2">
        <f t="shared" ca="1" si="5"/>
        <v>-18199.999999998228</v>
      </c>
      <c r="G19" s="43">
        <f t="shared" ca="1" si="6"/>
        <v>65.779999999998836</v>
      </c>
      <c r="H19" s="40">
        <f ca="1">IF(COUNTIF($W$2:W1004,A19)=1,VLOOKUP(A19,S:T,2), IF(COUNTIF($W$2:W1004,A19)=0,$D$9,""))</f>
        <v>286.733</v>
      </c>
      <c r="I19" s="41">
        <f ca="1">IF(COUNTIF($X$2:X1004,INT(A19))=1,VLOOKUP(INT(A19),X:Y,2), IF(ISERROR(H19-2),"",I18*(1-$D$8*(H19-H18)*0.0001)))</f>
        <v>264.24419999999998</v>
      </c>
      <c r="J19" s="41">
        <f t="shared" ca="1" si="7"/>
        <v>264.24419999999998</v>
      </c>
      <c r="K19" s="43">
        <f t="shared" ca="1" si="8"/>
        <v>4544.4015444009219</v>
      </c>
      <c r="L19" s="43"/>
      <c r="M19" s="44">
        <f ca="1">IF(ISERROR(B19-2),"",C19+D19-F19-G19-K19+SUM($L$14:L19))</f>
        <v>447821.81845559709</v>
      </c>
      <c r="O19" s="3">
        <v>46120.625</v>
      </c>
      <c r="P19" s="4">
        <v>309.58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46120.625</v>
      </c>
      <c r="V19" s="3">
        <f t="shared" si="1"/>
        <v>46120.625</v>
      </c>
      <c r="W19" s="3">
        <v>46148.625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46129.625</v>
      </c>
      <c r="B20" s="40">
        <f ca="1">IF(COUNTIF($W$2:W1005,A20)=1,VLOOKUP(A20,O:P,2), IF(COUNTIF($W$2:W1005,A20)=0,$B$9,""))</f>
        <v>312.38</v>
      </c>
      <c r="C20" s="2">
        <f t="shared" ca="1" si="4"/>
        <v>604404.0000000007</v>
      </c>
      <c r="D20" s="43"/>
      <c r="E20" s="40">
        <f ca="1">IF(COUNTIF($W$2:W1005,A20)=1,VLOOKUP(A20,Q:R,2), IF(COUNTIF($W$2:W1005,A20)=0,$C$9,""))</f>
        <v>99.953999999999994</v>
      </c>
      <c r="F20" s="2">
        <f t="shared" ca="1" si="5"/>
        <v>53819.999999998348</v>
      </c>
      <c r="G20" s="43">
        <f t="shared" ca="1" si="6"/>
        <v>70.165333333334274</v>
      </c>
      <c r="H20" s="40">
        <f ca="1">IF(COUNTIF($W$2:W1005,A20)=1,VLOOKUP(A20,S:T,2), IF(COUNTIF($W$2:W1005,A20)=0,$D$9,""))</f>
        <v>275.16800000000001</v>
      </c>
      <c r="I20" s="41">
        <f ca="1">IF(COUNTIF($X$2:X1005,INT(A20))=1,VLOOKUP(INT(A20),X:Y,2), IF(ISERROR(H20-2),"",I19*(1-$D$8*(H20-H19)*0.0001)))</f>
        <v>265.60180000000003</v>
      </c>
      <c r="J20" s="41">
        <f t="shared" ca="1" si="7"/>
        <v>265.60180000000003</v>
      </c>
      <c r="K20" s="43">
        <f t="shared" ca="1" si="8"/>
        <v>100642.21364221333</v>
      </c>
      <c r="L20" s="43"/>
      <c r="M20" s="44">
        <f ca="1">IF(ISERROR(B20-2),"",C20+D20-F20-G20-K20+SUM($L$14:L20))</f>
        <v>449871.6210244557</v>
      </c>
      <c r="O20" s="3">
        <v>46122.625</v>
      </c>
      <c r="P20" s="4">
        <v>309.45999999999998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46122.625</v>
      </c>
      <c r="V20" s="3">
        <f t="shared" si="1"/>
        <v>46122.625</v>
      </c>
      <c r="W20" s="3">
        <v>46149.625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46132.625</v>
      </c>
      <c r="B21" s="40">
        <f ca="1">IF(COUNTIF($W$2:W1006,A21)=1,VLOOKUP(A21,O:P,2), IF(COUNTIF($W$2:W1006,A21)=0,$B$9,""))</f>
        <v>311.66000000000003</v>
      </c>
      <c r="C21" s="2">
        <f t="shared" ca="1" si="4"/>
        <v>533988.00000000361</v>
      </c>
      <c r="D21" s="43"/>
      <c r="E21" s="40">
        <f ca="1">IF(COUNTIF($W$2:W1006,A21)=1,VLOOKUP(A21,Q:R,2), IF(COUNTIF($W$2:W1006,A21)=0,$C$9,""))</f>
        <v>99.831000000000003</v>
      </c>
      <c r="F21" s="2">
        <f t="shared" ca="1" si="5"/>
        <v>21840.000000000826</v>
      </c>
      <c r="G21" s="43">
        <f t="shared" ca="1" si="6"/>
        <v>83.321333333333314</v>
      </c>
      <c r="H21" s="40">
        <f ca="1">IF(COUNTIF($W$2:W1006,A21)=1,VLOOKUP(A21,S:T,2), IF(COUNTIF($W$2:W1006,A21)=0,$D$9,""))</f>
        <v>280.36399999999998</v>
      </c>
      <c r="I21" s="41">
        <f ca="1">IF(COUNTIF($X$2:X1006,INT(A21))=1,VLOOKUP(INT(A21),X:Y,2), IF(ISERROR(H21-2),"",I20*(1-$D$8*(H21-H20)*0.0001)))</f>
        <v>265.2414</v>
      </c>
      <c r="J21" s="41">
        <f t="shared" ca="1" si="7"/>
        <v>265.2414</v>
      </c>
      <c r="K21" s="43">
        <f t="shared" ca="1" si="8"/>
        <v>75131.274131274666</v>
      </c>
      <c r="L21" s="43"/>
      <c r="M21" s="44">
        <f ca="1">IF(ISERROR(B21-2),"",C21+D21-F21-G21-K21+SUM($L$14:L21))</f>
        <v>436933.4045353948</v>
      </c>
      <c r="O21" s="3">
        <v>46126.625</v>
      </c>
      <c r="P21" s="4">
        <v>309.89999999999998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46126.625</v>
      </c>
      <c r="V21" s="3">
        <f t="shared" si="1"/>
        <v>46126.625</v>
      </c>
      <c r="W21" s="3">
        <v>46150.625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46133.625</v>
      </c>
      <c r="B22" s="40">
        <f ca="1">IF(COUNTIF($W$2:W1007,A22)=1,VLOOKUP(A22,O:P,2), IF(COUNTIF($W$2:W1007,A22)=0,$B$9,""))</f>
        <v>311.39999999999998</v>
      </c>
      <c r="C22" s="2">
        <f t="shared" ca="1" si="4"/>
        <v>508559.99999999889</v>
      </c>
      <c r="D22" s="43"/>
      <c r="E22" s="40">
        <f ca="1">IF(COUNTIF($W$2:W1007,A22)=1,VLOOKUP(A22,Q:R,2), IF(COUNTIF($W$2:W1007,A22)=0,$C$9,""))</f>
        <v>99.707999999999998</v>
      </c>
      <c r="F22" s="2">
        <f t="shared" ca="1" si="5"/>
        <v>-10140.000000000384</v>
      </c>
      <c r="G22" s="43">
        <f t="shared" ca="1" si="6"/>
        <v>87.70666666667239</v>
      </c>
      <c r="H22" s="40">
        <f ca="1">IF(COUNTIF($W$2:W1007,A22)=1,VLOOKUP(A22,S:T,2), IF(COUNTIF($W$2:W1007,A22)=0,$D$9,""))</f>
        <v>285.44799999999998</v>
      </c>
      <c r="I22" s="41">
        <f ca="1">IF(COUNTIF($X$2:X1007,INT(A22))=1,VLOOKUP(INT(A22),X:Y,2), IF(ISERROR(H22-2),"",I21*(1-$D$8*(H22-H21)*0.0001)))</f>
        <v>264.60359999999997</v>
      </c>
      <c r="J22" s="41">
        <f t="shared" ca="1" si="7"/>
        <v>264.60359999999997</v>
      </c>
      <c r="K22" s="43">
        <f t="shared" ca="1" si="8"/>
        <v>29984.555984555296</v>
      </c>
      <c r="L22" s="43"/>
      <c r="M22" s="44">
        <f ca="1">IF(ISERROR(B22-2),"",C22+D22-F22-G22-K22+SUM($L$14:L22))</f>
        <v>488627.73734877736</v>
      </c>
      <c r="O22" s="3">
        <v>46127.625</v>
      </c>
      <c r="P22" s="4">
        <v>310.42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46127.625</v>
      </c>
      <c r="V22" s="3">
        <f t="shared" si="1"/>
        <v>46127.625</v>
      </c>
      <c r="W22" s="3">
        <v>46154.625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46134.625</v>
      </c>
      <c r="B23" s="40">
        <f ca="1">IF(COUNTIF($W$2:W1008,A23)=1,VLOOKUP(A23,O:P,2), IF(COUNTIF($W$2:W1008,A23)=0,$B$9,""))</f>
        <v>310.62</v>
      </c>
      <c r="C23" s="2">
        <f t="shared" ca="1" si="4"/>
        <v>432276.00000000157</v>
      </c>
      <c r="D23" s="43"/>
      <c r="E23" s="40">
        <f ca="1">IF(COUNTIF($W$2:W1008,A23)=1,VLOOKUP(A23,Q:R,2), IF(COUNTIF($W$2:W1008,A23)=0,$C$9,""))</f>
        <v>99.655000000000001</v>
      </c>
      <c r="F23" s="2">
        <f t="shared" ca="1" si="5"/>
        <v>-23919.999999999673</v>
      </c>
      <c r="G23" s="43">
        <f t="shared" ca="1" si="6"/>
        <v>92.092000000004191</v>
      </c>
      <c r="H23" s="40">
        <f ca="1">IF(COUNTIF($W$2:W1008,A23)=1,VLOOKUP(A23,S:T,2), IF(COUNTIF($W$2:W1008,A23)=0,$D$9,""))</f>
        <v>285.53500000000003</v>
      </c>
      <c r="I23" s="41">
        <f ca="1">IF(COUNTIF($X$2:X1008,INT(A23))=1,VLOOKUP(INT(A23),X:Y,2), IF(ISERROR(H23-2),"",I22*(1-$D$8*(H23-H22)*0.0001)))</f>
        <v>264.55340000000001</v>
      </c>
      <c r="J23" s="41">
        <f t="shared" ca="1" si="7"/>
        <v>264.55340000000001</v>
      </c>
      <c r="K23" s="43">
        <f t="shared" ca="1" si="8"/>
        <v>26431.145431146819</v>
      </c>
      <c r="L23" s="43"/>
      <c r="M23" s="44">
        <f ca="1">IF(ISERROR(B23-2),"",C23+D23-F23-G23-K23+SUM($L$14:L23))</f>
        <v>429672.76256885438</v>
      </c>
      <c r="O23" s="3">
        <v>46128.625</v>
      </c>
      <c r="P23" s="4">
        <v>310.64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46128.625</v>
      </c>
      <c r="V23" s="3">
        <f t="shared" si="1"/>
        <v>46128.625</v>
      </c>
      <c r="W23" s="3">
        <v>46155.625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46136.625</v>
      </c>
      <c r="B24" s="40">
        <f ca="1">IF(COUNTIF($W$2:W1009,A24)=1,VLOOKUP(A24,O:P,2), IF(COUNTIF($W$2:W1009,A24)=0,$B$9,""))</f>
        <v>310.48</v>
      </c>
      <c r="C24" s="2">
        <f t="shared" ca="1" si="4"/>
        <v>418584.00000000291</v>
      </c>
      <c r="D24" s="43"/>
      <c r="E24" s="40">
        <f ca="1">IF(COUNTIF($W$2:W1009,A24)=1,VLOOKUP(A24,Q:R,2), IF(COUNTIF($W$2:W1009,A24)=0,$C$9,""))</f>
        <v>99.637</v>
      </c>
      <c r="F24" s="2">
        <f t="shared" ca="1" si="5"/>
        <v>-28599.999999999851</v>
      </c>
      <c r="G24" s="43">
        <f t="shared" ca="1" si="6"/>
        <v>100.86266666666779</v>
      </c>
      <c r="H24" s="40">
        <f ca="1">IF(COUNTIF($W$2:W1009,A24)=1,VLOOKUP(A24,S:T,2), IF(COUNTIF($W$2:W1009,A24)=0,$D$9,""))</f>
        <v>288.863</v>
      </c>
      <c r="I24" s="41">
        <f ca="1">IF(COUNTIF($X$2:X1009,INT(A24))=1,VLOOKUP(INT(A24),X:Y,2), IF(ISERROR(H24-2),"",I23*(1-$D$8*(H24-H23)*0.0001)))</f>
        <v>264.2679</v>
      </c>
      <c r="J24" s="41">
        <f t="shared" ca="1" si="7"/>
        <v>264.2679</v>
      </c>
      <c r="K24" s="43">
        <f t="shared" ca="1" si="8"/>
        <v>6222.0077220071616</v>
      </c>
      <c r="L24" s="43"/>
      <c r="M24" s="44">
        <f ca="1">IF(ISERROR(B24-2),"",C24+D24-F24-G24-K24+SUM($L$14:L24))</f>
        <v>440861.12961132888</v>
      </c>
      <c r="O24" s="3">
        <v>46129.625</v>
      </c>
      <c r="P24" s="4">
        <v>312.38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46129.625</v>
      </c>
      <c r="V24" s="3">
        <f t="shared" si="1"/>
        <v>46129.625</v>
      </c>
      <c r="W24" s="3">
        <v>46157.625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46139.625</v>
      </c>
      <c r="B25" s="40">
        <f ca="1">IF(COUNTIF($W$2:W1010,A25)=1,VLOOKUP(A25,O:P,2), IF(COUNTIF($W$2:W1010,A25)=0,$B$9,""))</f>
        <v>310.7</v>
      </c>
      <c r="C25" s="2">
        <f t="shared" ca="1" si="4"/>
        <v>440100</v>
      </c>
      <c r="D25" s="43"/>
      <c r="E25" s="40">
        <f ca="1">IF(COUNTIF($W$2:W1010,A25)=1,VLOOKUP(A25,Q:R,2), IF(COUNTIF($W$2:W1010,A25)=0,$C$9,""))</f>
        <v>99.608000000000004</v>
      </c>
      <c r="F25" s="2">
        <f t="shared" ca="1" si="5"/>
        <v>-36139.999999998909</v>
      </c>
      <c r="G25" s="43">
        <f t="shared" ca="1" si="6"/>
        <v>114.01866666666319</v>
      </c>
      <c r="H25" s="40">
        <f ca="1">IF(COUNTIF($W$2:W1010,A25)=1,VLOOKUP(A25,S:T,2), IF(COUNTIF($W$2:W1010,A25)=0,$D$9,""))</f>
        <v>289.209</v>
      </c>
      <c r="I25" s="41">
        <f ca="1">IF(COUNTIF($X$2:X1010,INT(A25))=1,VLOOKUP(INT(A25),X:Y,2), IF(ISERROR(H25-2),"",I24*(1-$D$8*(H25-H24)*0.0001)))</f>
        <v>264.16750000000002</v>
      </c>
      <c r="J25" s="41">
        <f t="shared" ca="1" si="7"/>
        <v>264.16750000000002</v>
      </c>
      <c r="K25" s="43">
        <f t="shared" ca="1" si="8"/>
        <v>-884.81338481186663</v>
      </c>
      <c r="L25" s="43"/>
      <c r="M25" s="44">
        <f ca="1">IF(ISERROR(B25-2),"",C25+D25-F25-G25-K25+SUM($L$14:L25))</f>
        <v>477010.79471814411</v>
      </c>
      <c r="O25" s="3">
        <v>46132.625</v>
      </c>
      <c r="P25" s="4">
        <v>311.66000000000003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46132.625</v>
      </c>
      <c r="V25" s="3">
        <f t="shared" si="1"/>
        <v>46132.625</v>
      </c>
      <c r="W25" s="3">
        <v>46161.625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46140.625</v>
      </c>
      <c r="B26" s="40">
        <f ca="1">IF(COUNTIF($W$2:W1011,A26)=1,VLOOKUP(A26,O:P,2), IF(COUNTIF($W$2:W1011,A26)=0,$B$9,""))</f>
        <v>309.88</v>
      </c>
      <c r="C26" s="2">
        <f t="shared" ca="1" si="4"/>
        <v>359904.00000000064</v>
      </c>
      <c r="D26" s="43"/>
      <c r="E26" s="40">
        <f ca="1">IF(COUNTIF($W$2:W1011,A26)=1,VLOOKUP(A26,Q:R,2), IF(COUNTIF($W$2:W1011,A26)=0,$C$9,""))</f>
        <v>99.456000000000003</v>
      </c>
      <c r="F26" s="2">
        <f t="shared" ca="1" si="5"/>
        <v>-75659.999999999171</v>
      </c>
      <c r="G26" s="43">
        <f t="shared" ca="1" si="6"/>
        <v>118.40400000000227</v>
      </c>
      <c r="H26" s="40">
        <f ca="1">IF(COUNTIF($W$2:W1011,A26)=1,VLOOKUP(A26,S:T,2), IF(COUNTIF($W$2:W1011,A26)=0,$D$9,""))</f>
        <v>291.65699999999998</v>
      </c>
      <c r="I26" s="41">
        <f ca="1">IF(COUNTIF($X$2:X1011,INT(A26))=1,VLOOKUP(INT(A26),X:Y,2), IF(ISERROR(H26-2),"",I25*(1-$D$8*(H26-H25)*0.0001)))</f>
        <v>263.87139999999999</v>
      </c>
      <c r="J26" s="41">
        <f t="shared" ca="1" si="7"/>
        <v>263.87139999999999</v>
      </c>
      <c r="K26" s="43">
        <f t="shared" ca="1" si="8"/>
        <v>-21844.272844273248</v>
      </c>
      <c r="L26" s="43"/>
      <c r="M26" s="44">
        <f ca="1">IF(ISERROR(B26-2),"",C26+D26-F26-G26-K26+SUM($L$14:L26))</f>
        <v>457289.86884427309</v>
      </c>
      <c r="O26" s="3">
        <v>46133.625</v>
      </c>
      <c r="P26" s="4">
        <v>311.39999999999998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46133.625</v>
      </c>
      <c r="V26" s="3">
        <f t="shared" si="1"/>
        <v>46133.625</v>
      </c>
      <c r="W26" s="3">
        <v>46162.625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46141.625</v>
      </c>
      <c r="B27" s="40">
        <f ca="1">IF(COUNTIF($W$2:W1012,A27)=1,VLOOKUP(A27,O:P,2), IF(COUNTIF($W$2:W1012,A27)=0,$B$9,""))</f>
        <v>309.58</v>
      </c>
      <c r="C27" s="2">
        <f t="shared" ca="1" si="4"/>
        <v>330563.99999999953</v>
      </c>
      <c r="D27" s="43"/>
      <c r="E27" s="40">
        <f ca="1">IF(COUNTIF($W$2:W1012,A27)=1,VLOOKUP(A27,Q:R,2), IF(COUNTIF($W$2:W1012,A27)=0,$C$9,""))</f>
        <v>99.296000000000006</v>
      </c>
      <c r="F27" s="2">
        <f t="shared" ca="1" si="5"/>
        <v>-117259.99999999828</v>
      </c>
      <c r="G27" s="43">
        <f t="shared" ca="1" si="6"/>
        <v>122.78933333333407</v>
      </c>
      <c r="H27" s="40">
        <f ca="1">IF(COUNTIF($W$2:W1012,A27)=1,VLOOKUP(A27,S:T,2), IF(COUNTIF($W$2:W1012,A27)=0,$D$9,""))</f>
        <v>294.57900000000001</v>
      </c>
      <c r="I27" s="41">
        <f ca="1">IF(COUNTIF($X$2:X1012,INT(A27))=1,VLOOKUP(INT(A27),X:Y,2), IF(ISERROR(H27-2),"",I26*(1-$D$8*(H27-H26)*0.0001)))</f>
        <v>263.29599999999999</v>
      </c>
      <c r="J27" s="41">
        <f t="shared" ca="1" si="7"/>
        <v>263.29599999999999</v>
      </c>
      <c r="K27" s="43">
        <f t="shared" ca="1" si="8"/>
        <v>-62574.002574003418</v>
      </c>
      <c r="L27" s="43"/>
      <c r="M27" s="44">
        <f ca="1">IF(ISERROR(B27-2),"",C27+D27-F27-G27-K27+SUM($L$14:L27))</f>
        <v>510275.21324066789</v>
      </c>
      <c r="O27" s="3">
        <v>46134.625</v>
      </c>
      <c r="P27" s="4">
        <v>310.62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46134.625</v>
      </c>
      <c r="V27" s="3">
        <f t="shared" si="1"/>
        <v>46134.625</v>
      </c>
      <c r="W27" s="3">
        <v>46163.625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46142.625</v>
      </c>
      <c r="B28" s="40">
        <f ca="1">IF(COUNTIF($W$2:W1013,A28)=1,VLOOKUP(A28,O:P,2), IF(COUNTIF($W$2:W1013,A28)=0,$B$9,""))</f>
        <v>310</v>
      </c>
      <c r="C28" s="2">
        <f t="shared" ca="1" si="4"/>
        <v>371640.00000000111</v>
      </c>
      <c r="D28" s="43"/>
      <c r="E28" s="40">
        <f ca="1">IF(COUNTIF($W$2:W1013,A28)=1,VLOOKUP(A28,Q:R,2), IF(COUNTIF($W$2:W1013,A28)=0,$C$9,""))</f>
        <v>99.435000000000002</v>
      </c>
      <c r="F28" s="2">
        <f t="shared" ca="1" si="5"/>
        <v>-81119.999999999374</v>
      </c>
      <c r="G28" s="43">
        <f t="shared" ca="1" si="6"/>
        <v>127.17466666667315</v>
      </c>
      <c r="H28" s="40">
        <f ca="1">IF(COUNTIF($W$2:W1013,A28)=1,VLOOKUP(A28,S:T,2), IF(COUNTIF($W$2:W1013,A28)=0,$D$9,""))</f>
        <v>292.42099999999999</v>
      </c>
      <c r="I28" s="41">
        <f ca="1">IF(COUNTIF($X$2:X1013,INT(A28))=1,VLOOKUP(INT(A28),X:Y,2), IF(ISERROR(H28-2),"",I27*(1-$D$8*(H28-H27)*0.0001)))</f>
        <v>263.72019999999998</v>
      </c>
      <c r="J28" s="41">
        <f t="shared" ca="1" si="7"/>
        <v>263.72019999999998</v>
      </c>
      <c r="K28" s="43">
        <f t="shared" ca="1" si="8"/>
        <v>-32546.975546977552</v>
      </c>
      <c r="L28" s="43"/>
      <c r="M28" s="44">
        <f ca="1">IF(ISERROR(B28-2),"",C28+D28-F28-G28-K28+SUM($L$14:L28))</f>
        <v>485179.80088031135</v>
      </c>
      <c r="O28" s="3">
        <v>46136.625</v>
      </c>
      <c r="P28" s="4">
        <v>310.48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46136.625</v>
      </c>
      <c r="V28" s="3">
        <f t="shared" si="1"/>
        <v>46136.625</v>
      </c>
      <c r="W28" s="3">
        <v>46168.625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46147.625</v>
      </c>
      <c r="B29" s="40">
        <f ca="1">IF(COUNTIF($W$2:W1014,A29)=1,VLOOKUP(A29,O:P,2), IF(COUNTIF($W$2:W1014,A29)=0,$B$9,""))</f>
        <v>310.38</v>
      </c>
      <c r="C29" s="2">
        <f t="shared" ca="1" si="4"/>
        <v>408804.00000000064</v>
      </c>
      <c r="D29" s="43"/>
      <c r="E29" s="40">
        <f ca="1">IF(COUNTIF($W$2:W1014,A29)=1,VLOOKUP(A29,Q:R,2), IF(COUNTIF($W$2:W1014,A29)=0,$C$9,""))</f>
        <v>99.343000000000004</v>
      </c>
      <c r="F29" s="2">
        <f t="shared" ca="1" si="5"/>
        <v>-105039.99999999905</v>
      </c>
      <c r="G29" s="43">
        <f t="shared" ca="1" si="6"/>
        <v>149.10133333333215</v>
      </c>
      <c r="H29" s="40">
        <f ca="1">IF(COUNTIF($W$2:W1014,A29)=1,VLOOKUP(A29,S:T,2), IF(COUNTIF($W$2:W1014,A29)=0,$D$9,""))</f>
        <v>287.88900000000001</v>
      </c>
      <c r="I29" s="41">
        <f ca="1">IF(COUNTIF($X$2:X1014,INT(A29))=1,VLOOKUP(INT(A29),X:Y,2), IF(ISERROR(H29-2),"",I28*(1-$D$8*(H29-H28)*0.0001)))</f>
        <v>264.5573</v>
      </c>
      <c r="J29" s="41">
        <f t="shared" ca="1" si="7"/>
        <v>264.5573</v>
      </c>
      <c r="K29" s="43">
        <f t="shared" ca="1" si="8"/>
        <v>26707.207207207604</v>
      </c>
      <c r="L29" s="43"/>
      <c r="M29" s="44">
        <f ca="1">IF(ISERROR(B29-2),"",C29+D29-F29-G29-K29+SUM($L$14:L29))</f>
        <v>486987.69145945873</v>
      </c>
      <c r="O29" s="3">
        <v>46139.625</v>
      </c>
      <c r="P29" s="4">
        <v>310.7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46139.625</v>
      </c>
      <c r="V29" s="3">
        <f t="shared" si="1"/>
        <v>46139.625</v>
      </c>
      <c r="W29" s="3">
        <v>46169.625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46148.625</v>
      </c>
      <c r="B30" s="40">
        <f ca="1">IF(COUNTIF($W$2:W1015,A30)=1,VLOOKUP(A30,O:P,2), IF(COUNTIF($W$2:W1015,A30)=0,$B$9,""))</f>
        <v>311.94</v>
      </c>
      <c r="C30" s="2">
        <f t="shared" ca="1" si="4"/>
        <v>561372.00000000093</v>
      </c>
      <c r="D30" s="43"/>
      <c r="E30" s="40">
        <f ca="1">IF(COUNTIF($W$2:W1015,A30)=1,VLOOKUP(A30,Q:R,2), IF(COUNTIF($W$2:W1015,A30)=0,$C$9,""))</f>
        <v>99.63</v>
      </c>
      <c r="F30" s="2">
        <f t="shared" ca="1" si="5"/>
        <v>-30420.00000000115</v>
      </c>
      <c r="G30" s="43">
        <f t="shared" ca="1" si="6"/>
        <v>153.48666666666395</v>
      </c>
      <c r="H30" s="40">
        <f ca="1">IF(COUNTIF($W$2:W1015,A30)=1,VLOOKUP(A30,S:T,2), IF(COUNTIF($W$2:W1015,A30)=0,$D$9,""))</f>
        <v>275.09699999999998</v>
      </c>
      <c r="I30" s="41">
        <f ca="1">IF(COUNTIF($X$2:X1015,INT(A30))=1,VLOOKUP(INT(A30),X:Y,2), IF(ISERROR(H30-2),"",I29*(1-$D$8*(H30-H29)*0.0001)))</f>
        <v>266.11750000000001</v>
      </c>
      <c r="J30" s="41">
        <f t="shared" ca="1" si="7"/>
        <v>266.11750000000001</v>
      </c>
      <c r="K30" s="43">
        <f t="shared" ca="1" si="8"/>
        <v>137146.07464607395</v>
      </c>
      <c r="L30" s="43"/>
      <c r="M30" s="44">
        <f ca="1">IF(ISERROR(B30-2),"",C30+D30-F30-G30-K30+SUM($L$14:L30))</f>
        <v>454492.43868726143</v>
      </c>
      <c r="O30" s="3">
        <v>46140.625</v>
      </c>
      <c r="P30" s="4">
        <v>309.88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46140.625</v>
      </c>
      <c r="V30" s="3">
        <f t="shared" si="1"/>
        <v>46140.625</v>
      </c>
      <c r="W30" s="3">
        <v>46170.625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46149.625</v>
      </c>
      <c r="B31" s="40">
        <f ca="1">IF(COUNTIF($W$2:W1016,A31)=1,VLOOKUP(A31,O:P,2), IF(COUNTIF($W$2:W1016,A31)=0,$B$9,""))</f>
        <v>312.06</v>
      </c>
      <c r="C31" s="2">
        <f t="shared" ca="1" si="4"/>
        <v>573108.00000000128</v>
      </c>
      <c r="D31" s="43"/>
      <c r="E31" s="40">
        <f ca="1">IF(COUNTIF($W$2:W1016,A31)=1,VLOOKUP(A31,Q:R,2), IF(COUNTIF($W$2:W1016,A31)=0,$C$9,""))</f>
        <v>99.650999999999996</v>
      </c>
      <c r="F31" s="2">
        <f t="shared" ca="1" si="5"/>
        <v>-24960.000000000946</v>
      </c>
      <c r="G31" s="43">
        <f t="shared" ca="1" si="6"/>
        <v>157.87200000000303</v>
      </c>
      <c r="H31" s="40">
        <f ca="1">IF(COUNTIF($W$2:W1016,A31)=1,VLOOKUP(A31,S:T,2), IF(COUNTIF($W$2:W1016,A31)=0,$D$9,""))</f>
        <v>275.04599999999999</v>
      </c>
      <c r="I31" s="41">
        <f ca="1">IF(COUNTIF($X$2:X1016,INT(A31))=1,VLOOKUP(INT(A31),X:Y,2), IF(ISERROR(H31-2),"",I30*(1-$D$8*(H31-H30)*0.0001)))</f>
        <v>265.79050000000001</v>
      </c>
      <c r="J31" s="41">
        <f t="shared" ca="1" si="7"/>
        <v>265.79050000000001</v>
      </c>
      <c r="K31" s="43">
        <f t="shared" ca="1" si="8"/>
        <v>113999.35649935532</v>
      </c>
      <c r="L31" s="43"/>
      <c r="M31" s="44">
        <f ca="1">IF(ISERROR(B31-2),"",C31+D31-F31-G31-K31+SUM($L$14:L31))</f>
        <v>483910.77150064695</v>
      </c>
      <c r="O31" s="3">
        <v>46141.625</v>
      </c>
      <c r="P31" s="4">
        <v>309.58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46141.625</v>
      </c>
      <c r="V31" s="3">
        <f t="shared" si="1"/>
        <v>46141.625</v>
      </c>
      <c r="W31" s="3">
        <v>46171.625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46150.625</v>
      </c>
      <c r="B32" s="40">
        <f ca="1">IF(COUNTIF($W$2:W1017,A32)=1,VLOOKUP(A32,O:P,2), IF(COUNTIF($W$2:W1017,A32)=0,$B$9,""))</f>
        <v>312.38</v>
      </c>
      <c r="C32" s="2">
        <f t="shared" ca="1" si="4"/>
        <v>604404.0000000007</v>
      </c>
      <c r="D32" s="43"/>
      <c r="E32" s="40">
        <f ca="1">IF(COUNTIF($W$2:W1017,A32)=1,VLOOKUP(A32,Q:R,2), IF(COUNTIF($W$2:W1017,A32)=0,$C$9,""))</f>
        <v>99.58</v>
      </c>
      <c r="F32" s="2">
        <f t="shared" ca="1" si="5"/>
        <v>-43420.000000000415</v>
      </c>
      <c r="G32" s="43">
        <f t="shared" ca="1" si="6"/>
        <v>162.25733333333483</v>
      </c>
      <c r="H32" s="40">
        <f ca="1">IF(COUNTIF($W$2:W1017,A32)=1,VLOOKUP(A32,S:T,2), IF(COUNTIF($W$2:W1017,A32)=0,$D$9,""))</f>
        <v>277.74599999999998</v>
      </c>
      <c r="I32" s="41">
        <f ca="1">IF(COUNTIF($X$2:X1017,INT(A32))=1,VLOOKUP(INT(A32),X:Y,2), IF(ISERROR(H32-2),"",I31*(1-$D$8*(H32-H31)*0.0001)))</f>
        <v>265.83870000000002</v>
      </c>
      <c r="J32" s="41">
        <f t="shared" ca="1" si="7"/>
        <v>265.83870000000002</v>
      </c>
      <c r="K32" s="43">
        <f t="shared" ca="1" si="8"/>
        <v>117411.19691119937</v>
      </c>
      <c r="L32" s="43"/>
      <c r="M32" s="44">
        <f ca="1">IF(ISERROR(B32-2),"",C32+D32-F32-G32-K32+SUM($L$14:L32))</f>
        <v>530250.54575546843</v>
      </c>
      <c r="O32" s="3">
        <v>46142.625</v>
      </c>
      <c r="P32" s="4">
        <v>310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46142.625</v>
      </c>
      <c r="V32" s="3">
        <f t="shared" si="1"/>
        <v>46142.625</v>
      </c>
      <c r="W32" s="3">
        <v>46174.625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46154.625</v>
      </c>
      <c r="B33" s="40">
        <f ca="1">IF(COUNTIF($W$2:W1018,A33)=1,VLOOKUP(A33,O:P,2), IF(COUNTIF($W$2:W1018,A33)=0,$B$9,""))</f>
        <v>311.7</v>
      </c>
      <c r="C33" s="2">
        <f t="shared" ca="1" si="4"/>
        <v>537900</v>
      </c>
      <c r="D33" s="43"/>
      <c r="E33" s="40">
        <f ca="1">IF(COUNTIF($W$2:W1018,A33)=1,VLOOKUP(A33,Q:R,2), IF(COUNTIF($W$2:W1018,A33)=0,$C$9,""))</f>
        <v>99.322999999999993</v>
      </c>
      <c r="F33" s="2">
        <f t="shared" ca="1" si="5"/>
        <v>-110240.00000000172</v>
      </c>
      <c r="G33" s="43">
        <f t="shared" ca="1" si="6"/>
        <v>179.79866666666931</v>
      </c>
      <c r="H33" s="40">
        <f ca="1">IF(COUNTIF($W$2:W1018,A33)=1,VLOOKUP(A33,S:T,2), IF(COUNTIF($W$2:W1018,A33)=0,$D$9,""))</f>
        <v>283.721</v>
      </c>
      <c r="I33" s="41">
        <f ca="1">IF(COUNTIF($X$2:X1018,INT(A33))=1,VLOOKUP(INT(A33),X:Y,2), IF(ISERROR(H33-2),"",I32*(1-$D$8*(H33-H32)*0.0001)))</f>
        <v>265.19240000000002</v>
      </c>
      <c r="J33" s="41">
        <f t="shared" ca="1" si="7"/>
        <v>265.19240000000002</v>
      </c>
      <c r="K33" s="43">
        <f t="shared" ca="1" si="8"/>
        <v>71662.805662807339</v>
      </c>
      <c r="L33" s="43"/>
      <c r="M33" s="44">
        <f ca="1">IF(ISERROR(B33-2),"",C33+D33-F33-G33-K33+SUM($L$14:L33))</f>
        <v>576297.39567052783</v>
      </c>
      <c r="O33" s="3">
        <v>46146.625</v>
      </c>
      <c r="P33" s="4">
        <v>310.38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 t="str">
        <f t="shared" si="0"/>
        <v/>
      </c>
      <c r="V33" s="3" t="str">
        <f t="shared" si="1"/>
        <v/>
      </c>
      <c r="W33" s="3">
        <v>46176.625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46155.625</v>
      </c>
      <c r="B34" s="40">
        <f ca="1">IF(COUNTIF($W$2:W1019,A34)=1,VLOOKUP(A34,O:P,2), IF(COUNTIF($W$2:W1019,A34)=0,$B$9,""))</f>
        <v>311.88</v>
      </c>
      <c r="C34" s="2">
        <f t="shared" ca="1" si="4"/>
        <v>555504.0000000007</v>
      </c>
      <c r="D34" s="43"/>
      <c r="E34" s="40">
        <f ca="1">IF(COUNTIF($W$2:W1019,A34)=1,VLOOKUP(A34,Q:R,2), IF(COUNTIF($W$2:W1019,A34)=0,$C$9,""))</f>
        <v>99.292000000000002</v>
      </c>
      <c r="F34" s="2">
        <f t="shared" ca="1" si="5"/>
        <v>-118299.99999999955</v>
      </c>
      <c r="G34" s="43">
        <f t="shared" ca="1" si="6"/>
        <v>184.18400000000838</v>
      </c>
      <c r="H34" s="40">
        <f ca="1">IF(COUNTIF($W$2:W1019,A34)=1,VLOOKUP(A34,S:T,2), IF(COUNTIF($W$2:W1019,A34)=0,$D$9,""))</f>
        <v>280.03899999999999</v>
      </c>
      <c r="I34" s="41">
        <f ca="1">IF(COUNTIF($X$2:X1019,INT(A34))=1,VLOOKUP(INT(A34),X:Y,2), IF(ISERROR(H34-2),"",I33*(1-$D$8*(H34-H33)*0.0001)))</f>
        <v>265.76659999999998</v>
      </c>
      <c r="J34" s="41">
        <f t="shared" ca="1" si="7"/>
        <v>265.76659999999998</v>
      </c>
      <c r="K34" s="43">
        <f t="shared" ca="1" si="8"/>
        <v>112307.59330759221</v>
      </c>
      <c r="L34" s="43"/>
      <c r="M34" s="44">
        <f ca="1">IF(ISERROR(B34-2),"",C34+D34-F34-G34-K34+SUM($L$14:L34))</f>
        <v>561312.22269240802</v>
      </c>
      <c r="O34" s="3">
        <v>46147.625</v>
      </c>
      <c r="P34" s="4">
        <v>310.38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46147.625</v>
      </c>
      <c r="V34" s="3">
        <f t="shared" si="1"/>
        <v>46147.625</v>
      </c>
      <c r="W34" s="3">
        <v>46177.625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46157.625</v>
      </c>
      <c r="B35" s="40">
        <f ca="1">IF(COUNTIF($W$2:W1020,A35)=1,VLOOKUP(A35,O:P,2), IF(COUNTIF($W$2:W1020,A35)=0,$B$9,""))</f>
        <v>311.48</v>
      </c>
      <c r="C35" s="2">
        <f t="shared" ca="1" si="4"/>
        <v>516384.00000000291</v>
      </c>
      <c r="D35" s="43"/>
      <c r="E35" s="40">
        <f ca="1">IF(COUNTIF($W$2:W1020,A35)=1,VLOOKUP(A35,Q:R,2), IF(COUNTIF($W$2:W1020,A35)=0,$C$9,""))</f>
        <v>99.259</v>
      </c>
      <c r="F35" s="2">
        <f t="shared" ca="1" si="5"/>
        <v>-126879.99999999988</v>
      </c>
      <c r="G35" s="43">
        <f t="shared" ca="1" si="6"/>
        <v>192.95466666667198</v>
      </c>
      <c r="H35" s="40">
        <f ca="1">IF(COUNTIF($W$2:W1020,A35)=1,VLOOKUP(A35,S:T,2), IF(COUNTIF($W$2:W1020,A35)=0,$D$9,""))</f>
        <v>280.37200000000001</v>
      </c>
      <c r="I35" s="41">
        <f ca="1">IF(COUNTIF($X$2:X1020,INT(A35))=1,VLOOKUP(INT(A35),X:Y,2), IF(ISERROR(H35-2),"",I34*(1-$D$8*(H35-H34)*0.0001)))</f>
        <v>265.51639999999998</v>
      </c>
      <c r="J35" s="41">
        <f t="shared" ca="1" si="7"/>
        <v>265.51639999999998</v>
      </c>
      <c r="K35" s="43">
        <f t="shared" ca="1" si="8"/>
        <v>94597.168597164811</v>
      </c>
      <c r="L35" s="43"/>
      <c r="M35" s="44">
        <f ca="1">IF(ISERROR(B35-2),"",C35+D35-F35-G35-K35+SUM($L$14:L35))</f>
        <v>548473.87673617131</v>
      </c>
      <c r="O35" s="3">
        <v>46148.625</v>
      </c>
      <c r="P35" s="4">
        <v>311.94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46148.625</v>
      </c>
      <c r="V35" s="3">
        <f t="shared" si="1"/>
        <v>46148.625</v>
      </c>
      <c r="W35" s="3">
        <v>46182.625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46161.625</v>
      </c>
      <c r="B36" s="40">
        <f ca="1">IF(COUNTIF($W$2:W1021,A36)=1,VLOOKUP(A36,O:P,2), IF(COUNTIF($W$2:W1021,A36)=0,$B$9,""))</f>
        <v>311.22000000000003</v>
      </c>
      <c r="C36" s="2">
        <f t="shared" ca="1" si="4"/>
        <v>490956.00000000378</v>
      </c>
      <c r="D36" s="43"/>
      <c r="E36" s="40">
        <f ca="1">IF(COUNTIF($W$2:W1021,A36)=1,VLOOKUP(A36,Q:R,2), IF(COUNTIF($W$2:W1021,A36)=0,$C$9,""))</f>
        <v>99.180999999999997</v>
      </c>
      <c r="F36" s="2">
        <f t="shared" ca="1" si="5"/>
        <v>-147160.00000000067</v>
      </c>
      <c r="G36" s="43">
        <f t="shared" ca="1" si="6"/>
        <v>210.49599999999919</v>
      </c>
      <c r="H36" s="40">
        <f ca="1">IF(COUNTIF($W$2:W1021,A36)=1,VLOOKUP(A36,S:T,2), IF(COUNTIF($W$2:W1021,A36)=0,$D$9,""))</f>
        <v>285.488</v>
      </c>
      <c r="I36" s="41">
        <f ca="1">IF(COUNTIF($X$2:X1021,INT(A36))=1,VLOOKUP(INT(A36),X:Y,2), IF(ISERROR(H36-2),"",I35*(1-$D$8*(H36-H35)*0.0001)))</f>
        <v>265.08920000000001</v>
      </c>
      <c r="J36" s="41">
        <f t="shared" ca="1" si="7"/>
        <v>265.08920000000001</v>
      </c>
      <c r="K36" s="43">
        <f t="shared" ca="1" si="8"/>
        <v>64357.786357786084</v>
      </c>
      <c r="L36" s="43"/>
      <c r="M36" s="44">
        <f ca="1">IF(ISERROR(B36-2),"",C36+D36-F36-G36-K36+SUM($L$14:L36))</f>
        <v>573547.71764221834</v>
      </c>
      <c r="O36" s="3">
        <v>46149.625</v>
      </c>
      <c r="P36" s="4">
        <v>312.06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46149.625</v>
      </c>
      <c r="V36" s="3">
        <f t="shared" si="1"/>
        <v>46149.625</v>
      </c>
      <c r="W36" s="3">
        <v>46188.625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46162.625</v>
      </c>
      <c r="B37" s="40">
        <f ca="1">IF(COUNTIF($W$2:W1022,A37)=1,VLOOKUP(A37,O:P,2), IF(COUNTIF($W$2:W1022,A37)=0,$B$9,""))</f>
        <v>311.52</v>
      </c>
      <c r="C37" s="2">
        <f t="shared" ca="1" si="4"/>
        <v>520295.99999999936</v>
      </c>
      <c r="D37" s="43"/>
      <c r="E37" s="40">
        <f ca="1">IF(COUNTIF($W$2:W1022,A37)=1,VLOOKUP(A37,Q:R,2), IF(COUNTIF($W$2:W1022,A37)=0,$C$9,""))</f>
        <v>99.39</v>
      </c>
      <c r="F37" s="2">
        <f t="shared" ca="1" si="5"/>
        <v>-92819.999999999825</v>
      </c>
      <c r="G37" s="43">
        <f t="shared" ca="1" si="6"/>
        <v>214.88133333333826</v>
      </c>
      <c r="H37" s="40">
        <f ca="1">IF(COUNTIF($W$2:W1022,A37)=1,VLOOKUP(A37,S:T,2), IF(COUNTIF($W$2:W1022,A37)=0,$D$9,""))</f>
        <v>278.315</v>
      </c>
      <c r="I37" s="41">
        <f ca="1">IF(COUNTIF($X$2:X1022,INT(A37))=1,VLOOKUP(INT(A37),X:Y,2), IF(ISERROR(H37-2),"",I36*(1-$D$8*(H37-H36)*0.0001)))</f>
        <v>266.18329999999997</v>
      </c>
      <c r="J37" s="41">
        <f t="shared" ca="1" si="7"/>
        <v>266.18329999999997</v>
      </c>
      <c r="K37" s="43">
        <f t="shared" ca="1" si="8"/>
        <v>141803.73230372972</v>
      </c>
      <c r="L37" s="43"/>
      <c r="M37" s="44">
        <f ca="1">IF(ISERROR(B37-2),"",C37+D37-F37-G37-K37+SUM($L$14:L37))</f>
        <v>471097.38636293611</v>
      </c>
      <c r="O37" s="3">
        <v>46150.625</v>
      </c>
      <c r="P37" s="4">
        <v>312.38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46150.625</v>
      </c>
      <c r="V37" s="3">
        <f t="shared" si="1"/>
        <v>46150.625</v>
      </c>
      <c r="W37" s="3">
        <v>46189.625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46163.625</v>
      </c>
      <c r="B38" s="40">
        <f ca="1">IF(COUNTIF($W$2:W1023,A38)=1,VLOOKUP(A38,O:P,2), IF(COUNTIF($W$2:W1023,A38)=0,$B$9,""))</f>
        <v>311.18</v>
      </c>
      <c r="C38" s="2">
        <f t="shared" ca="1" si="4"/>
        <v>487044.0000000018</v>
      </c>
      <c r="D38" s="43"/>
      <c r="E38" s="40">
        <f ca="1">IF(COUNTIF($W$2:W1023,A38)=1,VLOOKUP(A38,Q:R,2), IF(COUNTIF($W$2:W1023,A38)=0,$C$9,""))</f>
        <v>99.37</v>
      </c>
      <c r="F38" s="2">
        <f t="shared" ca="1" si="5"/>
        <v>-98019.999999998792</v>
      </c>
      <c r="G38" s="43">
        <f t="shared" ca="1" si="6"/>
        <v>219.26666666667734</v>
      </c>
      <c r="H38" s="40">
        <f ca="1">IF(COUNTIF($W$2:W1023,A38)=1,VLOOKUP(A38,S:T,2), IF(COUNTIF($W$2:W1023,A38)=0,$D$9,""))</f>
        <v>279.541</v>
      </c>
      <c r="I38" s="41">
        <f ca="1">IF(COUNTIF($X$2:X1023,INT(A38))=1,VLOOKUP(INT(A38),X:Y,2), IF(ISERROR(H38-2),"",I37*(1-$D$8*(H38-H37)*0.0001)))</f>
        <v>265.81610000000001</v>
      </c>
      <c r="J38" s="41">
        <f t="shared" ca="1" si="7"/>
        <v>265.81610000000001</v>
      </c>
      <c r="K38" s="43">
        <f t="shared" ca="1" si="8"/>
        <v>115811.45431145377</v>
      </c>
      <c r="L38" s="43"/>
      <c r="M38" s="44">
        <f ca="1">IF(ISERROR(B38-2),"",C38+D38-F38-G38-K38+SUM($L$14:L38))</f>
        <v>469033.27902188012</v>
      </c>
      <c r="O38" s="3">
        <v>46154.625</v>
      </c>
      <c r="P38" s="4">
        <v>311.7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46154.625</v>
      </c>
      <c r="V38" s="3">
        <f t="shared" si="1"/>
        <v>46154.625</v>
      </c>
      <c r="W38" s="3">
        <v>46190.625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46168.625</v>
      </c>
      <c r="B39" s="40">
        <f ca="1">IF(COUNTIF($W$2:W1024,A39)=1,VLOOKUP(A39,O:P,2), IF(COUNTIF($W$2:W1024,A39)=0,$B$9,""))</f>
        <v>312.5</v>
      </c>
      <c r="C39" s="2">
        <f t="shared" ca="1" si="4"/>
        <v>616140.00000000116</v>
      </c>
      <c r="D39" s="43"/>
      <c r="E39" s="40">
        <f ca="1">IF(COUNTIF($W$2:W1024,A39)=1,VLOOKUP(A39,Q:R,2), IF(COUNTIF($W$2:W1024,A39)=0,$C$9,""))</f>
        <v>99.56</v>
      </c>
      <c r="F39" s="2">
        <f t="shared" ca="1" si="5"/>
        <v>-48619.999999999374</v>
      </c>
      <c r="G39" s="43">
        <f t="shared" ca="1" si="6"/>
        <v>241.19333333332906</v>
      </c>
      <c r="H39" s="40">
        <f ca="1">IF(COUNTIF($W$2:W1024,A39)=1,VLOOKUP(A39,S:T,2), IF(COUNTIF($W$2:W1024,A39)=0,$D$9,""))</f>
        <v>268.83499999999998</v>
      </c>
      <c r="I39" s="41">
        <f ca="1">IF(COUNTIF($X$2:X1024,INT(A39))=1,VLOOKUP(INT(A39),X:Y,2), IF(ISERROR(H39-2),"",I38*(1-$D$8*(H39-H38)*0.0001)))</f>
        <v>267.40750000000003</v>
      </c>
      <c r="J39" s="41">
        <f t="shared" ca="1" si="7"/>
        <v>267.40750000000003</v>
      </c>
      <c r="K39" s="43">
        <f t="shared" ca="1" si="8"/>
        <v>228458.81595881886</v>
      </c>
      <c r="L39" s="43"/>
      <c r="M39" s="44">
        <f ca="1">IF(ISERROR(B39-2),"",C39+D39-F39-G39-K39+SUM($L$14:L39))</f>
        <v>436059.99070784834</v>
      </c>
      <c r="O39" s="3">
        <v>46155.625</v>
      </c>
      <c r="P39" s="4">
        <v>311.88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46155.625</v>
      </c>
      <c r="V39" s="3">
        <f t="shared" si="1"/>
        <v>46155.625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46169.625</v>
      </c>
      <c r="B40" s="40">
        <f ca="1">IF(COUNTIF($W$2:W1025,A40)=1,VLOOKUP(A40,O:P,2), IF(COUNTIF($W$2:W1025,A40)=0,$B$9,""))</f>
        <v>312.83999999999997</v>
      </c>
      <c r="C40" s="2">
        <f t="shared" ca="1" si="4"/>
        <v>649391.99999999872</v>
      </c>
      <c r="D40" s="43"/>
      <c r="E40" s="40">
        <f ca="1">IF(COUNTIF($W$2:W1025,A40)=1,VLOOKUP(A40,Q:R,2), IF(COUNTIF($W$2:W1025,A40)=0,$C$9,""))</f>
        <v>99.588999999999999</v>
      </c>
      <c r="F40" s="2">
        <f t="shared" ca="1" si="5"/>
        <v>-41080.000000000327</v>
      </c>
      <c r="G40" s="43">
        <f t="shared" ca="1" si="6"/>
        <v>245.57866666666814</v>
      </c>
      <c r="H40" s="40">
        <f ca="1">IF(COUNTIF($W$2:W1025,A40)=1,VLOOKUP(A40,S:T,2), IF(COUNTIF($W$2:W1025,A40)=0,$D$9,""))</f>
        <v>266.55900000000003</v>
      </c>
      <c r="I40" s="41">
        <f ca="1">IF(COUNTIF($X$2:X1025,INT(A40))=1,VLOOKUP(INT(A40),X:Y,2), IF(ISERROR(H40-2),"",I39*(1-$D$8*(H40-H39)*0.0001)))</f>
        <v>267.66390000000001</v>
      </c>
      <c r="J40" s="41">
        <f t="shared" ca="1" si="7"/>
        <v>267.66390000000001</v>
      </c>
      <c r="K40" s="43">
        <f t="shared" ca="1" si="8"/>
        <v>246608.10810810883</v>
      </c>
      <c r="L40" s="43"/>
      <c r="M40" s="44">
        <f ca="1">IF(ISERROR(B40-2),"",C40+D40-F40-G40-K40+SUM($L$14:L40))</f>
        <v>443618.31322522357</v>
      </c>
      <c r="O40" s="3">
        <v>46157.625</v>
      </c>
      <c r="P40" s="4">
        <v>311.48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46157.625</v>
      </c>
      <c r="V40" s="3">
        <f t="shared" si="1"/>
        <v>46157.625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46170.625</v>
      </c>
      <c r="B41" s="40">
        <f ca="1">IF(COUNTIF($W$2:W1026,A41)=1,VLOOKUP(A41,O:P,2), IF(COUNTIF($W$2:W1026,A41)=0,$B$9,""))</f>
        <v>312.7</v>
      </c>
      <c r="C41" s="2">
        <f t="shared" ca="1" si="4"/>
        <v>635700</v>
      </c>
      <c r="D41" s="43"/>
      <c r="E41" s="40">
        <f ca="1">IF(COUNTIF($W$2:W1026,A41)=1,VLOOKUP(A41,Q:R,2), IF(COUNTIF($W$2:W1026,A41)=0,$C$9,""))</f>
        <v>99.653999999999996</v>
      </c>
      <c r="F41" s="2">
        <f t="shared" ca="1" si="5"/>
        <v>-24180.000000000917</v>
      </c>
      <c r="G41" s="43">
        <f t="shared" ca="1" si="6"/>
        <v>249.96400000000722</v>
      </c>
      <c r="H41" s="40">
        <f ca="1">IF(COUNTIF($W$2:W1026,A41)=1,VLOOKUP(A41,S:T,2), IF(COUNTIF($W$2:W1026,A41)=0,$D$9,""))</f>
        <v>264.23200000000003</v>
      </c>
      <c r="I41" s="41">
        <f ca="1">IF(COUNTIF($X$2:X1026,INT(A41))=1,VLOOKUP(INT(A41),X:Y,2), IF(ISERROR(H41-2),"",I40*(1-$D$8*(H41-H40)*0.0001)))</f>
        <v>268.21620000000001</v>
      </c>
      <c r="J41" s="41">
        <f t="shared" ca="1" si="7"/>
        <v>268.21620000000001</v>
      </c>
      <c r="K41" s="43">
        <f t="shared" ca="1" si="8"/>
        <v>285702.7027027033</v>
      </c>
      <c r="L41" s="43"/>
      <c r="M41" s="44">
        <f ca="1">IF(ISERROR(B41-2),"",C41+D41-F41-G41-K41+SUM($L$14:L41))</f>
        <v>373927.33329729759</v>
      </c>
      <c r="O41" s="3">
        <v>46161.625</v>
      </c>
      <c r="P41" s="4">
        <v>311.22000000000003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46161.625</v>
      </c>
      <c r="V41" s="3">
        <f t="shared" si="1"/>
        <v>46161.625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46171.625</v>
      </c>
      <c r="B42" s="40">
        <f ca="1">IF(COUNTIF($W$2:W1027,A42)=1,VLOOKUP(A42,O:P,2), IF(COUNTIF($W$2:W1027,A42)=0,$B$9,""))</f>
        <v>313.77999999999997</v>
      </c>
      <c r="C42" s="2">
        <f t="shared" ca="1" si="4"/>
        <v>741323.99999999849</v>
      </c>
      <c r="D42" s="43"/>
      <c r="E42" s="40">
        <f ca="1">IF(COUNTIF($W$2:W1027,A42)=1,VLOOKUP(A42,Q:R,2), IF(COUNTIF($W$2:W1027,A42)=0,$C$9,""))</f>
        <v>99.679000000000002</v>
      </c>
      <c r="F42" s="2">
        <f t="shared" ca="1" si="5"/>
        <v>-17679.999999999436</v>
      </c>
      <c r="G42" s="43">
        <f t="shared" ca="1" si="6"/>
        <v>254.34933333334629</v>
      </c>
      <c r="H42" s="40">
        <f ca="1">IF(COUNTIF($W$2:W1027,A42)=1,VLOOKUP(A42,S:T,2), IF(COUNTIF($W$2:W1027,A42)=0,$D$9,""))</f>
        <v>258.70600000000002</v>
      </c>
      <c r="I42" s="41">
        <f ca="1">IF(COUNTIF($X$2:X1027,INT(A42))=1,VLOOKUP(INT(A42),X:Y,2), IF(ISERROR(H42-2),"",I41*(1-$D$8*(H42-H41)*0.0001)))</f>
        <v>268.76229999999998</v>
      </c>
      <c r="J42" s="41">
        <f t="shared" ca="1" si="7"/>
        <v>268.76229999999998</v>
      </c>
      <c r="K42" s="43">
        <f t="shared" ca="1" si="8"/>
        <v>324358.42985842697</v>
      </c>
      <c r="L42" s="43"/>
      <c r="M42" s="44">
        <f ca="1">IF(ISERROR(B42-2),"",C42+D42-F42-G42-K42+SUM($L$14:L42))</f>
        <v>434391.22080823762</v>
      </c>
      <c r="O42" s="3">
        <v>46162.625</v>
      </c>
      <c r="P42" s="4">
        <v>311.52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46162.625</v>
      </c>
      <c r="V42" s="3">
        <f t="shared" si="1"/>
        <v>46162.625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46174.625</v>
      </c>
      <c r="B43" s="40">
        <f ca="1">IF(COUNTIF($W$2:W1028,A43)=1,VLOOKUP(A43,O:P,2), IF(COUNTIF($W$2:W1028,A43)=0,$B$9,""))</f>
        <v>312.83999999999997</v>
      </c>
      <c r="C43" s="2">
        <f t="shared" ca="1" si="4"/>
        <v>649391.99999999872</v>
      </c>
      <c r="D43" s="43"/>
      <c r="E43" s="40">
        <f ca="1">IF(COUNTIF($W$2:W1028,A43)=1,VLOOKUP(A43,Q:R,2), IF(COUNTIF($W$2:W1028,A43)=0,$C$9,""))</f>
        <v>99.450999999999993</v>
      </c>
      <c r="F43" s="2">
        <f t="shared" ca="1" si="5"/>
        <v>-76960.000000001688</v>
      </c>
      <c r="G43" s="43">
        <f t="shared" ca="1" si="6"/>
        <v>267.50533333333442</v>
      </c>
      <c r="H43" s="40">
        <f ca="1">IF(COUNTIF($W$2:W1028,A43)=1,VLOOKUP(A43,S:T,2), IF(COUNTIF($W$2:W1028,A43)=0,$D$9,""))</f>
        <v>265.43599999999998</v>
      </c>
      <c r="I43" s="41">
        <f ca="1">IF(COUNTIF($X$2:X1028,INT(A43))=1,VLOOKUP(INT(A43),X:Y,2), IF(ISERROR(H43-2),"",I42*(1-$D$8*(H43-H42)*0.0001)))</f>
        <v>268.39839999999998</v>
      </c>
      <c r="J43" s="41">
        <f t="shared" ca="1" si="7"/>
        <v>268.39839999999998</v>
      </c>
      <c r="K43" s="43">
        <f t="shared" ca="1" si="8"/>
        <v>298599.74259974121</v>
      </c>
      <c r="L43" s="43"/>
      <c r="M43" s="44">
        <f ca="1">IF(ISERROR(B43-2),"",C43+D43-F43-G43-K43+SUM($L$14:L43))</f>
        <v>427484.75206692598</v>
      </c>
      <c r="O43" s="3">
        <v>46163.625</v>
      </c>
      <c r="P43" s="4">
        <v>311.18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46163.625</v>
      </c>
      <c r="V43" s="3">
        <f t="shared" si="1"/>
        <v>46163.625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46176.625</v>
      </c>
      <c r="B44" s="40">
        <f ca="1">IF(COUNTIF($W$2:W1029,A44)=1,VLOOKUP(A44,O:P,2), IF(COUNTIF($W$2:W1029,A44)=0,$B$9,""))</f>
        <v>313.08</v>
      </c>
      <c r="C44" s="2">
        <f t="shared" ca="1" si="4"/>
        <v>672863.99999999953</v>
      </c>
      <c r="D44" s="43"/>
      <c r="E44" s="40">
        <f ca="1">IF(COUNTIF($W$2:W1029,A44)=1,VLOOKUP(A44,Q:R,2), IF(COUNTIF($W$2:W1029,A44)=0,$C$9,""))</f>
        <v>99.421999999999997</v>
      </c>
      <c r="F44" s="2">
        <f t="shared" ca="1" si="5"/>
        <v>-84500.000000000742</v>
      </c>
      <c r="G44" s="43">
        <f t="shared" ca="1" si="6"/>
        <v>276.27599999999802</v>
      </c>
      <c r="H44" s="40">
        <f ca="1">IF(COUNTIF($W$2:W1029,A44)=1,VLOOKUP(A44,S:T,2), IF(COUNTIF($W$2:W1029,A44)=0,$D$9,""))</f>
        <v>261.79599999999999</v>
      </c>
      <c r="I44" s="41">
        <f ca="1">IF(COUNTIF($X$2:X1029,INT(A44))=1,VLOOKUP(INT(A44),X:Y,2), IF(ISERROR(H44-2),"",I43*(1-$D$8*(H44-H43)*0.0001)))</f>
        <v>268.40789999999998</v>
      </c>
      <c r="J44" s="41">
        <f t="shared" ca="1" si="7"/>
        <v>268.40789999999998</v>
      </c>
      <c r="K44" s="43">
        <f t="shared" ca="1" si="8"/>
        <v>299272.20077219815</v>
      </c>
      <c r="L44" s="43"/>
      <c r="M44" s="44">
        <f ca="1">IF(ISERROR(B44-2),"",C44+D44-F44-G44-K44+SUM($L$14:L44))</f>
        <v>457815.52322780213</v>
      </c>
      <c r="O44" s="3">
        <v>46167.625</v>
      </c>
      <c r="P44" s="4">
        <v>313.02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 t="str">
        <f t="shared" si="0"/>
        <v/>
      </c>
      <c r="V44" s="3" t="str">
        <f t="shared" si="1"/>
        <v/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46177.625</v>
      </c>
      <c r="B45" s="40">
        <f ca="1">IF(COUNTIF($W$2:W1030,A45)=1,VLOOKUP(A45,O:P,2), IF(COUNTIF($W$2:W1030,A45)=0,$B$9,""))</f>
        <v>313.04000000000002</v>
      </c>
      <c r="C45" s="2">
        <f t="shared" ca="1" si="4"/>
        <v>668952.00000000314</v>
      </c>
      <c r="D45" s="43"/>
      <c r="E45" s="40">
        <f ca="1">IF(COUNTIF($W$2:W1030,A45)=1,VLOOKUP(A45,Q:R,2), IF(COUNTIF($W$2:W1030,A45)=0,$C$9,""))</f>
        <v>99.430999999999997</v>
      </c>
      <c r="F45" s="2">
        <f t="shared" ca="1" si="5"/>
        <v>-82160.000000000655</v>
      </c>
      <c r="G45" s="43">
        <f t="shared" ca="1" si="6"/>
        <v>280.6613333333371</v>
      </c>
      <c r="H45" s="40">
        <f ca="1">IF(COUNTIF($W$2:W1030,A45)=1,VLOOKUP(A45,S:T,2), IF(COUNTIF($W$2:W1030,A45)=0,$D$9,""))</f>
        <v>261.392</v>
      </c>
      <c r="I45" s="41">
        <f ca="1">IF(COUNTIF($X$2:X1030,INT(A45))=1,VLOOKUP(INT(A45),X:Y,2), IF(ISERROR(H45-2),"",I44*(1-$D$8*(H45-H44)*0.0001)))</f>
        <v>268.64510000000001</v>
      </c>
      <c r="J45" s="41">
        <f t="shared" ca="1" si="7"/>
        <v>268.64510000000001</v>
      </c>
      <c r="K45" s="43">
        <f t="shared" ca="1" si="8"/>
        <v>316062.41956242156</v>
      </c>
      <c r="L45" s="43"/>
      <c r="M45" s="44">
        <f ca="1">IF(ISERROR(B45-2),"",C45+D45-F45-G45-K45+SUM($L$14:L45))</f>
        <v>434768.91910424893</v>
      </c>
      <c r="O45" s="3">
        <v>46168.625</v>
      </c>
      <c r="P45" s="4">
        <v>312.5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46168.625</v>
      </c>
      <c r="V45" s="3">
        <f t="shared" si="1"/>
        <v>46168.625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46182.625</v>
      </c>
      <c r="B46" s="40">
        <f ca="1">IF(COUNTIF($W$2:W1031,A46)=1,VLOOKUP(A46,O:P,2), IF(COUNTIF($W$2:W1031,A46)=0,$B$9,""))</f>
        <v>313.3</v>
      </c>
      <c r="C46" s="2">
        <f t="shared" ca="1" si="4"/>
        <v>694380.00000000221</v>
      </c>
      <c r="D46" s="43"/>
      <c r="E46" s="40">
        <f ca="1">IF(COUNTIF($W$2:W1031,A46)=1,VLOOKUP(A46,Q:R,2), IF(COUNTIF($W$2:W1031,A46)=0,$C$9,""))</f>
        <v>99.396000000000001</v>
      </c>
      <c r="F46" s="2">
        <f t="shared" ca="1" si="5"/>
        <v>-91259.999999999767</v>
      </c>
      <c r="G46" s="43">
        <f t="shared" ca="1" si="6"/>
        <v>302.58800000000338</v>
      </c>
      <c r="H46" s="40">
        <f ca="1">IF(COUNTIF($W$2:W1031,A46)=1,VLOOKUP(A46,S:T,2), IF(COUNTIF($W$2:W1031,A46)=0,$D$9,""))</f>
        <v>261.05</v>
      </c>
      <c r="I46" s="41">
        <f ca="1">IF(COUNTIF($X$2:X1031,INT(A46))=1,VLOOKUP(INT(A46),X:Y,2), IF(ISERROR(H46-2),"",I45*(1-$D$8*(H46-H45)*0.0001)))</f>
        <v>268.3329</v>
      </c>
      <c r="J46" s="41">
        <f t="shared" ca="1" si="7"/>
        <v>268.3329</v>
      </c>
      <c r="K46" s="43">
        <f t="shared" ca="1" si="8"/>
        <v>293963.32046331867</v>
      </c>
      <c r="L46" s="43"/>
      <c r="M46" s="44">
        <f ca="1">IF(ISERROR(B46-2),"",C46+D46-F46-G46-K46+SUM($L$14:L46))</f>
        <v>491374.09153668332</v>
      </c>
      <c r="O46" s="3">
        <v>46169.625</v>
      </c>
      <c r="P46" s="4">
        <v>312.83999999999997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46169.625</v>
      </c>
      <c r="V46" s="3">
        <f t="shared" si="1"/>
        <v>46169.625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46188.625</v>
      </c>
      <c r="B47" s="40">
        <f ca="1">IF(COUNTIF($W$2:W1032,A47)=1,VLOOKUP(A47,O:P,2), IF(COUNTIF($W$2:W1032,A47)=0,$B$9,""))</f>
        <v>314.27999999999997</v>
      </c>
      <c r="C47" s="2">
        <f t="shared" ca="1" si="4"/>
        <v>790223.99999999849</v>
      </c>
      <c r="D47" s="43"/>
      <c r="E47" s="40">
        <f ca="1">IF(COUNTIF($W$2:W1032,A47)=1,VLOOKUP(A47,Q:R,2), IF(COUNTIF($W$2:W1032,A47)=0,$C$9,""))</f>
        <v>99.631</v>
      </c>
      <c r="F47" s="2">
        <f t="shared" ca="1" si="5"/>
        <v>-30159.999999999909</v>
      </c>
      <c r="G47" s="43">
        <f t="shared" ca="1" si="6"/>
        <v>328.89999999999418</v>
      </c>
      <c r="H47" s="40">
        <f ca="1">IF(COUNTIF($W$2:W1032,A47)=1,VLOOKUP(A47,S:T,2), IF(COUNTIF($W$2:W1032,A47)=0,$D$9,""))</f>
        <v>248.518</v>
      </c>
      <c r="I47" s="41">
        <f ca="1">IF(COUNTIF($X$2:X1032,INT(A47))=1,VLOOKUP(INT(A47),X:Y,2), IF(ISERROR(H47-2),"",I46*(1-$D$8*(H47-H46)*0.0001)))</f>
        <v>270.47059999999999</v>
      </c>
      <c r="J47" s="41">
        <f t="shared" ca="1" si="7"/>
        <v>270.47059999999999</v>
      </c>
      <c r="K47" s="43">
        <f t="shared" ca="1" si="8"/>
        <v>445280.56628056424</v>
      </c>
      <c r="L47" s="43"/>
      <c r="M47" s="44">
        <f ca="1">IF(ISERROR(B47-2),"",C47+D47-F47-G47-K47+SUM($L$14:L47))</f>
        <v>374774.53371943411</v>
      </c>
      <c r="O47" s="3">
        <v>46170.625</v>
      </c>
      <c r="P47" s="4">
        <v>312.7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46170.625</v>
      </c>
      <c r="V47" s="3">
        <f t="shared" si="1"/>
        <v>46170.625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46189.625</v>
      </c>
      <c r="B48" s="40">
        <f ca="1">IF(COUNTIF($W$2:W1033,A48)=1,VLOOKUP(A48,O:P,2), IF(COUNTIF($W$2:W1033,A48)=0,$B$9,""))</f>
        <v>314.16000000000003</v>
      </c>
      <c r="C48" s="2">
        <f t="shared" ca="1" si="4"/>
        <v>778488.00000000361</v>
      </c>
      <c r="D48" s="43"/>
      <c r="E48" s="40">
        <f ca="1">IF(COUNTIF($W$2:W1033,A48)=1,VLOOKUP(A48,Q:R,2), IF(COUNTIF($W$2:W1033,A48)=0,$C$9,""))</f>
        <v>99.625</v>
      </c>
      <c r="F48" s="2">
        <f t="shared" ca="1" si="5"/>
        <v>-31719.999999999971</v>
      </c>
      <c r="G48" s="43">
        <f t="shared" ca="1" si="6"/>
        <v>333.28533333333326</v>
      </c>
      <c r="H48" s="40">
        <f ca="1">IF(COUNTIF($W$2:W1033,A48)=1,VLOOKUP(A48,S:T,2), IF(COUNTIF($W$2:W1033,A48)=0,$D$9,""))</f>
        <v>249.79400000000001</v>
      </c>
      <c r="I48" s="41">
        <f ca="1">IF(COUNTIF($X$2:X1033,INT(A48))=1,VLOOKUP(INT(A48),X:Y,2), IF(ISERROR(H48-2),"",I47*(1-$D$8*(H48-H47)*0.0001)))</f>
        <v>270.3356</v>
      </c>
      <c r="J48" s="41">
        <f t="shared" ca="1" si="7"/>
        <v>270.3356</v>
      </c>
      <c r="K48" s="43">
        <f t="shared" ca="1" si="8"/>
        <v>435724.58172458195</v>
      </c>
      <c r="L48" s="43"/>
      <c r="M48" s="44">
        <f ca="1">IF(ISERROR(B48-2),"",C48+D48-F48-G48-K48+SUM($L$14:L48))</f>
        <v>374150.13294208836</v>
      </c>
      <c r="O48" s="3">
        <v>46171.625</v>
      </c>
      <c r="P48" s="4">
        <v>313.77999999999997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46171.625</v>
      </c>
      <c r="V48" s="3">
        <f t="shared" si="1"/>
        <v>46171.625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4" x14ac:dyDescent="0.25">
      <c r="A49" s="39">
        <f t="shared" ca="1" si="3"/>
        <v>46190.625</v>
      </c>
      <c r="B49" s="40">
        <f ca="1">IF(COUNTIF($W$2:W1034,A49)=1,VLOOKUP(A49,O:P,2), IF(COUNTIF($W$2:W1034,A49)=0,$B$9,""))</f>
        <v>313.66000000000003</v>
      </c>
      <c r="C49" s="2">
        <f t="shared" ca="1" si="4"/>
        <v>729588.00000000361</v>
      </c>
      <c r="D49" s="43"/>
      <c r="E49" s="40">
        <f ca="1">IF(COUNTIF($W$2:W1034,A49)=1,VLOOKUP(A49,Q:R,2), IF(COUNTIF($W$2:W1034,A49)=0,$C$9,""))</f>
        <v>99.600999999999999</v>
      </c>
      <c r="F49" s="2">
        <f t="shared" ca="1" si="5"/>
        <v>-37960.000000000204</v>
      </c>
      <c r="G49" s="43">
        <f t="shared" ca="1" si="6"/>
        <v>337.67066666667233</v>
      </c>
      <c r="H49" s="40">
        <f ca="1">IF(COUNTIF($W$2:W1034,A49)=1,VLOOKUP(A49,S:T,2), IF(COUNTIF($W$2:W1034,A49)=0,$D$9,""))</f>
        <v>252.459</v>
      </c>
      <c r="I49" s="41">
        <f ca="1">IF(COUNTIF($X$2:X1034,INT(A49))=1,VLOOKUP(INT(A49),X:Y,2), IF(ISERROR(H49-2),"",I48*(1-$D$8*(H49-H48)*0.0001)))</f>
        <v>270.1644</v>
      </c>
      <c r="J49" s="41">
        <f t="shared" ca="1" si="7"/>
        <v>270.1644</v>
      </c>
      <c r="K49" s="43">
        <f t="shared" ca="1" si="8"/>
        <v>423606.17760617536</v>
      </c>
      <c r="L49" s="43"/>
      <c r="M49" s="44">
        <f ca="1">IF(ISERROR(B49-2),"",C49+D49-F49-G49-K49+SUM($L$14:L49))</f>
        <v>343604.15172716178</v>
      </c>
      <c r="O49" s="3">
        <v>46174.625</v>
      </c>
      <c r="P49" s="4">
        <v>312.83999999999997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46174.625</v>
      </c>
      <c r="V49" s="3">
        <f t="shared" si="1"/>
        <v>46174.625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4" x14ac:dyDescent="0.25">
      <c r="A50" s="39">
        <f t="shared" ca="1" si="3"/>
        <v>46198.782066666667</v>
      </c>
      <c r="B50" s="40">
        <f ca="1">IF(COUNTIF($W$2:W1035,A50)=1,VLOOKUP(A50,O:P,2), IF(COUNTIF($W$2:W1035,A50)=0,$B$9,""))</f>
        <v>313.66000000000003</v>
      </c>
      <c r="C50" s="2">
        <f t="shared" ca="1" si="4"/>
        <v>729588.00000000361</v>
      </c>
      <c r="D50" s="43"/>
      <c r="E50" s="40">
        <f ca="1">IF(COUNTIF($W$2:W1035,A50)=1,VLOOKUP(A50,Q:R,2), IF(COUNTIF($W$2:W1035,A50)=0,$C$9,""))</f>
        <v>99.747</v>
      </c>
      <c r="F50" s="2">
        <f t="shared" ca="1" si="5"/>
        <v>0</v>
      </c>
      <c r="G50" s="43">
        <f t="shared" ca="1" si="6"/>
        <v>372.75333333332674</v>
      </c>
      <c r="H50" s="40">
        <f ca="1">IF(COUNTIF($W$2:W1035,A50)=1,VLOOKUP(A50,S:T,2), IF(COUNTIF($W$2:W1035,A50)=0,$D$9,""))</f>
        <v>247.30670000000001</v>
      </c>
      <c r="I50" s="41">
        <f ca="1">IF(COUNTIF($X$2:X1035,INT(A50))=1,VLOOKUP(INT(A50),X:Y,2), IF(ISERROR(H50-2),"",I49*(1-$D$8*(H50-H49)*0.0001)))</f>
        <v>270.97930000000002</v>
      </c>
      <c r="J50" s="41">
        <f t="shared" ca="1" si="7"/>
        <v>270.97930000000002</v>
      </c>
      <c r="K50" s="43">
        <f t="shared" ca="1" si="8"/>
        <v>481288.93178893486</v>
      </c>
      <c r="L50" s="43"/>
      <c r="M50" s="44">
        <f ca="1">IF(ISERROR(B50-2),"",C50+D50-F50-G50-K50+SUM($L$14:L50))</f>
        <v>247926.31487773545</v>
      </c>
      <c r="O50" s="3">
        <v>46176.625</v>
      </c>
      <c r="P50" s="4">
        <v>313.08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46176.625</v>
      </c>
      <c r="V50" s="3">
        <f t="shared" si="1"/>
        <v>46176.625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4" x14ac:dyDescent="0.25">
      <c r="A51" s="39" t="str">
        <f t="shared" ca="1" si="3"/>
        <v/>
      </c>
      <c r="B51" s="40" t="str">
        <f ca="1">IF(COUNTIF($W$2:W1036,A51)=1,VLOOKUP(A51,O:P,2), IF(COUNTIF($W$2:W1036,A51)=0,$B$9,""))</f>
        <v/>
      </c>
      <c r="C51" s="2" t="str">
        <f t="shared" ca="1" si="4"/>
        <v/>
      </c>
      <c r="D51" s="43"/>
      <c r="E51" s="40" t="str">
        <f ca="1">IF(COUNTIF($W$2:W1036,A51)=1,VLOOKUP(A51,Q:R,2), IF(COUNTIF($W$2:W1036,A51)=0,$C$9,""))</f>
        <v/>
      </c>
      <c r="F51" s="2" t="str">
        <f t="shared" ca="1" si="5"/>
        <v/>
      </c>
      <c r="G51" s="43" t="str">
        <f t="shared" ca="1" si="6"/>
        <v/>
      </c>
      <c r="H51" s="40" t="str">
        <f ca="1">IF(COUNTIF($W$2:W1036,A51)=1,VLOOKUP(A51,S:T,2), IF(COUNTIF($W$2:W1036,A51)=0,$D$9,""))</f>
        <v/>
      </c>
      <c r="I51" s="41" t="str">
        <f ca="1">IF(COUNTIF($X$2:X1036,INT(A51))=1,VLOOKUP(INT(A51),X:Y,2), IF(ISERROR(H51-2),"",I50*(1-$D$8*(H51-H50)*0.0001)))</f>
        <v/>
      </c>
      <c r="J51" s="41" t="str">
        <f t="shared" ca="1" si="7"/>
        <v/>
      </c>
      <c r="K51" s="43" t="str">
        <f t="shared" ca="1" si="8"/>
        <v/>
      </c>
      <c r="L51" s="43"/>
      <c r="M51" s="44" t="str">
        <f ca="1">IF(ISERROR(B51-2),"",C51+D51-F51-G51-K51+SUM($L$14:L51))</f>
        <v/>
      </c>
      <c r="O51" s="3">
        <v>46177.625</v>
      </c>
      <c r="P51" s="4">
        <v>313.04000000000002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46177.625</v>
      </c>
      <c r="V51" s="3">
        <f t="shared" si="1"/>
        <v>46177.625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4" x14ac:dyDescent="0.25">
      <c r="A52" s="39" t="str">
        <f t="shared" ca="1" si="3"/>
        <v/>
      </c>
      <c r="B52" s="40" t="str">
        <f ca="1">IF(COUNTIF($W$2:W1037,A52)=1,VLOOKUP(A52,O:P,2), IF(COUNTIF($W$2:W1037,A52)=0,$B$9,""))</f>
        <v/>
      </c>
      <c r="C52" s="2" t="str">
        <f t="shared" ca="1" si="4"/>
        <v/>
      </c>
      <c r="D52" s="43"/>
      <c r="E52" s="40" t="str">
        <f ca="1">IF(COUNTIF($W$2:W1037,A52)=1,VLOOKUP(A52,Q:R,2), IF(COUNTIF($W$2:W1037,A52)=0,$C$9,""))</f>
        <v/>
      </c>
      <c r="F52" s="2" t="str">
        <f t="shared" ca="1" si="5"/>
        <v/>
      </c>
      <c r="G52" s="43" t="str">
        <f t="shared" ca="1" si="6"/>
        <v/>
      </c>
      <c r="H52" s="40" t="str">
        <f ca="1">IF(COUNTIF($W$2:W1037,A52)=1,VLOOKUP(A52,S:T,2), IF(COUNTIF($W$2:W1037,A52)=0,$D$9,""))</f>
        <v/>
      </c>
      <c r="I52" s="41" t="str">
        <f ca="1">IF(COUNTIF($X$2:X1037,INT(A52))=1,VLOOKUP(INT(A52),X:Y,2), IF(ISERROR(H52-2),"",I51*(1-$D$8*(H52-H51)*0.0001)))</f>
        <v/>
      </c>
      <c r="J52" s="41" t="str">
        <f t="shared" ca="1" si="7"/>
        <v/>
      </c>
      <c r="K52" s="43" t="str">
        <f t="shared" ca="1" si="8"/>
        <v/>
      </c>
      <c r="L52" s="43"/>
      <c r="M52" s="44" t="str">
        <f ca="1">IF(ISERROR(B52-2),"",C52+D52-F52-G52-K52+SUM($L$14:L52))</f>
        <v/>
      </c>
      <c r="O52" s="3">
        <v>46182.625</v>
      </c>
      <c r="P52" s="4">
        <v>313.3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46182.625</v>
      </c>
      <c r="V52" s="3">
        <f t="shared" si="1"/>
        <v>46182.625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4" x14ac:dyDescent="0.25">
      <c r="A53" s="39" t="str">
        <f t="shared" ca="1" si="3"/>
        <v/>
      </c>
      <c r="B53" s="40" t="str">
        <f ca="1">IF(COUNTIF($W$2:W1038,A53)=1,VLOOKUP(A53,O:P,2), IF(COUNTIF($W$2:W1038,A53)=0,$B$9,""))</f>
        <v/>
      </c>
      <c r="C53" s="2" t="str">
        <f t="shared" ca="1" si="4"/>
        <v/>
      </c>
      <c r="D53" s="43"/>
      <c r="E53" s="40" t="str">
        <f ca="1">IF(COUNTIF($W$2:W1038,A53)=1,VLOOKUP(A53,Q:R,2), IF(COUNTIF($W$2:W1038,A53)=0,$C$9,""))</f>
        <v/>
      </c>
      <c r="F53" s="2" t="str">
        <f t="shared" ca="1" si="5"/>
        <v/>
      </c>
      <c r="G53" s="43" t="str">
        <f t="shared" ca="1" si="6"/>
        <v/>
      </c>
      <c r="H53" s="40" t="str">
        <f ca="1">IF(COUNTIF($W$2:W1038,A53)=1,VLOOKUP(A53,S:T,2), IF(COUNTIF($W$2:W1038,A53)=0,$D$9,""))</f>
        <v/>
      </c>
      <c r="I53" s="41" t="str">
        <f ca="1">IF(COUNTIF($X$2:X1038,INT(A53))=1,VLOOKUP(INT(A53),X:Y,2), IF(ISERROR(H53-2),"",I52*(1-$D$8*(H53-H52)*0.0001)))</f>
        <v/>
      </c>
      <c r="J53" s="41" t="str">
        <f t="shared" ca="1" si="7"/>
        <v/>
      </c>
      <c r="K53" s="43" t="str">
        <f t="shared" ca="1" si="8"/>
        <v/>
      </c>
      <c r="L53" s="43"/>
      <c r="M53" s="44" t="str">
        <f ca="1">IF(ISERROR(B53-2),"",C53+D53-F53-G53-K53+SUM($L$14:L53))</f>
        <v/>
      </c>
      <c r="O53" s="3">
        <v>46188.625</v>
      </c>
      <c r="P53" s="4">
        <v>314.27999999999997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46188.625</v>
      </c>
      <c r="V53" s="3">
        <f t="shared" si="1"/>
        <v>46188.625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4" x14ac:dyDescent="0.25">
      <c r="A54" s="39" t="str">
        <f t="shared" ca="1" si="3"/>
        <v/>
      </c>
      <c r="B54" s="40" t="str">
        <f ca="1">IF(COUNTIF($W$2:W1039,A54)=1,VLOOKUP(A54,O:P,2), IF(COUNTIF($W$2:W1039,A54)=0,$B$9,""))</f>
        <v/>
      </c>
      <c r="C54" s="2" t="str">
        <f t="shared" ca="1" si="4"/>
        <v/>
      </c>
      <c r="D54" s="43"/>
      <c r="E54" s="40" t="str">
        <f ca="1">IF(COUNTIF($W$2:W1039,A54)=1,VLOOKUP(A54,Q:R,2), IF(COUNTIF($W$2:W1039,A54)=0,$C$9,""))</f>
        <v/>
      </c>
      <c r="F54" s="2" t="str">
        <f t="shared" ca="1" si="5"/>
        <v/>
      </c>
      <c r="G54" s="43" t="str">
        <f t="shared" ca="1" si="6"/>
        <v/>
      </c>
      <c r="H54" s="40" t="str">
        <f ca="1">IF(COUNTIF($W$2:W1039,A54)=1,VLOOKUP(A54,S:T,2), IF(COUNTIF($W$2:W1039,A54)=0,$D$9,""))</f>
        <v/>
      </c>
      <c r="I54" s="41" t="str">
        <f ca="1">IF(COUNTIF($X$2:X1039,INT(A54))=1,VLOOKUP(INT(A54),X:Y,2), IF(ISERROR(H54-2),"",I53*(1-$D$8*(H54-H53)*0.0001)))</f>
        <v/>
      </c>
      <c r="J54" s="41" t="str">
        <f t="shared" ca="1" si="7"/>
        <v/>
      </c>
      <c r="K54" s="43" t="str">
        <f t="shared" ca="1" si="8"/>
        <v/>
      </c>
      <c r="L54" s="43"/>
      <c r="M54" s="44" t="str">
        <f ca="1">IF(ISERROR(B54-2),"",C54+D54-F54-G54-K54+SUM($L$14:L54))</f>
        <v/>
      </c>
      <c r="O54" s="3">
        <v>46189.625</v>
      </c>
      <c r="P54" s="4">
        <v>314.16000000000003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46189.625</v>
      </c>
      <c r="V54" s="3">
        <f t="shared" si="1"/>
        <v>46189.625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4" x14ac:dyDescent="0.25">
      <c r="A55" s="39" t="str">
        <f t="shared" ca="1" si="3"/>
        <v/>
      </c>
      <c r="B55" s="40" t="str">
        <f ca="1">IF(COUNTIF($W$2:W1040,A55)=1,VLOOKUP(A55,O:P,2), IF(COUNTIF($W$2:W1040,A55)=0,$B$9,""))</f>
        <v/>
      </c>
      <c r="C55" s="2" t="str">
        <f t="shared" ca="1" si="4"/>
        <v/>
      </c>
      <c r="D55" s="43"/>
      <c r="E55" s="40" t="str">
        <f ca="1">IF(COUNTIF($W$2:W1040,A55)=1,VLOOKUP(A55,Q:R,2), IF(COUNTIF($W$2:W1040,A55)=0,$C$9,""))</f>
        <v/>
      </c>
      <c r="F55" s="2" t="str">
        <f t="shared" ca="1" si="5"/>
        <v/>
      </c>
      <c r="G55" s="43" t="str">
        <f t="shared" ca="1" si="6"/>
        <v/>
      </c>
      <c r="H55" s="40" t="str">
        <f ca="1">IF(COUNTIF($W$2:W1040,A55)=1,VLOOKUP(A55,S:T,2), IF(COUNTIF($W$2:W1040,A55)=0,$D$9,""))</f>
        <v/>
      </c>
      <c r="I55" s="41" t="str">
        <f ca="1">IF(COUNTIF($X$2:X1040,INT(A55))=1,VLOOKUP(INT(A55),X:Y,2), IF(ISERROR(H55-2),"",I54*(1-$D$8*(H55-H54)*0.0001)))</f>
        <v/>
      </c>
      <c r="J55" s="41" t="str">
        <f t="shared" ca="1" si="7"/>
        <v/>
      </c>
      <c r="K55" s="43" t="str">
        <f t="shared" ca="1" si="8"/>
        <v/>
      </c>
      <c r="L55" s="43"/>
      <c r="M55" s="44" t="str">
        <f ca="1">IF(ISERROR(B55-2),"",C55+D55-F55-G55-K55+SUM($L$14:L55))</f>
        <v/>
      </c>
      <c r="O55" s="3">
        <v>46190.625</v>
      </c>
      <c r="P55" s="4">
        <v>313.66000000000003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46190.625</v>
      </c>
      <c r="V55" s="3">
        <f t="shared" si="1"/>
        <v>46190.625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4" x14ac:dyDescent="0.25">
      <c r="A56" s="39" t="str">
        <f t="shared" ca="1" si="3"/>
        <v/>
      </c>
      <c r="B56" s="40" t="str">
        <f ca="1">IF(COUNTIF($W$2:W1041,A56)=1,VLOOKUP(A56,O:P,2), IF(COUNTIF($W$2:W1041,A56)=0,$B$9,""))</f>
        <v/>
      </c>
      <c r="C56" s="2" t="str">
        <f t="shared" ca="1" si="4"/>
        <v/>
      </c>
      <c r="D56" s="43"/>
      <c r="E56" s="40" t="str">
        <f ca="1">IF(COUNTIF($W$2:W1041,A56)=1,VLOOKUP(A56,Q:R,2), IF(COUNTIF($W$2:W1041,A56)=0,$C$9,""))</f>
        <v/>
      </c>
      <c r="F56" s="2" t="str">
        <f t="shared" ca="1" si="5"/>
        <v/>
      </c>
      <c r="G56" s="43" t="str">
        <f t="shared" ca="1" si="6"/>
        <v/>
      </c>
      <c r="H56" s="40" t="str">
        <f ca="1">IF(COUNTIF($W$2:W1041,A56)=1,VLOOKUP(A56,S:T,2), IF(COUNTIF($W$2:W1041,A56)=0,$D$9,""))</f>
        <v/>
      </c>
      <c r="I56" s="41" t="str">
        <f ca="1">IF(COUNTIF($X$2:X1041,INT(A56))=1,VLOOKUP(INT(A56),X:Y,2), IF(ISERROR(H56-2),"",I55*(1-$D$8*(H56-H55)*0.0001)))</f>
        <v/>
      </c>
      <c r="J56" s="41" t="str">
        <f t="shared" ca="1" si="7"/>
        <v/>
      </c>
      <c r="K56" s="43" t="str">
        <f t="shared" ca="1" si="8"/>
        <v/>
      </c>
      <c r="L56" s="43"/>
      <c r="M56" s="44" t="str">
        <f ca="1">IF(ISERROR(B56-2),"",C56+D56-F56-G56-K56+SUM($L$14:L56))</f>
        <v/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 t="str">
        <f t="shared" si="0"/>
        <v/>
      </c>
      <c r="V56" s="3" t="str">
        <f t="shared" si="1"/>
        <v/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4" x14ac:dyDescent="0.25">
      <c r="A57" s="39" t="str">
        <f t="shared" ca="1" si="3"/>
        <v/>
      </c>
      <c r="B57" s="40" t="str">
        <f ca="1">IF(COUNTIF($W$2:W1042,A57)=1,VLOOKUP(A57,O:P,2), IF(COUNTIF($W$2:W1042,A57)=0,$B$9,""))</f>
        <v/>
      </c>
      <c r="C57" s="2" t="str">
        <f t="shared" ca="1" si="4"/>
        <v/>
      </c>
      <c r="D57" s="43"/>
      <c r="E57" s="40" t="str">
        <f ca="1">IF(COUNTIF($W$2:W1042,A57)=1,VLOOKUP(A57,Q:R,2), IF(COUNTIF($W$2:W1042,A57)=0,$C$9,""))</f>
        <v/>
      </c>
      <c r="F57" s="2" t="str">
        <f t="shared" ca="1" si="5"/>
        <v/>
      </c>
      <c r="G57" s="43" t="str">
        <f t="shared" ca="1" si="6"/>
        <v/>
      </c>
      <c r="H57" s="40" t="str">
        <f ca="1">IF(COUNTIF($W$2:W1042,A57)=1,VLOOKUP(A57,S:T,2), IF(COUNTIF($W$2:W1042,A57)=0,$D$9,""))</f>
        <v/>
      </c>
      <c r="I57" s="41" t="str">
        <f ca="1">IF(COUNTIF($X$2:X1042,INT(A57))=1,VLOOKUP(INT(A57),X:Y,2), IF(ISERROR(H57-2),"",I56*(1-$D$8*(H57-H56)*0.0001)))</f>
        <v/>
      </c>
      <c r="J57" s="41" t="str">
        <f t="shared" ca="1" si="7"/>
        <v/>
      </c>
      <c r="K57" s="43" t="str">
        <f t="shared" ca="1" si="8"/>
        <v/>
      </c>
      <c r="L57" s="43"/>
      <c r="M57" s="44" t="str">
        <f ca="1">IF(ISERROR(B57-2),"",C57+D57-F57-G57-K57+SUM($L$14:L57))</f>
        <v/>
      </c>
      <c r="Q57" s="3">
        <v>46126.625</v>
      </c>
      <c r="R57" s="4">
        <v>99.619</v>
      </c>
      <c r="S57" s="3">
        <v>46126.625</v>
      </c>
      <c r="T57" s="4">
        <v>282.697</v>
      </c>
      <c r="U57" s="3" t="str">
        <f t="shared" si="0"/>
        <v/>
      </c>
      <c r="V57" s="3" t="str">
        <f t="shared" si="1"/>
        <v/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4" x14ac:dyDescent="0.25">
      <c r="A58" s="39" t="str">
        <f t="shared" ca="1" si="3"/>
        <v/>
      </c>
      <c r="B58" s="40" t="str">
        <f ca="1">IF(COUNTIF($W$2:W1043,A58)=1,VLOOKUP(A58,O:P,2), IF(COUNTIF($W$2:W1043,A58)=0,$B$9,""))</f>
        <v/>
      </c>
      <c r="C58" s="2" t="str">
        <f t="shared" ca="1" si="4"/>
        <v/>
      </c>
      <c r="D58" s="43"/>
      <c r="E58" s="40" t="str">
        <f ca="1">IF(COUNTIF($W$2:W1043,A58)=1,VLOOKUP(A58,Q:R,2), IF(COUNTIF($W$2:W1043,A58)=0,$C$9,""))</f>
        <v/>
      </c>
      <c r="F58" s="2" t="str">
        <f t="shared" ca="1" si="5"/>
        <v/>
      </c>
      <c r="G58" s="43" t="str">
        <f t="shared" ca="1" si="6"/>
        <v/>
      </c>
      <c r="H58" s="40" t="str">
        <f ca="1">IF(COUNTIF($W$2:W1043,A58)=1,VLOOKUP(A58,S:T,2), IF(COUNTIF($W$2:W1043,A58)=0,$D$9,""))</f>
        <v/>
      </c>
      <c r="I58" s="41" t="str">
        <f ca="1">IF(COUNTIF($X$2:X1043,INT(A58))=1,VLOOKUP(INT(A58),X:Y,2), IF(ISERROR(H58-2),"",I57*(1-$D$8*(H58-H57)*0.0001)))</f>
        <v/>
      </c>
      <c r="J58" s="41" t="str">
        <f t="shared" ca="1" si="7"/>
        <v/>
      </c>
      <c r="K58" s="43" t="str">
        <f t="shared" ca="1" si="8"/>
        <v/>
      </c>
      <c r="L58" s="43"/>
      <c r="M58" s="44" t="str">
        <f ca="1">IF(ISERROR(B58-2),"",C58+D58-F58-G58-K58+SUM($L$14:L58))</f>
        <v/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 t="str">
        <f t="shared" si="0"/>
        <v/>
      </c>
      <c r="V58" s="3" t="str">
        <f t="shared" si="1"/>
        <v/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4" x14ac:dyDescent="0.25">
      <c r="A59" s="39" t="str">
        <f t="shared" ca="1" si="3"/>
        <v/>
      </c>
      <c r="B59" s="40" t="str">
        <f ca="1">IF(COUNTIF($W$2:W1044,A59)=1,VLOOKUP(A59,O:P,2), IF(COUNTIF($W$2:W1044,A59)=0,$B$9,""))</f>
        <v/>
      </c>
      <c r="C59" s="2" t="str">
        <f t="shared" ca="1" si="4"/>
        <v/>
      </c>
      <c r="D59" s="43"/>
      <c r="E59" s="40" t="str">
        <f ca="1">IF(COUNTIF($W$2:W1044,A59)=1,VLOOKUP(A59,Q:R,2), IF(COUNTIF($W$2:W1044,A59)=0,$C$9,""))</f>
        <v/>
      </c>
      <c r="F59" s="2" t="str">
        <f t="shared" ca="1" si="5"/>
        <v/>
      </c>
      <c r="G59" s="43" t="str">
        <f t="shared" ca="1" si="6"/>
        <v/>
      </c>
      <c r="H59" s="40" t="str">
        <f ca="1">IF(COUNTIF($W$2:W1044,A59)=1,VLOOKUP(A59,S:T,2), IF(COUNTIF($W$2:W1044,A59)=0,$D$9,""))</f>
        <v/>
      </c>
      <c r="I59" s="41" t="str">
        <f ca="1">IF(COUNTIF($X$2:X1044,INT(A59))=1,VLOOKUP(INT(A59),X:Y,2), IF(ISERROR(H59-2),"",I58*(1-$D$8*(H59-H58)*0.0001)))</f>
        <v/>
      </c>
      <c r="J59" s="41" t="str">
        <f t="shared" ca="1" si="7"/>
        <v/>
      </c>
      <c r="K59" s="43" t="str">
        <f t="shared" ca="1" si="8"/>
        <v/>
      </c>
      <c r="L59" s="43"/>
      <c r="M59" s="44" t="str">
        <f ca="1">IF(ISERROR(B59-2),"",C59+D59-F59-G59-K59+SUM($L$14:L59))</f>
        <v/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 t="str">
        <f t="shared" si="0"/>
        <v/>
      </c>
      <c r="V59" s="3" t="str">
        <f t="shared" si="1"/>
        <v/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4" x14ac:dyDescent="0.25">
      <c r="A60" s="39" t="str">
        <f t="shared" ca="1" si="3"/>
        <v/>
      </c>
      <c r="B60" s="40" t="str">
        <f ca="1">IF(COUNTIF($W$2:W1045,A60)=1,VLOOKUP(A60,O:P,2), IF(COUNTIF($W$2:W1045,A60)=0,$B$9,""))</f>
        <v/>
      </c>
      <c r="C60" s="2" t="str">
        <f t="shared" ca="1" si="4"/>
        <v/>
      </c>
      <c r="D60" s="43"/>
      <c r="E60" s="40" t="str">
        <f ca="1">IF(COUNTIF($W$2:W1045,A60)=1,VLOOKUP(A60,Q:R,2), IF(COUNTIF($W$2:W1045,A60)=0,$C$9,""))</f>
        <v/>
      </c>
      <c r="F60" s="2" t="str">
        <f t="shared" ca="1" si="5"/>
        <v/>
      </c>
      <c r="G60" s="43" t="str">
        <f t="shared" ca="1" si="6"/>
        <v/>
      </c>
      <c r="H60" s="40" t="str">
        <f ca="1">IF(COUNTIF($W$2:W1045,A60)=1,VLOOKUP(A60,S:T,2), IF(COUNTIF($W$2:W1045,A60)=0,$D$9,""))</f>
        <v/>
      </c>
      <c r="I60" s="41" t="str">
        <f ca="1">IF(COUNTIF($X$2:X1045,INT(A60))=1,VLOOKUP(INT(A60),X:Y,2), IF(ISERROR(H60-2),"",I59*(1-$D$8*(H60-H59)*0.0001)))</f>
        <v/>
      </c>
      <c r="J60" s="41" t="str">
        <f t="shared" ca="1" si="7"/>
        <v/>
      </c>
      <c r="K60" s="43" t="str">
        <f t="shared" ca="1" si="8"/>
        <v/>
      </c>
      <c r="L60" s="43"/>
      <c r="M60" s="44" t="str">
        <f ca="1">IF(ISERROR(B60-2),"",C60+D60-F60-G60-K60+SUM($L$14:L60))</f>
        <v/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 t="str">
        <f t="shared" si="0"/>
        <v/>
      </c>
      <c r="V60" s="3" t="str">
        <f t="shared" si="1"/>
        <v/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4" x14ac:dyDescent="0.25">
      <c r="A61" s="39" t="str">
        <f t="shared" ca="1" si="3"/>
        <v/>
      </c>
      <c r="B61" s="40" t="str">
        <f ca="1">IF(COUNTIF($W$2:W1046,A61)=1,VLOOKUP(A61,O:P,2), IF(COUNTIF($W$2:W1046,A61)=0,$B$9,""))</f>
        <v/>
      </c>
      <c r="C61" s="2" t="str">
        <f t="shared" ca="1" si="4"/>
        <v/>
      </c>
      <c r="D61" s="43"/>
      <c r="E61" s="40" t="str">
        <f ca="1">IF(COUNTIF($W$2:W1046,A61)=1,VLOOKUP(A61,Q:R,2), IF(COUNTIF($W$2:W1046,A61)=0,$C$9,""))</f>
        <v/>
      </c>
      <c r="F61" s="2" t="str">
        <f t="shared" ca="1" si="5"/>
        <v/>
      </c>
      <c r="G61" s="43" t="str">
        <f t="shared" ca="1" si="6"/>
        <v/>
      </c>
      <c r="H61" s="40" t="str">
        <f ca="1">IF(COUNTIF($W$2:W1046,A61)=1,VLOOKUP(A61,S:T,2), IF(COUNTIF($W$2:W1046,A61)=0,$D$9,""))</f>
        <v/>
      </c>
      <c r="I61" s="41" t="str">
        <f ca="1">IF(COUNTIF($X$2:X1046,INT(A61))=1,VLOOKUP(INT(A61),X:Y,2), IF(ISERROR(H61-2),"",I60*(1-$D$8*(H61-H60)*0.0001)))</f>
        <v/>
      </c>
      <c r="J61" s="41" t="str">
        <f t="shared" ca="1" si="7"/>
        <v/>
      </c>
      <c r="K61" s="43" t="str">
        <f t="shared" ca="1" si="8"/>
        <v/>
      </c>
      <c r="L61" s="43"/>
      <c r="M61" s="44" t="str">
        <f ca="1">IF(ISERROR(B61-2),"",C61+D61-F61-G61-K61+SUM($L$14:L61))</f>
        <v/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 t="str">
        <f t="shared" si="0"/>
        <v/>
      </c>
      <c r="V61" s="3" t="str">
        <f t="shared" si="1"/>
        <v/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4" x14ac:dyDescent="0.25">
      <c r="A62" s="39" t="str">
        <f t="shared" ca="1" si="3"/>
        <v/>
      </c>
      <c r="B62" s="40" t="str">
        <f ca="1">IF(COUNTIF($W$2:W1047,A62)=1,VLOOKUP(A62,O:P,2), IF(COUNTIF($W$2:W1047,A62)=0,$B$9,""))</f>
        <v/>
      </c>
      <c r="C62" s="2" t="str">
        <f t="shared" ca="1" si="4"/>
        <v/>
      </c>
      <c r="D62" s="43"/>
      <c r="E62" s="40" t="str">
        <f ca="1">IF(COUNTIF($W$2:W1047,A62)=1,VLOOKUP(A62,Q:R,2), IF(COUNTIF($W$2:W1047,A62)=0,$C$9,""))</f>
        <v/>
      </c>
      <c r="F62" s="2" t="str">
        <f t="shared" ca="1" si="5"/>
        <v/>
      </c>
      <c r="G62" s="43" t="str">
        <f t="shared" ca="1" si="6"/>
        <v/>
      </c>
      <c r="H62" s="40" t="str">
        <f ca="1">IF(COUNTIF($W$2:W1047,A62)=1,VLOOKUP(A62,S:T,2), IF(COUNTIF($W$2:W1047,A62)=0,$D$9,""))</f>
        <v/>
      </c>
      <c r="I62" s="41" t="str">
        <f ca="1">IF(COUNTIF($X$2:X1047,INT(A62))=1,VLOOKUP(INT(A62),X:Y,2), IF(ISERROR(H62-2),"",I61*(1-$D$8*(H62-H61)*0.0001)))</f>
        <v/>
      </c>
      <c r="J62" s="41" t="str">
        <f t="shared" ca="1" si="7"/>
        <v/>
      </c>
      <c r="K62" s="43" t="str">
        <f t="shared" ca="1" si="8"/>
        <v/>
      </c>
      <c r="L62" s="43"/>
      <c r="M62" s="44" t="str">
        <f ca="1">IF(ISERROR(B62-2),"",C62+D62-F62-G62-K62+SUM($L$14:L62))</f>
        <v/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 t="str">
        <f t="shared" si="0"/>
        <v/>
      </c>
      <c r="V62" s="3" t="str">
        <f t="shared" si="1"/>
        <v/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4" x14ac:dyDescent="0.25">
      <c r="A63" s="39" t="str">
        <f t="shared" ca="1" si="3"/>
        <v/>
      </c>
      <c r="B63" s="40" t="str">
        <f ca="1">IF(COUNTIF($W$2:W1048,A63)=1,VLOOKUP(A63,O:P,2), IF(COUNTIF($W$2:W1048,A63)=0,$B$9,""))</f>
        <v/>
      </c>
      <c r="C63" s="2" t="str">
        <f t="shared" ca="1" si="4"/>
        <v/>
      </c>
      <c r="D63" s="43"/>
      <c r="E63" s="40" t="str">
        <f ca="1">IF(COUNTIF($W$2:W1048,A63)=1,VLOOKUP(A63,Q:R,2), IF(COUNTIF($W$2:W1048,A63)=0,$C$9,""))</f>
        <v/>
      </c>
      <c r="F63" s="2" t="str">
        <f t="shared" ca="1" si="5"/>
        <v/>
      </c>
      <c r="G63" s="43" t="str">
        <f t="shared" ca="1" si="6"/>
        <v/>
      </c>
      <c r="H63" s="40" t="str">
        <f ca="1">IF(COUNTIF($W$2:W1048,A63)=1,VLOOKUP(A63,S:T,2), IF(COUNTIF($W$2:W1048,A63)=0,$D$9,""))</f>
        <v/>
      </c>
      <c r="I63" s="41" t="str">
        <f ca="1">IF(COUNTIF($X$2:X1048,INT(A63))=1,VLOOKUP(INT(A63),X:Y,2), IF(ISERROR(H63-2),"",I62*(1-$D$8*(H63-H62)*0.0001)))</f>
        <v/>
      </c>
      <c r="J63" s="41" t="str">
        <f t="shared" ca="1" si="7"/>
        <v/>
      </c>
      <c r="K63" s="43" t="str">
        <f t="shared" ca="1" si="8"/>
        <v/>
      </c>
      <c r="L63" s="43"/>
      <c r="M63" s="44" t="str">
        <f ca="1">IF(ISERROR(B63-2),"",C63+D63-F63-G63-K63+SUM($L$14:L63))</f>
        <v/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 t="str">
        <f t="shared" si="0"/>
        <v/>
      </c>
      <c r="V63" s="3" t="str">
        <f t="shared" si="1"/>
        <v/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</row>
    <row r="64" spans="1:34" x14ac:dyDescent="0.25">
      <c r="A64" s="39" t="str">
        <f t="shared" ca="1" si="3"/>
        <v/>
      </c>
      <c r="B64" s="40" t="str">
        <f ca="1">IF(COUNTIF($W$2:W1049,A64)=1,VLOOKUP(A64,O:P,2), IF(COUNTIF($W$2:W1049,A64)=0,$B$9,""))</f>
        <v/>
      </c>
      <c r="C64" s="2" t="str">
        <f t="shared" ca="1" si="4"/>
        <v/>
      </c>
      <c r="D64" s="43"/>
      <c r="E64" s="40" t="str">
        <f ca="1">IF(COUNTIF($W$2:W1049,A64)=1,VLOOKUP(A64,Q:R,2), IF(COUNTIF($W$2:W1049,A64)=0,$C$9,""))</f>
        <v/>
      </c>
      <c r="F64" s="2" t="str">
        <f t="shared" ca="1" si="5"/>
        <v/>
      </c>
      <c r="G64" s="43" t="str">
        <f t="shared" ca="1" si="6"/>
        <v/>
      </c>
      <c r="H64" s="40" t="str">
        <f ca="1">IF(COUNTIF($W$2:W1049,A64)=1,VLOOKUP(A64,S:T,2), IF(COUNTIF($W$2:W1049,A64)=0,$D$9,""))</f>
        <v/>
      </c>
      <c r="I64" s="41" t="str">
        <f ca="1">IF(COUNTIF($X$2:X1049,INT(A64))=1,VLOOKUP(INT(A64),X:Y,2), IF(ISERROR(H64-2),"",I63*(1-$D$8*(H64-H63)*0.0001)))</f>
        <v/>
      </c>
      <c r="J64" s="41" t="str">
        <f t="shared" ca="1" si="7"/>
        <v/>
      </c>
      <c r="K64" s="43" t="str">
        <f t="shared" ca="1" si="8"/>
        <v/>
      </c>
      <c r="L64" s="43"/>
      <c r="M64" s="44" t="str">
        <f ca="1">IF(ISERROR(B64-2),"",C64+D64-F64-G64-K64+SUM($L$14:L64))</f>
        <v/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 t="str">
        <f t="shared" si="0"/>
        <v/>
      </c>
      <c r="V64" s="3" t="str">
        <f t="shared" si="1"/>
        <v/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</row>
    <row r="65" spans="1:34" x14ac:dyDescent="0.25">
      <c r="A65" s="39" t="str">
        <f t="shared" ca="1" si="3"/>
        <v/>
      </c>
      <c r="B65" s="40" t="str">
        <f ca="1">IF(COUNTIF($W$2:W1050,A65)=1,VLOOKUP(A65,O:P,2), IF(COUNTIF($W$2:W1050,A65)=0,$B$9,""))</f>
        <v/>
      </c>
      <c r="C65" s="2" t="str">
        <f t="shared" ca="1" si="4"/>
        <v/>
      </c>
      <c r="D65" s="43"/>
      <c r="E65" s="40" t="str">
        <f ca="1">IF(COUNTIF($W$2:W1050,A65)=1,VLOOKUP(A65,Q:R,2), IF(COUNTIF($W$2:W1050,A65)=0,$C$9,""))</f>
        <v/>
      </c>
      <c r="F65" s="2" t="str">
        <f t="shared" ca="1" si="5"/>
        <v/>
      </c>
      <c r="G65" s="43" t="str">
        <f t="shared" ca="1" si="6"/>
        <v/>
      </c>
      <c r="H65" s="40" t="str">
        <f ca="1">IF(COUNTIF($W$2:W1050,A65)=1,VLOOKUP(A65,S:T,2), IF(COUNTIF($W$2:W1050,A65)=0,$D$9,""))</f>
        <v/>
      </c>
      <c r="I65" s="41" t="str">
        <f ca="1">IF(COUNTIF($X$2:X1050,INT(A65))=1,VLOOKUP(INT(A65),X:Y,2), IF(ISERROR(H65-2),"",I64*(1-$D$8*(H65-H64)*0.0001)))</f>
        <v/>
      </c>
      <c r="J65" s="41" t="str">
        <f t="shared" ca="1" si="7"/>
        <v/>
      </c>
      <c r="K65" s="43" t="str">
        <f t="shared" ca="1" si="8"/>
        <v/>
      </c>
      <c r="L65" s="43"/>
      <c r="M65" s="44" t="str">
        <f ca="1">IF(ISERROR(B65-2),"",C65+D65-F65-G65-K65+SUM($L$14:L65))</f>
        <v/>
      </c>
      <c r="Q65" s="3">
        <v>46136.625</v>
      </c>
      <c r="R65" s="4">
        <v>99.637</v>
      </c>
      <c r="S65" s="3">
        <v>46136.625</v>
      </c>
      <c r="T65" s="4">
        <v>288.863</v>
      </c>
      <c r="U65" s="3" t="str">
        <f t="shared" si="0"/>
        <v/>
      </c>
      <c r="V65" s="3" t="str">
        <f t="shared" si="1"/>
        <v/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</row>
    <row r="66" spans="1:34" x14ac:dyDescent="0.25">
      <c r="A66" s="39" t="str">
        <f t="shared" ca="1" si="3"/>
        <v/>
      </c>
      <c r="B66" s="40" t="str">
        <f ca="1">IF(COUNTIF($W$2:W1051,A66)=1,VLOOKUP(A66,O:P,2), IF(COUNTIF($W$2:W1051,A66)=0,$B$9,""))</f>
        <v/>
      </c>
      <c r="C66" s="2" t="str">
        <f t="shared" ca="1" si="4"/>
        <v/>
      </c>
      <c r="D66" s="43"/>
      <c r="E66" s="40" t="str">
        <f ca="1">IF(COUNTIF($W$2:W1051,A66)=1,VLOOKUP(A66,Q:R,2), IF(COUNTIF($W$2:W1051,A66)=0,$C$9,""))</f>
        <v/>
      </c>
      <c r="F66" s="2" t="str">
        <f t="shared" ca="1" si="5"/>
        <v/>
      </c>
      <c r="G66" s="43" t="str">
        <f t="shared" ca="1" si="6"/>
        <v/>
      </c>
      <c r="H66" s="40" t="str">
        <f ca="1">IF(COUNTIF($W$2:W1051,A66)=1,VLOOKUP(A66,S:T,2), IF(COUNTIF($W$2:W1051,A66)=0,$D$9,""))</f>
        <v/>
      </c>
      <c r="I66" s="41" t="str">
        <f ca="1">IF(COUNTIF($X$2:X1051,INT(A66))=1,VLOOKUP(INT(A66),X:Y,2), IF(ISERROR(H66-2),"",I65*(1-$D$8*(H66-H65)*0.0001)))</f>
        <v/>
      </c>
      <c r="J66" s="41" t="str">
        <f t="shared" ca="1" si="7"/>
        <v/>
      </c>
      <c r="K66" s="43" t="str">
        <f t="shared" ca="1" si="8"/>
        <v/>
      </c>
      <c r="L66" s="43"/>
      <c r="M66" s="44" t="str">
        <f ca="1">IF(ISERROR(B66-2),"",C66+D66-F66-G66-K66+SUM($L$14:L66))</f>
        <v/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 t="str">
        <f t="shared" si="0"/>
        <v/>
      </c>
      <c r="V66" s="3" t="str">
        <f t="shared" si="1"/>
        <v/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</row>
    <row r="67" spans="1:34" x14ac:dyDescent="0.25">
      <c r="A67" s="39" t="str">
        <f t="shared" ca="1" si="3"/>
        <v/>
      </c>
      <c r="B67" s="40" t="str">
        <f ca="1">IF(COUNTIF($W$2:W1052,A67)=1,VLOOKUP(A67,O:P,2), IF(COUNTIF($W$2:W1052,A67)=0,$B$9,""))</f>
        <v/>
      </c>
      <c r="C67" s="2" t="str">
        <f t="shared" ca="1" si="4"/>
        <v/>
      </c>
      <c r="D67" s="43"/>
      <c r="E67" s="40" t="str">
        <f ca="1">IF(COUNTIF($W$2:W1052,A67)=1,VLOOKUP(A67,Q:R,2), IF(COUNTIF($W$2:W1052,A67)=0,$C$9,""))</f>
        <v/>
      </c>
      <c r="F67" s="2" t="str">
        <f t="shared" ca="1" si="5"/>
        <v/>
      </c>
      <c r="G67" s="43" t="str">
        <f t="shared" ca="1" si="6"/>
        <v/>
      </c>
      <c r="H67" s="40" t="str">
        <f ca="1">IF(COUNTIF($W$2:W1052,A67)=1,VLOOKUP(A67,S:T,2), IF(COUNTIF($W$2:W1052,A67)=0,$D$9,""))</f>
        <v/>
      </c>
      <c r="I67" s="41" t="str">
        <f ca="1">IF(COUNTIF($X$2:X1052,INT(A67))=1,VLOOKUP(INT(A67),X:Y,2), IF(ISERROR(H67-2),"",I66*(1-$D$8*(H67-H66)*0.0001)))</f>
        <v/>
      </c>
      <c r="J67" s="41" t="str">
        <f t="shared" ca="1" si="7"/>
        <v/>
      </c>
      <c r="K67" s="43" t="str">
        <f t="shared" ca="1" si="8"/>
        <v/>
      </c>
      <c r="L67" s="43"/>
      <c r="M67" s="44" t="str">
        <f ca="1">IF(ISERROR(B67-2),"",C67+D67-F67-G67-K67+SUM($L$14:L67))</f>
        <v/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 t="str">
        <f t="shared" si="0"/>
        <v/>
      </c>
      <c r="V67" s="3" t="str">
        <f t="shared" si="1"/>
        <v/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</row>
    <row r="68" spans="1:34" x14ac:dyDescent="0.25">
      <c r="A68" s="39" t="str">
        <f t="shared" ca="1" si="3"/>
        <v/>
      </c>
      <c r="B68" s="40" t="str">
        <f ca="1">IF(COUNTIF($W$2:W1053,A68)=1,VLOOKUP(A68,O:P,2), IF(COUNTIF($W$2:W1053,A68)=0,$B$9,""))</f>
        <v/>
      </c>
      <c r="C68" s="2" t="str">
        <f t="shared" ca="1" si="4"/>
        <v/>
      </c>
      <c r="D68" s="43"/>
      <c r="E68" s="40" t="str">
        <f ca="1">IF(COUNTIF($W$2:W1053,A68)=1,VLOOKUP(A68,Q:R,2), IF(COUNTIF($W$2:W1053,A68)=0,$C$9,""))</f>
        <v/>
      </c>
      <c r="F68" s="2" t="str">
        <f t="shared" ca="1" si="5"/>
        <v/>
      </c>
      <c r="G68" s="43" t="str">
        <f t="shared" ca="1" si="6"/>
        <v/>
      </c>
      <c r="H68" s="40" t="str">
        <f ca="1">IF(COUNTIF($W$2:W1053,A68)=1,VLOOKUP(A68,S:T,2), IF(COUNTIF($W$2:W1053,A68)=0,$D$9,""))</f>
        <v/>
      </c>
      <c r="I68" s="41" t="str">
        <f ca="1">IF(COUNTIF($X$2:X1053,INT(A68))=1,VLOOKUP(INT(A68),X:Y,2), IF(ISERROR(H68-2),"",I67*(1-$D$8*(H68-H67)*0.0001)))</f>
        <v/>
      </c>
      <c r="J68" s="41" t="str">
        <f t="shared" ca="1" si="7"/>
        <v/>
      </c>
      <c r="K68" s="43" t="str">
        <f t="shared" ca="1" si="8"/>
        <v/>
      </c>
      <c r="L68" s="43"/>
      <c r="M68" s="44" t="str">
        <f ca="1">IF(ISERROR(B68-2),"",C68+D68-F68-G68-K68+SUM($L$14:L68))</f>
        <v/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 t="str">
        <f t="shared" ref="U68:U131" si="9">IF(COUNTIF(Q:Q,O68)*COUNTIF(S:S,O68),O68,"")</f>
        <v/>
      </c>
      <c r="V68" s="3" t="str">
        <f t="shared" ref="V68:V131" si="10">IF(U68&gt;$A$14,U68,"")</f>
        <v/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1">IF(COUNTIF(AB:AB,Z68),Z68,"")</f>
        <v>45873</v>
      </c>
      <c r="AE68" s="22"/>
      <c r="AF68" s="22"/>
      <c r="AG68" s="22"/>
      <c r="AH68" s="22"/>
    </row>
    <row r="69" spans="1:34" x14ac:dyDescent="0.25">
      <c r="A69" s="39" t="str">
        <f t="shared" ca="1" si="3"/>
        <v/>
      </c>
      <c r="B69" s="40" t="str">
        <f ca="1">IF(COUNTIF($W$2:W1054,A69)=1,VLOOKUP(A69,O:P,2), IF(COUNTIF($W$2:W1054,A69)=0,$B$9,""))</f>
        <v/>
      </c>
      <c r="C69" s="2" t="str">
        <f t="shared" ca="1" si="4"/>
        <v/>
      </c>
      <c r="D69" s="43"/>
      <c r="E69" s="40" t="str">
        <f ca="1">IF(COUNTIF($W$2:W1054,A69)=1,VLOOKUP(A69,Q:R,2), IF(COUNTIF($W$2:W1054,A69)=0,$C$9,""))</f>
        <v/>
      </c>
      <c r="F69" s="2" t="str">
        <f t="shared" ca="1" si="5"/>
        <v/>
      </c>
      <c r="G69" s="43" t="str">
        <f t="shared" ca="1" si="6"/>
        <v/>
      </c>
      <c r="H69" s="40" t="str">
        <f ca="1">IF(COUNTIF($W$2:W1054,A69)=1,VLOOKUP(A69,S:T,2), IF(COUNTIF($W$2:W1054,A69)=0,$D$9,""))</f>
        <v/>
      </c>
      <c r="I69" s="41" t="str">
        <f ca="1">IF(COUNTIF($X$2:X1054,INT(A69))=1,VLOOKUP(INT(A69),X:Y,2), IF(ISERROR(H69-2),"",I68*(1-$D$8*(H69-H68)*0.0001)))</f>
        <v/>
      </c>
      <c r="J69" s="41" t="str">
        <f t="shared" ca="1" si="7"/>
        <v/>
      </c>
      <c r="K69" s="43" t="str">
        <f t="shared" ca="1" si="8"/>
        <v/>
      </c>
      <c r="L69" s="43"/>
      <c r="M69" s="44" t="str">
        <f ca="1">IF(ISERROR(B69-2),"",C69+D69-F69-G69-K69+SUM($L$14:L69))</f>
        <v/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 t="str">
        <f t="shared" si="9"/>
        <v/>
      </c>
      <c r="V69" s="3" t="str">
        <f t="shared" si="10"/>
        <v/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1"/>
        <v>45874</v>
      </c>
      <c r="AE69" s="22"/>
      <c r="AF69" s="22"/>
      <c r="AG69" s="22"/>
      <c r="AH69" s="22"/>
    </row>
    <row r="70" spans="1:34" x14ac:dyDescent="0.25">
      <c r="A70" s="39" t="str">
        <f t="shared" ca="1" si="3"/>
        <v/>
      </c>
      <c r="B70" s="40" t="str">
        <f ca="1">IF(COUNTIF($W$2:W1055,A70)=1,VLOOKUP(A70,O:P,2), IF(COUNTIF($W$2:W1055,A70)=0,$B$9,""))</f>
        <v/>
      </c>
      <c r="C70" s="2" t="str">
        <f t="shared" ca="1" si="4"/>
        <v/>
      </c>
      <c r="D70" s="43"/>
      <c r="E70" s="40" t="str">
        <f ca="1">IF(COUNTIF($W$2:W1055,A70)=1,VLOOKUP(A70,Q:R,2), IF(COUNTIF($W$2:W1055,A70)=0,$C$9,""))</f>
        <v/>
      </c>
      <c r="F70" s="2" t="str">
        <f t="shared" ca="1" si="5"/>
        <v/>
      </c>
      <c r="G70" s="43" t="str">
        <f t="shared" ca="1" si="6"/>
        <v/>
      </c>
      <c r="H70" s="40" t="str">
        <f ca="1">IF(COUNTIF($W$2:W1055,A70)=1,VLOOKUP(A70,S:T,2), IF(COUNTIF($W$2:W1055,A70)=0,$D$9,""))</f>
        <v/>
      </c>
      <c r="I70" s="41" t="str">
        <f ca="1">IF(COUNTIF($X$2:X1055,INT(A70))=1,VLOOKUP(INT(A70),X:Y,2), IF(ISERROR(H70-2),"",I69*(1-$D$8*(H70-H69)*0.0001)))</f>
        <v/>
      </c>
      <c r="J70" s="41" t="str">
        <f t="shared" ca="1" si="7"/>
        <v/>
      </c>
      <c r="K70" s="43" t="str">
        <f t="shared" ca="1" si="8"/>
        <v/>
      </c>
      <c r="L70" s="43"/>
      <c r="M70" s="44" t="str">
        <f ca="1">IF(ISERROR(B70-2),"",C70+D70-F70-G70-K70+SUM($L$14:L70))</f>
        <v/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 t="str">
        <f t="shared" si="9"/>
        <v/>
      </c>
      <c r="V70" s="3" t="str">
        <f t="shared" si="10"/>
        <v/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1"/>
        <v>45875</v>
      </c>
    </row>
    <row r="71" spans="1:34" x14ac:dyDescent="0.25">
      <c r="A71" s="39" t="str">
        <f t="shared" ca="1" si="3"/>
        <v/>
      </c>
      <c r="B71" s="40" t="str">
        <f ca="1">IF(COUNTIF($W$2:W1056,A71)=1,VLOOKUP(A71,O:P,2), IF(COUNTIF($W$2:W1056,A71)=0,$B$9,""))</f>
        <v/>
      </c>
      <c r="C71" s="2" t="str">
        <f t="shared" ca="1" si="4"/>
        <v/>
      </c>
      <c r="D71" s="43"/>
      <c r="E71" s="40" t="str">
        <f ca="1">IF(COUNTIF($W$2:W1056,A71)=1,VLOOKUP(A71,Q:R,2), IF(COUNTIF($W$2:W1056,A71)=0,$C$9,""))</f>
        <v/>
      </c>
      <c r="F71" s="2" t="str">
        <f t="shared" ca="1" si="5"/>
        <v/>
      </c>
      <c r="G71" s="43" t="str">
        <f t="shared" ca="1" si="6"/>
        <v/>
      </c>
      <c r="H71" s="40" t="str">
        <f ca="1">IF(COUNTIF($W$2:W1056,A71)=1,VLOOKUP(A71,S:T,2), IF(COUNTIF($W$2:W1056,A71)=0,$D$9,""))</f>
        <v/>
      </c>
      <c r="I71" s="41" t="str">
        <f ca="1">IF(COUNTIF($X$2:X1056,INT(A71))=1,VLOOKUP(INT(A71),X:Y,2), IF(ISERROR(H71-2),"",I70*(1-$D$8*(H71-H70)*0.0001)))</f>
        <v/>
      </c>
      <c r="J71" s="41" t="str">
        <f t="shared" ca="1" si="7"/>
        <v/>
      </c>
      <c r="K71" s="43" t="str">
        <f t="shared" ca="1" si="8"/>
        <v/>
      </c>
      <c r="L71" s="43"/>
      <c r="M71" s="44" t="str">
        <f ca="1">IF(ISERROR(B71-2),"",C71+D71-F71-G71-K71+SUM($L$14:L71))</f>
        <v/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 t="str">
        <f t="shared" si="9"/>
        <v/>
      </c>
      <c r="V71" s="3" t="str">
        <f t="shared" si="10"/>
        <v/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1"/>
        <v>45876</v>
      </c>
    </row>
    <row r="72" spans="1:34" x14ac:dyDescent="0.25">
      <c r="A72" s="39" t="str">
        <f t="shared" ca="1" si="3"/>
        <v/>
      </c>
      <c r="B72" s="40" t="str">
        <f ca="1">IF(COUNTIF($W$2:W1057,A72)=1,VLOOKUP(A72,O:P,2), IF(COUNTIF($W$2:W1057,A72)=0,$B$9,""))</f>
        <v/>
      </c>
      <c r="C72" s="2" t="str">
        <f t="shared" ca="1" si="4"/>
        <v/>
      </c>
      <c r="D72" s="43"/>
      <c r="E72" s="40" t="str">
        <f ca="1">IF(COUNTIF($W$2:W1057,A72)=1,VLOOKUP(A72,Q:R,2), IF(COUNTIF($W$2:W1057,A72)=0,$C$9,""))</f>
        <v/>
      </c>
      <c r="F72" s="2" t="str">
        <f t="shared" ca="1" si="5"/>
        <v/>
      </c>
      <c r="G72" s="43" t="str">
        <f t="shared" ca="1" si="6"/>
        <v/>
      </c>
      <c r="H72" s="40" t="str">
        <f ca="1">IF(COUNTIF($W$2:W1057,A72)=1,VLOOKUP(A72,S:T,2), IF(COUNTIF($W$2:W1057,A72)=0,$D$9,""))</f>
        <v/>
      </c>
      <c r="I72" s="41" t="str">
        <f ca="1">IF(COUNTIF($X$2:X1057,INT(A72))=1,VLOOKUP(INT(A72),X:Y,2), IF(ISERROR(H72-2),"",I71*(1-$D$8*(H72-H71)*0.0001)))</f>
        <v/>
      </c>
      <c r="J72" s="41" t="str">
        <f t="shared" ca="1" si="7"/>
        <v/>
      </c>
      <c r="K72" s="43" t="str">
        <f t="shared" ca="1" si="8"/>
        <v/>
      </c>
      <c r="L72" s="43"/>
      <c r="M72" s="44" t="str">
        <f ca="1">IF(ISERROR(B72-2),"",C72+D72-F72-G72-K72+SUM($L$14:L72))</f>
        <v/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 t="str">
        <f t="shared" si="9"/>
        <v/>
      </c>
      <c r="V72" s="3" t="str">
        <f t="shared" si="10"/>
        <v/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1"/>
        <v>45877</v>
      </c>
    </row>
    <row r="73" spans="1:34" x14ac:dyDescent="0.25">
      <c r="A73" s="39" t="str">
        <f t="shared" ca="1" si="3"/>
        <v/>
      </c>
      <c r="B73" s="40" t="str">
        <f ca="1">IF(COUNTIF($W$2:W1058,A73)=1,VLOOKUP(A73,O:P,2), IF(COUNTIF($W$2:W1058,A73)=0,$B$9,""))</f>
        <v/>
      </c>
      <c r="C73" s="2" t="str">
        <f t="shared" ca="1" si="4"/>
        <v/>
      </c>
      <c r="D73" s="43"/>
      <c r="E73" s="40" t="str">
        <f ca="1">IF(COUNTIF($W$2:W1058,A73)=1,VLOOKUP(A73,Q:R,2), IF(COUNTIF($W$2:W1058,A73)=0,$C$9,""))</f>
        <v/>
      </c>
      <c r="F73" s="2" t="str">
        <f t="shared" ca="1" si="5"/>
        <v/>
      </c>
      <c r="G73" s="43" t="str">
        <f t="shared" ca="1" si="6"/>
        <v/>
      </c>
      <c r="H73" s="40" t="str">
        <f ca="1">IF(COUNTIF($W$2:W1058,A73)=1,VLOOKUP(A73,S:T,2), IF(COUNTIF($W$2:W1058,A73)=0,$D$9,""))</f>
        <v/>
      </c>
      <c r="I73" s="41" t="str">
        <f ca="1">IF(COUNTIF($X$2:X1058,INT(A73))=1,VLOOKUP(INT(A73),X:Y,2), IF(ISERROR(H73-2),"",I72*(1-$D$8*(H73-H72)*0.0001)))</f>
        <v/>
      </c>
      <c r="J73" s="41" t="str">
        <f t="shared" ca="1" si="7"/>
        <v/>
      </c>
      <c r="K73" s="43" t="str">
        <f t="shared" ca="1" si="8"/>
        <v/>
      </c>
      <c r="L73" s="43"/>
      <c r="M73" s="44" t="str">
        <f ca="1">IF(ISERROR(B73-2),"",C73+D73-F73-G73-K73+SUM($L$14:L73))</f>
        <v/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 t="str">
        <f t="shared" si="9"/>
        <v/>
      </c>
      <c r="V73" s="3" t="str">
        <f t="shared" si="10"/>
        <v/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1"/>
        <v>45880</v>
      </c>
    </row>
    <row r="74" spans="1:34" x14ac:dyDescent="0.25">
      <c r="A74" s="39" t="str">
        <f t="shared" ca="1" si="3"/>
        <v/>
      </c>
      <c r="B74" s="40" t="str">
        <f ca="1">IF(COUNTIF($W$2:W1059,A74)=1,VLOOKUP(A74,O:P,2), IF(COUNTIF($W$2:W1059,A74)=0,$B$9,""))</f>
        <v/>
      </c>
      <c r="C74" s="2" t="str">
        <f t="shared" ca="1" si="4"/>
        <v/>
      </c>
      <c r="D74" s="43"/>
      <c r="E74" s="40" t="str">
        <f ca="1">IF(COUNTIF($W$2:W1059,A74)=1,VLOOKUP(A74,Q:R,2), IF(COUNTIF($W$2:W1059,A74)=0,$C$9,""))</f>
        <v/>
      </c>
      <c r="F74" s="2" t="str">
        <f t="shared" ca="1" si="5"/>
        <v/>
      </c>
      <c r="G74" s="43" t="str">
        <f t="shared" ca="1" si="6"/>
        <v/>
      </c>
      <c r="H74" s="40" t="str">
        <f ca="1">IF(COUNTIF($W$2:W1059,A74)=1,VLOOKUP(A74,S:T,2), IF(COUNTIF($W$2:W1059,A74)=0,$D$9,""))</f>
        <v/>
      </c>
      <c r="I74" s="41" t="str">
        <f ca="1">IF(COUNTIF($X$2:X1059,INT(A74))=1,VLOOKUP(INT(A74),X:Y,2), IF(ISERROR(H74-2),"",I73*(1-$D$8*(H74-H73)*0.0001)))</f>
        <v/>
      </c>
      <c r="J74" s="41" t="str">
        <f t="shared" ca="1" si="7"/>
        <v/>
      </c>
      <c r="K74" s="43" t="str">
        <f t="shared" ca="1" si="8"/>
        <v/>
      </c>
      <c r="L74" s="43"/>
      <c r="M74" s="44" t="str">
        <f ca="1">IF(ISERROR(B74-2),"",C74+D74-F74-G74-K74+SUM($L$14:L74))</f>
        <v/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 t="str">
        <f t="shared" si="9"/>
        <v/>
      </c>
      <c r="V74" s="3" t="str">
        <f t="shared" si="10"/>
        <v/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1"/>
        <v>45881</v>
      </c>
    </row>
    <row r="75" spans="1:34" x14ac:dyDescent="0.25">
      <c r="A75" s="39" t="str">
        <f t="shared" ca="1" si="3"/>
        <v/>
      </c>
      <c r="B75" s="40" t="str">
        <f ca="1">IF(COUNTIF($W$2:W1060,A75)=1,VLOOKUP(A75,O:P,2), IF(COUNTIF($W$2:W1060,A75)=0,$B$9,""))</f>
        <v/>
      </c>
      <c r="C75" s="2" t="str">
        <f t="shared" ca="1" si="4"/>
        <v/>
      </c>
      <c r="D75" s="43"/>
      <c r="E75" s="40" t="str">
        <f ca="1">IF(COUNTIF($W$2:W1060,A75)=1,VLOOKUP(A75,Q:R,2), IF(COUNTIF($W$2:W1060,A75)=0,$C$9,""))</f>
        <v/>
      </c>
      <c r="F75" s="2" t="str">
        <f t="shared" ca="1" si="5"/>
        <v/>
      </c>
      <c r="G75" s="43" t="str">
        <f t="shared" ca="1" si="6"/>
        <v/>
      </c>
      <c r="H75" s="40" t="str">
        <f ca="1">IF(COUNTIF($W$2:W1060,A75)=1,VLOOKUP(A75,S:T,2), IF(COUNTIF($W$2:W1060,A75)=0,$D$9,""))</f>
        <v/>
      </c>
      <c r="I75" s="41" t="str">
        <f ca="1">IF(COUNTIF($X$2:X1060,INT(A75))=1,VLOOKUP(INT(A75),X:Y,2), IF(ISERROR(H75-2),"",I74*(1-$D$8*(H75-H74)*0.0001)))</f>
        <v/>
      </c>
      <c r="J75" s="41" t="str">
        <f t="shared" ca="1" si="7"/>
        <v/>
      </c>
      <c r="K75" s="43" t="str">
        <f t="shared" ca="1" si="8"/>
        <v/>
      </c>
      <c r="L75" s="43"/>
      <c r="M75" s="44" t="str">
        <f ca="1">IF(ISERROR(B75-2),"",C75+D75-F75-G75-K75+SUM($L$14:L75))</f>
        <v/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 t="str">
        <f t="shared" si="9"/>
        <v/>
      </c>
      <c r="V75" s="3" t="str">
        <f t="shared" si="10"/>
        <v/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1"/>
        <v>45882</v>
      </c>
    </row>
    <row r="76" spans="1:34" x14ac:dyDescent="0.25">
      <c r="A76" s="39" t="str">
        <f t="shared" ca="1" si="3"/>
        <v/>
      </c>
      <c r="B76" s="40" t="str">
        <f ca="1">IF(COUNTIF($W$2:W1061,A76)=1,VLOOKUP(A76,O:P,2), IF(COUNTIF($W$2:W1061,A76)=0,$B$9,""))</f>
        <v/>
      </c>
      <c r="C76" s="2" t="str">
        <f t="shared" ca="1" si="4"/>
        <v/>
      </c>
      <c r="D76" s="43"/>
      <c r="E76" s="40" t="str">
        <f ca="1">IF(COUNTIF($W$2:W1061,A76)=1,VLOOKUP(A76,Q:R,2), IF(COUNTIF($W$2:W1061,A76)=0,$C$9,""))</f>
        <v/>
      </c>
      <c r="F76" s="2" t="str">
        <f t="shared" ca="1" si="5"/>
        <v/>
      </c>
      <c r="G76" s="43" t="str">
        <f t="shared" ca="1" si="6"/>
        <v/>
      </c>
      <c r="H76" s="40" t="str">
        <f ca="1">IF(COUNTIF($W$2:W1061,A76)=1,VLOOKUP(A76,S:T,2), IF(COUNTIF($W$2:W1061,A76)=0,$D$9,""))</f>
        <v/>
      </c>
      <c r="I76" s="41" t="str">
        <f ca="1">IF(COUNTIF($X$2:X1061,INT(A76))=1,VLOOKUP(INT(A76),X:Y,2), IF(ISERROR(H76-2),"",I75*(1-$D$8*(H76-H75)*0.0001)))</f>
        <v/>
      </c>
      <c r="J76" s="41" t="str">
        <f t="shared" ca="1" si="7"/>
        <v/>
      </c>
      <c r="K76" s="43" t="str">
        <f t="shared" ca="1" si="8"/>
        <v/>
      </c>
      <c r="L76" s="43"/>
      <c r="M76" s="44" t="str">
        <f ca="1">IF(ISERROR(B76-2),"",C76+D76-F76-G76-K76+SUM($L$14:L76))</f>
        <v/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 t="str">
        <f t="shared" si="9"/>
        <v/>
      </c>
      <c r="V76" s="3" t="str">
        <f t="shared" si="10"/>
        <v/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1"/>
        <v>45883</v>
      </c>
    </row>
    <row r="77" spans="1:34" x14ac:dyDescent="0.25">
      <c r="A77" s="39" t="str">
        <f t="shared" ca="1" si="3"/>
        <v/>
      </c>
      <c r="B77" s="40" t="str">
        <f ca="1">IF(COUNTIF($W$2:W1062,A77)=1,VLOOKUP(A77,O:P,2), IF(COUNTIF($W$2:W1062,A77)=0,$B$9,""))</f>
        <v/>
      </c>
      <c r="C77" s="2" t="str">
        <f t="shared" ca="1" si="4"/>
        <v/>
      </c>
      <c r="D77" s="43"/>
      <c r="E77" s="40" t="str">
        <f ca="1">IF(COUNTIF($W$2:W1062,A77)=1,VLOOKUP(A77,Q:R,2), IF(COUNTIF($W$2:W1062,A77)=0,$C$9,""))</f>
        <v/>
      </c>
      <c r="F77" s="2" t="str">
        <f t="shared" ca="1" si="5"/>
        <v/>
      </c>
      <c r="G77" s="43" t="str">
        <f t="shared" ca="1" si="6"/>
        <v/>
      </c>
      <c r="H77" s="40" t="str">
        <f ca="1">IF(COUNTIF($W$2:W1062,A77)=1,VLOOKUP(A77,S:T,2), IF(COUNTIF($W$2:W1062,A77)=0,$D$9,""))</f>
        <v/>
      </c>
      <c r="I77" s="41" t="str">
        <f ca="1">IF(COUNTIF($X$2:X1062,INT(A77))=1,VLOOKUP(INT(A77),X:Y,2), IF(ISERROR(H77-2),"",I76*(1-$D$8*(H77-H76)*0.0001)))</f>
        <v/>
      </c>
      <c r="J77" s="41" t="str">
        <f t="shared" ca="1" si="7"/>
        <v/>
      </c>
      <c r="K77" s="43" t="str">
        <f t="shared" ca="1" si="8"/>
        <v/>
      </c>
      <c r="L77" s="43"/>
      <c r="M77" s="44" t="str">
        <f ca="1">IF(ISERROR(B77-2),"",C77+D77-F77-G77-K77+SUM($L$14:L77))</f>
        <v/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 t="str">
        <f t="shared" si="9"/>
        <v/>
      </c>
      <c r="V77" s="3" t="str">
        <f t="shared" si="10"/>
        <v/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1"/>
        <v>45884</v>
      </c>
    </row>
    <row r="78" spans="1:34" x14ac:dyDescent="0.25">
      <c r="A78" s="39" t="str">
        <f t="shared" ca="1" si="3"/>
        <v/>
      </c>
      <c r="B78" s="40" t="str">
        <f ca="1">IF(COUNTIF($W$2:W1063,A78)=1,VLOOKUP(A78,O:P,2), IF(COUNTIF($W$2:W1063,A78)=0,$B$9,""))</f>
        <v/>
      </c>
      <c r="C78" s="2" t="str">
        <f t="shared" ca="1" si="4"/>
        <v/>
      </c>
      <c r="D78" s="43"/>
      <c r="E78" s="40" t="str">
        <f ca="1">IF(COUNTIF($W$2:W1063,A78)=1,VLOOKUP(A78,Q:R,2), IF(COUNTIF($W$2:W1063,A78)=0,$C$9,""))</f>
        <v/>
      </c>
      <c r="F78" s="2" t="str">
        <f t="shared" ca="1" si="5"/>
        <v/>
      </c>
      <c r="G78" s="43" t="str">
        <f t="shared" ca="1" si="6"/>
        <v/>
      </c>
      <c r="H78" s="40" t="str">
        <f ca="1">IF(COUNTIF($W$2:W1063,A78)=1,VLOOKUP(A78,S:T,2), IF(COUNTIF($W$2:W1063,A78)=0,$D$9,""))</f>
        <v/>
      </c>
      <c r="I78" s="41" t="str">
        <f ca="1">IF(COUNTIF($X$2:X1063,INT(A78))=1,VLOOKUP(INT(A78),X:Y,2), IF(ISERROR(H78-2),"",I77*(1-$D$8*(H78-H77)*0.0001)))</f>
        <v/>
      </c>
      <c r="J78" s="41" t="str">
        <f t="shared" ca="1" si="7"/>
        <v/>
      </c>
      <c r="K78" s="43" t="str">
        <f t="shared" ca="1" si="8"/>
        <v/>
      </c>
      <c r="L78" s="43"/>
      <c r="M78" s="44" t="str">
        <f ca="1">IF(ISERROR(B78-2),"",C78+D78-F78-G78-K78+SUM($L$14:L78))</f>
        <v/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 t="str">
        <f t="shared" si="9"/>
        <v/>
      </c>
      <c r="V78" s="3" t="str">
        <f t="shared" si="10"/>
        <v/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1"/>
        <v>45887</v>
      </c>
    </row>
    <row r="79" spans="1:34" x14ac:dyDescent="0.25">
      <c r="A79" s="39" t="str">
        <f t="shared" ref="A79:A142" ca="1" si="12">IF(AND(ISBLANK(W68), A78 = $W$1),NOW(),IF(ISBLANK(W68),"",W68))</f>
        <v/>
      </c>
      <c r="B79" s="40" t="str">
        <f ca="1">IF(COUNTIF($W$2:W1064,A79)=1,VLOOKUP(A79,O:P,2), IF(COUNTIF($W$2:W1064,A79)=0,$B$9,""))</f>
        <v/>
      </c>
      <c r="C79" s="2" t="str">
        <f t="shared" ca="1" si="4"/>
        <v/>
      </c>
      <c r="D79" s="43"/>
      <c r="E79" s="40" t="str">
        <f ca="1">IF(COUNTIF($W$2:W1064,A79)=1,VLOOKUP(A79,Q:R,2), IF(COUNTIF($W$2:W1064,A79)=0,$C$9,""))</f>
        <v/>
      </c>
      <c r="F79" s="2" t="str">
        <f t="shared" ca="1" si="5"/>
        <v/>
      </c>
      <c r="G79" s="43" t="str">
        <f t="shared" ca="1" si="6"/>
        <v/>
      </c>
      <c r="H79" s="40" t="str">
        <f ca="1">IF(COUNTIF($W$2:W1064,A79)=1,VLOOKUP(A79,S:T,2), IF(COUNTIF($W$2:W1064,A79)=0,$D$9,""))</f>
        <v/>
      </c>
      <c r="I79" s="41" t="str">
        <f ca="1">IF(COUNTIF($X$2:X1064,INT(A79))=1,VLOOKUP(INT(A79),X:Y,2), IF(ISERROR(H79-2),"",I78*(1-$D$8*(H79-H78)*0.0001)))</f>
        <v/>
      </c>
      <c r="J79" s="41" t="str">
        <f t="shared" ca="1" si="7"/>
        <v/>
      </c>
      <c r="K79" s="43" t="str">
        <f t="shared" ca="1" si="8"/>
        <v/>
      </c>
      <c r="L79" s="43"/>
      <c r="M79" s="44" t="str">
        <f ca="1">IF(ISERROR(B79-2),"",C79+D79-F79-G79-K79+SUM($L$14:L79))</f>
        <v/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 t="str">
        <f t="shared" si="9"/>
        <v/>
      </c>
      <c r="V79" s="3" t="str">
        <f t="shared" si="10"/>
        <v/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1"/>
        <v>45888</v>
      </c>
    </row>
    <row r="80" spans="1:34" x14ac:dyDescent="0.25">
      <c r="A80" s="39" t="str">
        <f t="shared" ca="1" si="12"/>
        <v/>
      </c>
      <c r="B80" s="40" t="str">
        <f ca="1">IF(COUNTIF($W$2:W1065,A80)=1,VLOOKUP(A80,O:P,2), IF(COUNTIF($W$2:W1065,A80)=0,$B$9,""))</f>
        <v/>
      </c>
      <c r="C80" s="2" t="str">
        <f t="shared" ref="C80:C143" ca="1" si="13">IF(ISERROR(B80-2),"",(B80-$B$14)*$G$3*$I$3)</f>
        <v/>
      </c>
      <c r="D80" s="43"/>
      <c r="E80" s="40" t="str">
        <f ca="1">IF(COUNTIF($W$2:W1065,A80)=1,VLOOKUP(A80,Q:R,2), IF(COUNTIF($W$2:W1065,A80)=0,$C$9,""))</f>
        <v/>
      </c>
      <c r="F80" s="2" t="str">
        <f t="shared" ref="F80:F143" ca="1" si="14">IF(ISERROR(B80-2),"",(E80-$E$14)/100*$C$5)</f>
        <v/>
      </c>
      <c r="G80" s="43" t="str">
        <f t="shared" ref="G80:G143" ca="1" si="15">IF(ISERROR(B80-2),"",(INT(A80)-INT($A$14))/360*$C$6*$C$5-(INT(A80)-INT($A$14))/360*$C$7*$C$5*$E$14/100)</f>
        <v/>
      </c>
      <c r="H80" s="40" t="str">
        <f ca="1">IF(COUNTIF($W$2:W1065,A80)=1,VLOOKUP(A80,S:T,2), IF(COUNTIF($W$2:W1065,A80)=0,$D$9,""))</f>
        <v/>
      </c>
      <c r="I80" s="41" t="str">
        <f ca="1">IF(COUNTIF($X$2:X1065,INT(A80))=1,VLOOKUP(INT(A80),X:Y,2), IF(ISERROR(H80-2),"",I79*(1-$D$8*(H80-H79)*0.0001)))</f>
        <v/>
      </c>
      <c r="J80" s="41" t="str">
        <f t="shared" ref="J80:J143" ca="1" si="16">IF(ISERROR(H80-2),"",I80)</f>
        <v/>
      </c>
      <c r="K80" s="43" t="str">
        <f t="shared" ref="K80:K143" ca="1" si="17">IF(ISERROR(H80-2),"",(J80/$J$14-1)*$D$5)</f>
        <v/>
      </c>
      <c r="L80" s="43"/>
      <c r="M80" s="44" t="str">
        <f ca="1">IF(ISERROR(B80-2),"",C80+D80-F80-G80-K80+SUM($L$14:L80))</f>
        <v/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 t="str">
        <f t="shared" si="9"/>
        <v/>
      </c>
      <c r="V80" s="3" t="str">
        <f t="shared" si="10"/>
        <v/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1"/>
        <v>45889</v>
      </c>
    </row>
    <row r="81" spans="1:30" x14ac:dyDescent="0.25">
      <c r="A81" s="39" t="str">
        <f t="shared" ca="1" si="12"/>
        <v/>
      </c>
      <c r="B81" s="40" t="str">
        <f ca="1">IF(COUNTIF($W$2:W1066,A81)=1,VLOOKUP(A81,O:P,2), IF(COUNTIF($W$2:W1066,A81)=0,$B$9,""))</f>
        <v/>
      </c>
      <c r="C81" s="2" t="str">
        <f t="shared" ca="1" si="13"/>
        <v/>
      </c>
      <c r="D81" s="43"/>
      <c r="E81" s="40" t="str">
        <f ca="1">IF(COUNTIF($W$2:W1066,A81)=1,VLOOKUP(A81,Q:R,2), IF(COUNTIF($W$2:W1066,A81)=0,$C$9,""))</f>
        <v/>
      </c>
      <c r="F81" s="2" t="str">
        <f t="shared" ca="1" si="14"/>
        <v/>
      </c>
      <c r="G81" s="43" t="str">
        <f t="shared" ca="1" si="15"/>
        <v/>
      </c>
      <c r="H81" s="40" t="str">
        <f ca="1">IF(COUNTIF($W$2:W1066,A81)=1,VLOOKUP(A81,S:T,2), IF(COUNTIF($W$2:W1066,A81)=0,$D$9,""))</f>
        <v/>
      </c>
      <c r="I81" s="41" t="str">
        <f ca="1">IF(COUNTIF($X$2:X1066,INT(A81))=1,VLOOKUP(INT(A81),X:Y,2), IF(ISERROR(H81-2),"",I80*(1-$D$8*(H81-H80)*0.0001)))</f>
        <v/>
      </c>
      <c r="J81" s="41" t="str">
        <f t="shared" ca="1" si="16"/>
        <v/>
      </c>
      <c r="K81" s="43" t="str">
        <f t="shared" ca="1" si="17"/>
        <v/>
      </c>
      <c r="L81" s="43"/>
      <c r="M81" s="44" t="str">
        <f ca="1">IF(ISERROR(B81-2),"",C81+D81-F81-G81-K81+SUM($L$14:L81))</f>
        <v/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 t="str">
        <f t="shared" si="9"/>
        <v/>
      </c>
      <c r="V81" s="3" t="str">
        <f t="shared" si="10"/>
        <v/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1"/>
        <v>45890</v>
      </c>
    </row>
    <row r="82" spans="1:30" x14ac:dyDescent="0.25">
      <c r="A82" s="39" t="str">
        <f t="shared" ca="1" si="12"/>
        <v/>
      </c>
      <c r="B82" s="40" t="str">
        <f ca="1">IF(COUNTIF($W$2:W1067,A82)=1,VLOOKUP(A82,O:P,2), IF(COUNTIF($W$2:W1067,A82)=0,$B$9,""))</f>
        <v/>
      </c>
      <c r="C82" s="2" t="str">
        <f t="shared" ca="1" si="13"/>
        <v/>
      </c>
      <c r="D82" s="43"/>
      <c r="E82" s="40" t="str">
        <f ca="1">IF(COUNTIF($W$2:W1067,A82)=1,VLOOKUP(A82,Q:R,2), IF(COUNTIF($W$2:W1067,A82)=0,$C$9,""))</f>
        <v/>
      </c>
      <c r="F82" s="2" t="str">
        <f t="shared" ca="1" si="14"/>
        <v/>
      </c>
      <c r="G82" s="43" t="str">
        <f t="shared" ca="1" si="15"/>
        <v/>
      </c>
      <c r="H82" s="40" t="str">
        <f ca="1">IF(COUNTIF($W$2:W1067,A82)=1,VLOOKUP(A82,S:T,2), IF(COUNTIF($W$2:W1067,A82)=0,$D$9,""))</f>
        <v/>
      </c>
      <c r="I82" s="41" t="str">
        <f ca="1">IF(COUNTIF($X$2:X1067,INT(A82))=1,VLOOKUP(INT(A82),X:Y,2), IF(ISERROR(H82-2),"",I81*(1-$D$8*(H82-H81)*0.0001)))</f>
        <v/>
      </c>
      <c r="J82" s="41" t="str">
        <f t="shared" ca="1" si="16"/>
        <v/>
      </c>
      <c r="K82" s="43" t="str">
        <f t="shared" ca="1" si="17"/>
        <v/>
      </c>
      <c r="L82" s="43"/>
      <c r="M82" s="44" t="str">
        <f ca="1">IF(ISERROR(B82-2),"",C82+D82-F82-G82-K82+SUM($L$14:L82))</f>
        <v/>
      </c>
      <c r="Q82" s="3">
        <v>46162.625</v>
      </c>
      <c r="R82" s="4">
        <v>99.39</v>
      </c>
      <c r="S82" s="3">
        <v>46162.625</v>
      </c>
      <c r="T82" s="4">
        <v>278.315</v>
      </c>
      <c r="U82" s="3" t="str">
        <f t="shared" si="9"/>
        <v/>
      </c>
      <c r="V82" s="3" t="str">
        <f t="shared" si="10"/>
        <v/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1"/>
        <v>45891</v>
      </c>
    </row>
    <row r="83" spans="1:30" x14ac:dyDescent="0.25">
      <c r="A83" s="39" t="str">
        <f t="shared" ca="1" si="12"/>
        <v/>
      </c>
      <c r="B83" s="40" t="str">
        <f ca="1">IF(COUNTIF($W$2:W1068,A83)=1,VLOOKUP(A83,O:P,2), IF(COUNTIF($W$2:W1068,A83)=0,$B$9,""))</f>
        <v/>
      </c>
      <c r="C83" s="2" t="str">
        <f t="shared" ca="1" si="13"/>
        <v/>
      </c>
      <c r="D83" s="43"/>
      <c r="E83" s="40" t="str">
        <f ca="1">IF(COUNTIF($W$2:W1068,A83)=1,VLOOKUP(A83,Q:R,2), IF(COUNTIF($W$2:W1068,A83)=0,$C$9,""))</f>
        <v/>
      </c>
      <c r="F83" s="2" t="str">
        <f t="shared" ca="1" si="14"/>
        <v/>
      </c>
      <c r="G83" s="43" t="str">
        <f t="shared" ca="1" si="15"/>
        <v/>
      </c>
      <c r="H83" s="40" t="str">
        <f ca="1">IF(COUNTIF($W$2:W1068,A83)=1,VLOOKUP(A83,S:T,2), IF(COUNTIF($W$2:W1068,A83)=0,$D$9,""))</f>
        <v/>
      </c>
      <c r="I83" s="41" t="str">
        <f ca="1">IF(COUNTIF($X$2:X1068,INT(A83))=1,VLOOKUP(INT(A83),X:Y,2), IF(ISERROR(H83-2),"",I82*(1-$D$8*(H83-H82)*0.0001)))</f>
        <v/>
      </c>
      <c r="J83" s="41" t="str">
        <f t="shared" ca="1" si="16"/>
        <v/>
      </c>
      <c r="K83" s="43" t="str">
        <f t="shared" ca="1" si="17"/>
        <v/>
      </c>
      <c r="L83" s="43"/>
      <c r="M83" s="44" t="str">
        <f ca="1">IF(ISERROR(B83-2),"",C83+D83-F83-G83-K83+SUM($L$14:L83))</f>
        <v/>
      </c>
      <c r="Q83" s="3">
        <v>46163.625</v>
      </c>
      <c r="R83" s="4">
        <v>99.37</v>
      </c>
      <c r="S83" s="3">
        <v>46163.625</v>
      </c>
      <c r="T83" s="4">
        <v>279.541</v>
      </c>
      <c r="U83" s="3" t="str">
        <f t="shared" si="9"/>
        <v/>
      </c>
      <c r="V83" s="3" t="str">
        <f t="shared" si="10"/>
        <v/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1"/>
        <v>45895</v>
      </c>
    </row>
    <row r="84" spans="1:30" x14ac:dyDescent="0.25">
      <c r="A84" s="39" t="str">
        <f t="shared" ca="1" si="12"/>
        <v/>
      </c>
      <c r="B84" s="40" t="str">
        <f ca="1">IF(COUNTIF($W$2:W1069,A84)=1,VLOOKUP(A84,O:P,2), IF(COUNTIF($W$2:W1069,A84)=0,$B$9,""))</f>
        <v/>
      </c>
      <c r="C84" s="2" t="str">
        <f t="shared" ca="1" si="13"/>
        <v/>
      </c>
      <c r="D84" s="43"/>
      <c r="E84" s="40" t="str">
        <f ca="1">IF(COUNTIF($W$2:W1069,A84)=1,VLOOKUP(A84,Q:R,2), IF(COUNTIF($W$2:W1069,A84)=0,$C$9,""))</f>
        <v/>
      </c>
      <c r="F84" s="2" t="str">
        <f t="shared" ca="1" si="14"/>
        <v/>
      </c>
      <c r="G84" s="43" t="str">
        <f t="shared" ca="1" si="15"/>
        <v/>
      </c>
      <c r="H84" s="40" t="str">
        <f ca="1">IF(COUNTIF($W$2:W1069,A84)=1,VLOOKUP(A84,S:T,2), IF(COUNTIF($W$2:W1069,A84)=0,$D$9,""))</f>
        <v/>
      </c>
      <c r="I84" s="41" t="str">
        <f ca="1">IF(COUNTIF($X$2:X1069,INT(A84))=1,VLOOKUP(INT(A84),X:Y,2), IF(ISERROR(H84-2),"",I83*(1-$D$8*(H84-H83)*0.0001)))</f>
        <v/>
      </c>
      <c r="J84" s="41" t="str">
        <f t="shared" ca="1" si="16"/>
        <v/>
      </c>
      <c r="K84" s="43" t="str">
        <f t="shared" ca="1" si="17"/>
        <v/>
      </c>
      <c r="L84" s="43"/>
      <c r="M84" s="44" t="str">
        <f ca="1">IF(ISERROR(B84-2),"",C84+D84-F84-G84-K84+SUM($L$14:L84))</f>
        <v/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 t="str">
        <f t="shared" si="9"/>
        <v/>
      </c>
      <c r="V84" s="3" t="str">
        <f t="shared" si="10"/>
        <v/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1"/>
        <v>45896</v>
      </c>
    </row>
    <row r="85" spans="1:30" x14ac:dyDescent="0.25">
      <c r="A85" s="39" t="str">
        <f t="shared" ca="1" si="12"/>
        <v/>
      </c>
      <c r="B85" s="40" t="str">
        <f ca="1">IF(COUNTIF($W$2:W1070,A85)=1,VLOOKUP(A85,O:P,2), IF(COUNTIF($W$2:W1070,A85)=0,$B$9,""))</f>
        <v/>
      </c>
      <c r="C85" s="2" t="str">
        <f t="shared" ca="1" si="13"/>
        <v/>
      </c>
      <c r="D85" s="43"/>
      <c r="E85" s="40" t="str">
        <f ca="1">IF(COUNTIF($W$2:W1070,A85)=1,VLOOKUP(A85,Q:R,2), IF(COUNTIF($W$2:W1070,A85)=0,$C$9,""))</f>
        <v/>
      </c>
      <c r="F85" s="2" t="str">
        <f t="shared" ca="1" si="14"/>
        <v/>
      </c>
      <c r="G85" s="43" t="str">
        <f t="shared" ca="1" si="15"/>
        <v/>
      </c>
      <c r="H85" s="40" t="str">
        <f ca="1">IF(COUNTIF($W$2:W1070,A85)=1,VLOOKUP(A85,S:T,2), IF(COUNTIF($W$2:W1070,A85)=0,$D$9,""))</f>
        <v/>
      </c>
      <c r="I85" s="41" t="str">
        <f ca="1">IF(COUNTIF($X$2:X1070,INT(A85))=1,VLOOKUP(INT(A85),X:Y,2), IF(ISERROR(H85-2),"",I84*(1-$D$8*(H85-H84)*0.0001)))</f>
        <v/>
      </c>
      <c r="J85" s="41" t="str">
        <f t="shared" ca="1" si="16"/>
        <v/>
      </c>
      <c r="K85" s="43" t="str">
        <f t="shared" ca="1" si="17"/>
        <v/>
      </c>
      <c r="L85" s="43"/>
      <c r="M85" s="44" t="str">
        <f ca="1">IF(ISERROR(B85-2),"",C85+D85-F85-G85-K85+SUM($L$14:L85))</f>
        <v/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 t="str">
        <f t="shared" si="9"/>
        <v/>
      </c>
      <c r="V85" s="3" t="str">
        <f t="shared" si="10"/>
        <v/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1"/>
        <v>45897</v>
      </c>
    </row>
    <row r="86" spans="1:30" x14ac:dyDescent="0.25">
      <c r="A86" s="39" t="str">
        <f t="shared" ca="1" si="12"/>
        <v/>
      </c>
      <c r="B86" s="40" t="str">
        <f ca="1">IF(COUNTIF($W$2:W1071,A86)=1,VLOOKUP(A86,O:P,2), IF(COUNTIF($W$2:W1071,A86)=0,$B$9,""))</f>
        <v/>
      </c>
      <c r="C86" s="2" t="str">
        <f t="shared" ca="1" si="13"/>
        <v/>
      </c>
      <c r="D86" s="43"/>
      <c r="E86" s="40" t="str">
        <f ca="1">IF(COUNTIF($W$2:W1071,A86)=1,VLOOKUP(A86,Q:R,2), IF(COUNTIF($W$2:W1071,A86)=0,$C$9,""))</f>
        <v/>
      </c>
      <c r="F86" s="2" t="str">
        <f t="shared" ca="1" si="14"/>
        <v/>
      </c>
      <c r="G86" s="43" t="str">
        <f t="shared" ca="1" si="15"/>
        <v/>
      </c>
      <c r="H86" s="40" t="str">
        <f ca="1">IF(COUNTIF($W$2:W1071,A86)=1,VLOOKUP(A86,S:T,2), IF(COUNTIF($W$2:W1071,A86)=0,$D$9,""))</f>
        <v/>
      </c>
      <c r="I86" s="41" t="str">
        <f ca="1">IF(COUNTIF($X$2:X1071,INT(A86))=1,VLOOKUP(INT(A86),X:Y,2), IF(ISERROR(H86-2),"",I85*(1-$D$8*(H86-H85)*0.0001)))</f>
        <v/>
      </c>
      <c r="J86" s="41" t="str">
        <f t="shared" ca="1" si="16"/>
        <v/>
      </c>
      <c r="K86" s="43" t="str">
        <f t="shared" ca="1" si="17"/>
        <v/>
      </c>
      <c r="L86" s="43"/>
      <c r="M86" s="44" t="str">
        <f ca="1">IF(ISERROR(B86-2),"",C86+D86-F86-G86-K86+SUM($L$14:L86))</f>
        <v/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 t="str">
        <f t="shared" si="9"/>
        <v/>
      </c>
      <c r="V86" s="3" t="str">
        <f t="shared" si="10"/>
        <v/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1"/>
        <v>45898</v>
      </c>
    </row>
    <row r="87" spans="1:30" x14ac:dyDescent="0.25">
      <c r="A87" s="39" t="str">
        <f t="shared" ca="1" si="12"/>
        <v/>
      </c>
      <c r="B87" s="40" t="str">
        <f ca="1">IF(COUNTIF($W$2:W1072,A87)=1,VLOOKUP(A87,O:P,2), IF(COUNTIF($W$2:W1072,A87)=0,$B$9,""))</f>
        <v/>
      </c>
      <c r="C87" s="2" t="str">
        <f t="shared" ca="1" si="13"/>
        <v/>
      </c>
      <c r="D87" s="43"/>
      <c r="E87" s="40" t="str">
        <f ca="1">IF(COUNTIF($W$2:W1072,A87)=1,VLOOKUP(A87,Q:R,2), IF(COUNTIF($W$2:W1072,A87)=0,$C$9,""))</f>
        <v/>
      </c>
      <c r="F87" s="2" t="str">
        <f t="shared" ca="1" si="14"/>
        <v/>
      </c>
      <c r="G87" s="43" t="str">
        <f t="shared" ca="1" si="15"/>
        <v/>
      </c>
      <c r="H87" s="40" t="str">
        <f ca="1">IF(COUNTIF($W$2:W1072,A87)=1,VLOOKUP(A87,S:T,2), IF(COUNTIF($W$2:W1072,A87)=0,$D$9,""))</f>
        <v/>
      </c>
      <c r="I87" s="41" t="str">
        <f ca="1">IF(COUNTIF($X$2:X1072,INT(A87))=1,VLOOKUP(INT(A87),X:Y,2), IF(ISERROR(H87-2),"",I86*(1-$D$8*(H87-H86)*0.0001)))</f>
        <v/>
      </c>
      <c r="J87" s="41" t="str">
        <f t="shared" ca="1" si="16"/>
        <v/>
      </c>
      <c r="K87" s="43" t="str">
        <f t="shared" ca="1" si="17"/>
        <v/>
      </c>
      <c r="L87" s="43"/>
      <c r="M87" s="44" t="str">
        <f ca="1">IF(ISERROR(B87-2),"",C87+D87-F87-G87-K87+SUM($L$14:L87))</f>
        <v/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 t="str">
        <f t="shared" si="9"/>
        <v/>
      </c>
      <c r="V87" s="3" t="str">
        <f t="shared" si="10"/>
        <v/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1"/>
        <v>45901</v>
      </c>
    </row>
    <row r="88" spans="1:30" x14ac:dyDescent="0.25">
      <c r="A88" s="39" t="str">
        <f t="shared" ca="1" si="12"/>
        <v/>
      </c>
      <c r="B88" s="40" t="str">
        <f ca="1">IF(COUNTIF($W$2:W1073,A88)=1,VLOOKUP(A88,O:P,2), IF(COUNTIF($W$2:W1073,A88)=0,$B$9,""))</f>
        <v/>
      </c>
      <c r="C88" s="2" t="str">
        <f t="shared" ca="1" si="13"/>
        <v/>
      </c>
      <c r="D88" s="43"/>
      <c r="E88" s="40" t="str">
        <f ca="1">IF(COUNTIF($W$2:W1073,A88)=1,VLOOKUP(A88,Q:R,2), IF(COUNTIF($W$2:W1073,A88)=0,$C$9,""))</f>
        <v/>
      </c>
      <c r="F88" s="2" t="str">
        <f t="shared" ca="1" si="14"/>
        <v/>
      </c>
      <c r="G88" s="43" t="str">
        <f t="shared" ca="1" si="15"/>
        <v/>
      </c>
      <c r="H88" s="40" t="str">
        <f ca="1">IF(COUNTIF($W$2:W1073,A88)=1,VLOOKUP(A88,S:T,2), IF(COUNTIF($W$2:W1073,A88)=0,$D$9,""))</f>
        <v/>
      </c>
      <c r="I88" s="41" t="str">
        <f ca="1">IF(COUNTIF($X$2:X1073,INT(A88))=1,VLOOKUP(INT(A88),X:Y,2), IF(ISERROR(H88-2),"",I87*(1-$D$8*(H88-H87)*0.0001)))</f>
        <v/>
      </c>
      <c r="J88" s="41" t="str">
        <f t="shared" ca="1" si="16"/>
        <v/>
      </c>
      <c r="K88" s="43" t="str">
        <f t="shared" ca="1" si="17"/>
        <v/>
      </c>
      <c r="L88" s="43"/>
      <c r="M88" s="44" t="str">
        <f ca="1">IF(ISERROR(B88-2),"",C88+D88-F88-G88-K88+SUM($L$14:L88))</f>
        <v/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 t="str">
        <f t="shared" si="9"/>
        <v/>
      </c>
      <c r="V88" s="3" t="str">
        <f t="shared" si="10"/>
        <v/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1"/>
        <v>45902</v>
      </c>
    </row>
    <row r="89" spans="1:30" x14ac:dyDescent="0.25">
      <c r="A89" s="39" t="str">
        <f t="shared" ca="1" si="12"/>
        <v/>
      </c>
      <c r="B89" s="40" t="str">
        <f ca="1">IF(COUNTIF($W$2:W1074,A89)=1,VLOOKUP(A89,O:P,2), IF(COUNTIF($W$2:W1074,A89)=0,$B$9,""))</f>
        <v/>
      </c>
      <c r="C89" s="2" t="str">
        <f t="shared" ca="1" si="13"/>
        <v/>
      </c>
      <c r="D89" s="43"/>
      <c r="E89" s="40" t="str">
        <f ca="1">IF(COUNTIF($W$2:W1074,A89)=1,VLOOKUP(A89,Q:R,2), IF(COUNTIF($W$2:W1074,A89)=0,$C$9,""))</f>
        <v/>
      </c>
      <c r="F89" s="2" t="str">
        <f t="shared" ca="1" si="14"/>
        <v/>
      </c>
      <c r="G89" s="43" t="str">
        <f t="shared" ca="1" si="15"/>
        <v/>
      </c>
      <c r="H89" s="40" t="str">
        <f ca="1">IF(COUNTIF($W$2:W1074,A89)=1,VLOOKUP(A89,S:T,2), IF(COUNTIF($W$2:W1074,A89)=0,$D$9,""))</f>
        <v/>
      </c>
      <c r="I89" s="41" t="str">
        <f ca="1">IF(COUNTIF($X$2:X1074,INT(A89))=1,VLOOKUP(INT(A89),X:Y,2), IF(ISERROR(H89-2),"",I88*(1-$D$8*(H89-H88)*0.0001)))</f>
        <v/>
      </c>
      <c r="J89" s="41" t="str">
        <f t="shared" ca="1" si="16"/>
        <v/>
      </c>
      <c r="K89" s="43" t="str">
        <f t="shared" ca="1" si="17"/>
        <v/>
      </c>
      <c r="L89" s="43"/>
      <c r="M89" s="44" t="str">
        <f ca="1">IF(ISERROR(B89-2),"",C89+D89-F89-G89-K89+SUM($L$14:L89))</f>
        <v/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 t="str">
        <f t="shared" si="9"/>
        <v/>
      </c>
      <c r="V89" s="3" t="str">
        <f t="shared" si="10"/>
        <v/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1"/>
        <v>45903</v>
      </c>
    </row>
    <row r="90" spans="1:30" x14ac:dyDescent="0.25">
      <c r="A90" s="39" t="str">
        <f t="shared" ca="1" si="12"/>
        <v/>
      </c>
      <c r="B90" s="40" t="str">
        <f ca="1">IF(COUNTIF($W$2:W1075,A90)=1,VLOOKUP(A90,O:P,2), IF(COUNTIF($W$2:W1075,A90)=0,$B$9,""))</f>
        <v/>
      </c>
      <c r="C90" s="2" t="str">
        <f t="shared" ca="1" si="13"/>
        <v/>
      </c>
      <c r="D90" s="43"/>
      <c r="E90" s="40" t="str">
        <f ca="1">IF(COUNTIF($W$2:W1075,A90)=1,VLOOKUP(A90,Q:R,2), IF(COUNTIF($W$2:W1075,A90)=0,$C$9,""))</f>
        <v/>
      </c>
      <c r="F90" s="2" t="str">
        <f t="shared" ca="1" si="14"/>
        <v/>
      </c>
      <c r="G90" s="43" t="str">
        <f t="shared" ca="1" si="15"/>
        <v/>
      </c>
      <c r="H90" s="40" t="str">
        <f ca="1">IF(COUNTIF($W$2:W1075,A90)=1,VLOOKUP(A90,S:T,2), IF(COUNTIF($W$2:W1075,A90)=0,$D$9,""))</f>
        <v/>
      </c>
      <c r="I90" s="41" t="str">
        <f ca="1">IF(COUNTIF($X$2:X1075,INT(A90))=1,VLOOKUP(INT(A90),X:Y,2), IF(ISERROR(H90-2),"",I89*(1-$D$8*(H90-H89)*0.0001)))</f>
        <v/>
      </c>
      <c r="J90" s="41" t="str">
        <f t="shared" ca="1" si="16"/>
        <v/>
      </c>
      <c r="K90" s="43" t="str">
        <f t="shared" ca="1" si="17"/>
        <v/>
      </c>
      <c r="L90" s="43"/>
      <c r="M90" s="44" t="str">
        <f ca="1">IF(ISERROR(B90-2),"",C90+D90-F90-G90-K90+SUM($L$14:L90))</f>
        <v/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 t="str">
        <f t="shared" si="9"/>
        <v/>
      </c>
      <c r="V90" s="3" t="str">
        <f t="shared" si="10"/>
        <v/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1"/>
        <v>45904</v>
      </c>
    </row>
    <row r="91" spans="1:30" x14ac:dyDescent="0.25">
      <c r="A91" s="39" t="str">
        <f t="shared" ca="1" si="12"/>
        <v/>
      </c>
      <c r="B91" s="40" t="str">
        <f ca="1">IF(COUNTIF($W$2:W1076,A91)=1,VLOOKUP(A91,O:P,2), IF(COUNTIF($W$2:W1076,A91)=0,$B$9,""))</f>
        <v/>
      </c>
      <c r="C91" s="2" t="str">
        <f t="shared" ca="1" si="13"/>
        <v/>
      </c>
      <c r="D91" s="43"/>
      <c r="E91" s="40" t="str">
        <f ca="1">IF(COUNTIF($W$2:W1076,A91)=1,VLOOKUP(A91,Q:R,2), IF(COUNTIF($W$2:W1076,A91)=0,$C$9,""))</f>
        <v/>
      </c>
      <c r="F91" s="2" t="str">
        <f t="shared" ca="1" si="14"/>
        <v/>
      </c>
      <c r="G91" s="43" t="str">
        <f t="shared" ca="1" si="15"/>
        <v/>
      </c>
      <c r="H91" s="40" t="str">
        <f ca="1">IF(COUNTIF($W$2:W1076,A91)=1,VLOOKUP(A91,S:T,2), IF(COUNTIF($W$2:W1076,A91)=0,$D$9,""))</f>
        <v/>
      </c>
      <c r="I91" s="41" t="str">
        <f ca="1">IF(COUNTIF($X$2:X1076,INT(A91))=1,VLOOKUP(INT(A91),X:Y,2), IF(ISERROR(H91-2),"",I90*(1-$D$8*(H91-H90)*0.0001)))</f>
        <v/>
      </c>
      <c r="J91" s="41" t="str">
        <f t="shared" ca="1" si="16"/>
        <v/>
      </c>
      <c r="K91" s="43" t="str">
        <f t="shared" ca="1" si="17"/>
        <v/>
      </c>
      <c r="L91" s="43"/>
      <c r="M91" s="44" t="str">
        <f ca="1">IF(ISERROR(B91-2),"",C91+D91-F91-G91-K91+SUM($L$14:L91))</f>
        <v/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 t="str">
        <f t="shared" si="9"/>
        <v/>
      </c>
      <c r="V91" s="3" t="str">
        <f t="shared" si="10"/>
        <v/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1"/>
        <v>45905</v>
      </c>
    </row>
    <row r="92" spans="1:30" x14ac:dyDescent="0.25">
      <c r="A92" s="39" t="str">
        <f t="shared" ca="1" si="12"/>
        <v/>
      </c>
      <c r="B92" s="40" t="str">
        <f ca="1">IF(COUNTIF($W$2:W1077,A92)=1,VLOOKUP(A92,O:P,2), IF(COUNTIF($W$2:W1077,A92)=0,$B$9,""))</f>
        <v/>
      </c>
      <c r="C92" s="2" t="str">
        <f t="shared" ca="1" si="13"/>
        <v/>
      </c>
      <c r="D92" s="43"/>
      <c r="E92" s="40" t="str">
        <f ca="1">IF(COUNTIF($W$2:W1077,A92)=1,VLOOKUP(A92,Q:R,2), IF(COUNTIF($W$2:W1077,A92)=0,$C$9,""))</f>
        <v/>
      </c>
      <c r="F92" s="2" t="str">
        <f t="shared" ca="1" si="14"/>
        <v/>
      </c>
      <c r="G92" s="43" t="str">
        <f t="shared" ca="1" si="15"/>
        <v/>
      </c>
      <c r="H92" s="40" t="str">
        <f ca="1">IF(COUNTIF($W$2:W1077,A92)=1,VLOOKUP(A92,S:T,2), IF(COUNTIF($W$2:W1077,A92)=0,$D$9,""))</f>
        <v/>
      </c>
      <c r="I92" s="41" t="str">
        <f ca="1">IF(COUNTIF($X$2:X1077,INT(A92))=1,VLOOKUP(INT(A92),X:Y,2), IF(ISERROR(H92-2),"",I91*(1-$D$8*(H92-H91)*0.0001)))</f>
        <v/>
      </c>
      <c r="J92" s="41" t="str">
        <f t="shared" ca="1" si="16"/>
        <v/>
      </c>
      <c r="K92" s="43" t="str">
        <f t="shared" ca="1" si="17"/>
        <v/>
      </c>
      <c r="L92" s="43"/>
      <c r="M92" s="44" t="str">
        <f ca="1">IF(ISERROR(B92-2),"",C92+D92-F92-G92-K92+SUM($L$14:L92))</f>
        <v/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 t="str">
        <f t="shared" si="9"/>
        <v/>
      </c>
      <c r="V92" s="3" t="str">
        <f t="shared" si="10"/>
        <v/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1"/>
        <v>45908</v>
      </c>
    </row>
    <row r="93" spans="1:30" x14ac:dyDescent="0.25">
      <c r="A93" s="39" t="str">
        <f t="shared" ca="1" si="12"/>
        <v/>
      </c>
      <c r="B93" s="40" t="str">
        <f ca="1">IF(COUNTIF($W$2:W1078,A93)=1,VLOOKUP(A93,O:P,2), IF(COUNTIF($W$2:W1078,A93)=0,$B$9,""))</f>
        <v/>
      </c>
      <c r="C93" s="2" t="str">
        <f t="shared" ca="1" si="13"/>
        <v/>
      </c>
      <c r="D93" s="43"/>
      <c r="E93" s="40" t="str">
        <f ca="1">IF(COUNTIF($W$2:W1078,A93)=1,VLOOKUP(A93,Q:R,2), IF(COUNTIF($W$2:W1078,A93)=0,$C$9,""))</f>
        <v/>
      </c>
      <c r="F93" s="2" t="str">
        <f t="shared" ca="1" si="14"/>
        <v/>
      </c>
      <c r="G93" s="43" t="str">
        <f t="shared" ca="1" si="15"/>
        <v/>
      </c>
      <c r="H93" s="40" t="str">
        <f ca="1">IF(COUNTIF($W$2:W1078,A93)=1,VLOOKUP(A93,S:T,2), IF(COUNTIF($W$2:W1078,A93)=0,$D$9,""))</f>
        <v/>
      </c>
      <c r="I93" s="41" t="str">
        <f ca="1">IF(COUNTIF($X$2:X1078,INT(A93))=1,VLOOKUP(INT(A93),X:Y,2), IF(ISERROR(H93-2),"",I92*(1-$D$8*(H93-H92)*0.0001)))</f>
        <v/>
      </c>
      <c r="J93" s="41" t="str">
        <f t="shared" ca="1" si="16"/>
        <v/>
      </c>
      <c r="K93" s="43" t="str">
        <f t="shared" ca="1" si="17"/>
        <v/>
      </c>
      <c r="L93" s="43"/>
      <c r="M93" s="44" t="str">
        <f ca="1">IF(ISERROR(B93-2),"",C93+D93-F93-G93-K93+SUM($L$14:L93))</f>
        <v/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 t="str">
        <f t="shared" si="9"/>
        <v/>
      </c>
      <c r="V93" s="3" t="str">
        <f t="shared" si="10"/>
        <v/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1"/>
        <v>45909</v>
      </c>
    </row>
    <row r="94" spans="1:30" x14ac:dyDescent="0.25">
      <c r="A94" s="39" t="str">
        <f t="shared" ca="1" si="12"/>
        <v/>
      </c>
      <c r="B94" s="40" t="str">
        <f ca="1">IF(COUNTIF($W$2:W1079,A94)=1,VLOOKUP(A94,O:P,2), IF(COUNTIF($W$2:W1079,A94)=0,$B$9,""))</f>
        <v/>
      </c>
      <c r="C94" s="2" t="str">
        <f t="shared" ca="1" si="13"/>
        <v/>
      </c>
      <c r="D94" s="43"/>
      <c r="E94" s="40" t="str">
        <f ca="1">IF(COUNTIF($W$2:W1079,A94)=1,VLOOKUP(A94,Q:R,2), IF(COUNTIF($W$2:W1079,A94)=0,$C$9,""))</f>
        <v/>
      </c>
      <c r="F94" s="2" t="str">
        <f t="shared" ca="1" si="14"/>
        <v/>
      </c>
      <c r="G94" s="43" t="str">
        <f t="shared" ca="1" si="15"/>
        <v/>
      </c>
      <c r="H94" s="40" t="str">
        <f ca="1">IF(COUNTIF($W$2:W1079,A94)=1,VLOOKUP(A94,S:T,2), IF(COUNTIF($W$2:W1079,A94)=0,$D$9,""))</f>
        <v/>
      </c>
      <c r="I94" s="41" t="str">
        <f ca="1">IF(COUNTIF($X$2:X1079,INT(A94))=1,VLOOKUP(INT(A94),X:Y,2), IF(ISERROR(H94-2),"",I93*(1-$D$8*(H94-H93)*0.0001)))</f>
        <v/>
      </c>
      <c r="J94" s="41" t="str">
        <f t="shared" ca="1" si="16"/>
        <v/>
      </c>
      <c r="K94" s="43" t="str">
        <f t="shared" ca="1" si="17"/>
        <v/>
      </c>
      <c r="L94" s="43"/>
      <c r="M94" s="44" t="str">
        <f ca="1">IF(ISERROR(B94-2),"",C94+D94-F94-G94-K94+SUM($L$14:L94))</f>
        <v/>
      </c>
      <c r="Q94" s="3">
        <v>46178.625</v>
      </c>
      <c r="R94" s="4">
        <v>99.38</v>
      </c>
      <c r="S94" s="3">
        <v>46181.625</v>
      </c>
      <c r="T94" s="4">
        <v>263.755</v>
      </c>
      <c r="U94" s="3" t="str">
        <f t="shared" si="9"/>
        <v/>
      </c>
      <c r="V94" s="3" t="str">
        <f t="shared" si="10"/>
        <v/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1"/>
        <v>45910</v>
      </c>
    </row>
    <row r="95" spans="1:30" x14ac:dyDescent="0.25">
      <c r="A95" s="39" t="str">
        <f t="shared" ca="1" si="12"/>
        <v/>
      </c>
      <c r="B95" s="40" t="str">
        <f ca="1">IF(COUNTIF($W$2:W1080,A95)=1,VLOOKUP(A95,O:P,2), IF(COUNTIF($W$2:W1080,A95)=0,$B$9,""))</f>
        <v/>
      </c>
      <c r="C95" s="2" t="str">
        <f t="shared" ca="1" si="13"/>
        <v/>
      </c>
      <c r="D95" s="43"/>
      <c r="E95" s="40" t="str">
        <f ca="1">IF(COUNTIF($W$2:W1080,A95)=1,VLOOKUP(A95,Q:R,2), IF(COUNTIF($W$2:W1080,A95)=0,$C$9,""))</f>
        <v/>
      </c>
      <c r="F95" s="2" t="str">
        <f t="shared" ca="1" si="14"/>
        <v/>
      </c>
      <c r="G95" s="43" t="str">
        <f t="shared" ca="1" si="15"/>
        <v/>
      </c>
      <c r="H95" s="40" t="str">
        <f ca="1">IF(COUNTIF($W$2:W1080,A95)=1,VLOOKUP(A95,S:T,2), IF(COUNTIF($W$2:W1080,A95)=0,$D$9,""))</f>
        <v/>
      </c>
      <c r="I95" s="41" t="str">
        <f ca="1">IF(COUNTIF($X$2:X1080,INT(A95))=1,VLOOKUP(INT(A95),X:Y,2), IF(ISERROR(H95-2),"",I94*(1-$D$8*(H95-H94)*0.0001)))</f>
        <v/>
      </c>
      <c r="J95" s="41" t="str">
        <f t="shared" ca="1" si="16"/>
        <v/>
      </c>
      <c r="K95" s="43" t="str">
        <f t="shared" ca="1" si="17"/>
        <v/>
      </c>
      <c r="L95" s="43"/>
      <c r="M95" s="44" t="str">
        <f ca="1">IF(ISERROR(B95-2),"",C95+D95-F95-G95-K95+SUM($L$14:L95))</f>
        <v/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 t="str">
        <f t="shared" si="9"/>
        <v/>
      </c>
      <c r="V95" s="3" t="str">
        <f t="shared" si="10"/>
        <v/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1"/>
        <v>45911</v>
      </c>
    </row>
    <row r="96" spans="1:30" x14ac:dyDescent="0.25">
      <c r="A96" s="39" t="str">
        <f t="shared" ca="1" si="12"/>
        <v/>
      </c>
      <c r="B96" s="40" t="str">
        <f ca="1">IF(COUNTIF($W$2:W1081,A96)=1,VLOOKUP(A96,O:P,2), IF(COUNTIF($W$2:W1081,A96)=0,$B$9,""))</f>
        <v/>
      </c>
      <c r="C96" s="2" t="str">
        <f t="shared" ca="1" si="13"/>
        <v/>
      </c>
      <c r="D96" s="43"/>
      <c r="E96" s="40" t="str">
        <f ca="1">IF(COUNTIF($W$2:W1081,A96)=1,VLOOKUP(A96,Q:R,2), IF(COUNTIF($W$2:W1081,A96)=0,$C$9,""))</f>
        <v/>
      </c>
      <c r="F96" s="2" t="str">
        <f t="shared" ca="1" si="14"/>
        <v/>
      </c>
      <c r="G96" s="43" t="str">
        <f t="shared" ca="1" si="15"/>
        <v/>
      </c>
      <c r="H96" s="40" t="str">
        <f ca="1">IF(COUNTIF($W$2:W1081,A96)=1,VLOOKUP(A96,S:T,2), IF(COUNTIF($W$2:W1081,A96)=0,$D$9,""))</f>
        <v/>
      </c>
      <c r="I96" s="41" t="str">
        <f ca="1">IF(COUNTIF($X$2:X1081,INT(A96))=1,VLOOKUP(INT(A96),X:Y,2), IF(ISERROR(H96-2),"",I95*(1-$D$8*(H96-H95)*0.0001)))</f>
        <v/>
      </c>
      <c r="J96" s="41" t="str">
        <f t="shared" ca="1" si="16"/>
        <v/>
      </c>
      <c r="K96" s="43" t="str">
        <f t="shared" ca="1" si="17"/>
        <v/>
      </c>
      <c r="L96" s="43"/>
      <c r="M96" s="44" t="str">
        <f ca="1">IF(ISERROR(B96-2),"",C96+D96-F96-G96-K96+SUM($L$14:L96))</f>
        <v/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 t="str">
        <f t="shared" si="9"/>
        <v/>
      </c>
      <c r="V96" s="3" t="str">
        <f t="shared" si="10"/>
        <v/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1"/>
        <v>45912</v>
      </c>
    </row>
    <row r="97" spans="1:30" x14ac:dyDescent="0.25">
      <c r="A97" s="39" t="str">
        <f t="shared" ca="1" si="12"/>
        <v/>
      </c>
      <c r="B97" s="40" t="str">
        <f ca="1">IF(COUNTIF($W$2:W1082,A97)=1,VLOOKUP(A97,O:P,2), IF(COUNTIF($W$2:W1082,A97)=0,$B$9,""))</f>
        <v/>
      </c>
      <c r="C97" s="2" t="str">
        <f t="shared" ca="1" si="13"/>
        <v/>
      </c>
      <c r="D97" s="43"/>
      <c r="E97" s="40" t="str">
        <f ca="1">IF(COUNTIF($W$2:W1082,A97)=1,VLOOKUP(A97,Q:R,2), IF(COUNTIF($W$2:W1082,A97)=0,$C$9,""))</f>
        <v/>
      </c>
      <c r="F97" s="2" t="str">
        <f t="shared" ca="1" si="14"/>
        <v/>
      </c>
      <c r="G97" s="43" t="str">
        <f t="shared" ca="1" si="15"/>
        <v/>
      </c>
      <c r="H97" s="40" t="str">
        <f ca="1">IF(COUNTIF($W$2:W1082,A97)=1,VLOOKUP(A97,S:T,2), IF(COUNTIF($W$2:W1082,A97)=0,$D$9,""))</f>
        <v/>
      </c>
      <c r="I97" s="41" t="str">
        <f ca="1">IF(COUNTIF($X$2:X1082,INT(A97))=1,VLOOKUP(INT(A97),X:Y,2), IF(ISERROR(H97-2),"",I96*(1-$D$8*(H97-H96)*0.0001)))</f>
        <v/>
      </c>
      <c r="J97" s="41" t="str">
        <f t="shared" ca="1" si="16"/>
        <v/>
      </c>
      <c r="K97" s="43" t="str">
        <f t="shared" ca="1" si="17"/>
        <v/>
      </c>
      <c r="L97" s="43"/>
      <c r="M97" s="44" t="str">
        <f ca="1">IF(ISERROR(B97-2),"",C97+D97-F97-G97-K97+SUM($L$14:L97))</f>
        <v/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 t="str">
        <f t="shared" si="9"/>
        <v/>
      </c>
      <c r="V97" s="3" t="str">
        <f t="shared" si="10"/>
        <v/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1"/>
        <v>45915</v>
      </c>
    </row>
    <row r="98" spans="1:30" x14ac:dyDescent="0.25">
      <c r="A98" s="39" t="str">
        <f t="shared" ca="1" si="12"/>
        <v/>
      </c>
      <c r="B98" s="40" t="str">
        <f ca="1">IF(COUNTIF($W$2:W1083,A98)=1,VLOOKUP(A98,O:P,2), IF(COUNTIF($W$2:W1083,A98)=0,$B$9,""))</f>
        <v/>
      </c>
      <c r="C98" s="2" t="str">
        <f t="shared" ca="1" si="13"/>
        <v/>
      </c>
      <c r="D98" s="43"/>
      <c r="E98" s="40" t="str">
        <f ca="1">IF(COUNTIF($W$2:W1083,A98)=1,VLOOKUP(A98,Q:R,2), IF(COUNTIF($W$2:W1083,A98)=0,$C$9,""))</f>
        <v/>
      </c>
      <c r="F98" s="2" t="str">
        <f t="shared" ca="1" si="14"/>
        <v/>
      </c>
      <c r="G98" s="43" t="str">
        <f t="shared" ca="1" si="15"/>
        <v/>
      </c>
      <c r="H98" s="40" t="str">
        <f ca="1">IF(COUNTIF($W$2:W1083,A98)=1,VLOOKUP(A98,S:T,2), IF(COUNTIF($W$2:W1083,A98)=0,$D$9,""))</f>
        <v/>
      </c>
      <c r="I98" s="41" t="str">
        <f ca="1">IF(COUNTIF($X$2:X1083,INT(A98))=1,VLOOKUP(INT(A98),X:Y,2), IF(ISERROR(H98-2),"",I97*(1-$D$8*(H98-H97)*0.0001)))</f>
        <v/>
      </c>
      <c r="J98" s="41" t="str">
        <f t="shared" ca="1" si="16"/>
        <v/>
      </c>
      <c r="K98" s="43" t="str">
        <f t="shared" ca="1" si="17"/>
        <v/>
      </c>
      <c r="L98" s="43"/>
      <c r="M98" s="44" t="str">
        <f ca="1">IF(ISERROR(B98-2),"",C98+D98-F98-G98-K98+SUM($L$14:L98))</f>
        <v/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 t="str">
        <f t="shared" si="9"/>
        <v/>
      </c>
      <c r="V98" s="3" t="str">
        <f t="shared" si="10"/>
        <v/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1"/>
        <v>45916</v>
      </c>
    </row>
    <row r="99" spans="1:30" x14ac:dyDescent="0.25">
      <c r="A99" s="39" t="str">
        <f t="shared" ca="1" si="12"/>
        <v/>
      </c>
      <c r="B99" s="40" t="str">
        <f ca="1">IF(COUNTIF($W$2:W1084,A99)=1,VLOOKUP(A99,O:P,2), IF(COUNTIF($W$2:W1084,A99)=0,$B$9,""))</f>
        <v/>
      </c>
      <c r="C99" s="2" t="str">
        <f t="shared" ca="1" si="13"/>
        <v/>
      </c>
      <c r="D99" s="43"/>
      <c r="E99" s="40" t="str">
        <f ca="1">IF(COUNTIF($W$2:W1084,A99)=1,VLOOKUP(A99,Q:R,2), IF(COUNTIF($W$2:W1084,A99)=0,$C$9,""))</f>
        <v/>
      </c>
      <c r="F99" s="2" t="str">
        <f t="shared" ca="1" si="14"/>
        <v/>
      </c>
      <c r="G99" s="43" t="str">
        <f t="shared" ca="1" si="15"/>
        <v/>
      </c>
      <c r="H99" s="40" t="str">
        <f ca="1">IF(COUNTIF($W$2:W1084,A99)=1,VLOOKUP(A99,S:T,2), IF(COUNTIF($W$2:W1084,A99)=0,$D$9,""))</f>
        <v/>
      </c>
      <c r="I99" s="41" t="str">
        <f ca="1">IF(COUNTIF($X$2:X1084,INT(A99))=1,VLOOKUP(INT(A99),X:Y,2), IF(ISERROR(H99-2),"",I98*(1-$D$8*(H99-H98)*0.0001)))</f>
        <v/>
      </c>
      <c r="J99" s="41" t="str">
        <f t="shared" ca="1" si="16"/>
        <v/>
      </c>
      <c r="K99" s="43" t="str">
        <f t="shared" ca="1" si="17"/>
        <v/>
      </c>
      <c r="L99" s="43"/>
      <c r="M99" s="44" t="str">
        <f ca="1">IF(ISERROR(B99-2),"",C99+D99-F99-G99-K99+SUM($L$14:L99))</f>
        <v/>
      </c>
      <c r="Q99" s="3">
        <v>46185.625</v>
      </c>
      <c r="R99" s="4">
        <v>99.512</v>
      </c>
      <c r="S99" s="3">
        <v>46188.625</v>
      </c>
      <c r="T99" s="4">
        <v>248.518</v>
      </c>
      <c r="U99" s="3" t="str">
        <f t="shared" si="9"/>
        <v/>
      </c>
      <c r="V99" s="3" t="str">
        <f t="shared" si="10"/>
        <v/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1"/>
        <v>45917</v>
      </c>
    </row>
    <row r="100" spans="1:30" x14ac:dyDescent="0.25">
      <c r="A100" s="39" t="str">
        <f t="shared" ca="1" si="12"/>
        <v/>
      </c>
      <c r="B100" s="40" t="str">
        <f ca="1">IF(COUNTIF($W$2:W1085,A100)=1,VLOOKUP(A100,O:P,2), IF(COUNTIF($W$2:W1085,A100)=0,$B$9,""))</f>
        <v/>
      </c>
      <c r="C100" s="2" t="str">
        <f t="shared" ca="1" si="13"/>
        <v/>
      </c>
      <c r="D100" s="43"/>
      <c r="E100" s="40" t="str">
        <f ca="1">IF(COUNTIF($W$2:W1085,A100)=1,VLOOKUP(A100,Q:R,2), IF(COUNTIF($W$2:W1085,A100)=0,$C$9,""))</f>
        <v/>
      </c>
      <c r="F100" s="2" t="str">
        <f t="shared" ca="1" si="14"/>
        <v/>
      </c>
      <c r="G100" s="43" t="str">
        <f t="shared" ca="1" si="15"/>
        <v/>
      </c>
      <c r="H100" s="40" t="str">
        <f ca="1">IF(COUNTIF($W$2:W1085,A100)=1,VLOOKUP(A100,S:T,2), IF(COUNTIF($W$2:W1085,A100)=0,$D$9,""))</f>
        <v/>
      </c>
      <c r="I100" s="41" t="str">
        <f ca="1">IF(COUNTIF($X$2:X1085,INT(A100))=1,VLOOKUP(INT(A100),X:Y,2), IF(ISERROR(H100-2),"",I99*(1-$D$8*(H100-H99)*0.0001)))</f>
        <v/>
      </c>
      <c r="J100" s="41" t="str">
        <f t="shared" ca="1" si="16"/>
        <v/>
      </c>
      <c r="K100" s="43" t="str">
        <f t="shared" ca="1" si="17"/>
        <v/>
      </c>
      <c r="L100" s="43"/>
      <c r="M100" s="44" t="str">
        <f ca="1">IF(ISERROR(B100-2),"",C100+D100-F100-G100-K100+SUM($L$14:L100))</f>
        <v/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 t="str">
        <f t="shared" si="9"/>
        <v/>
      </c>
      <c r="V100" s="3" t="str">
        <f t="shared" si="10"/>
        <v/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1"/>
        <v>45918</v>
      </c>
    </row>
    <row r="101" spans="1:30" x14ac:dyDescent="0.25">
      <c r="A101" s="39" t="str">
        <f t="shared" ca="1" si="12"/>
        <v/>
      </c>
      <c r="B101" s="40" t="str">
        <f ca="1">IF(COUNTIF($W$2:W1086,A101)=1,VLOOKUP(A101,O:P,2), IF(COUNTIF($W$2:W1086,A101)=0,$B$9,""))</f>
        <v/>
      </c>
      <c r="C101" s="2" t="str">
        <f t="shared" ca="1" si="13"/>
        <v/>
      </c>
      <c r="D101" s="43"/>
      <c r="E101" s="40" t="str">
        <f ca="1">IF(COUNTIF($W$2:W1086,A101)=1,VLOOKUP(A101,Q:R,2), IF(COUNTIF($W$2:W1086,A101)=0,$C$9,""))</f>
        <v/>
      </c>
      <c r="F101" s="2" t="str">
        <f t="shared" ca="1" si="14"/>
        <v/>
      </c>
      <c r="G101" s="43" t="str">
        <f t="shared" ca="1" si="15"/>
        <v/>
      </c>
      <c r="H101" s="40" t="str">
        <f ca="1">IF(COUNTIF($W$2:W1086,A101)=1,VLOOKUP(A101,S:T,2), IF(COUNTIF($W$2:W1086,A101)=0,$D$9,""))</f>
        <v/>
      </c>
      <c r="I101" s="41" t="str">
        <f ca="1">IF(COUNTIF($X$2:X1086,INT(A101))=1,VLOOKUP(INT(A101),X:Y,2), IF(ISERROR(H101-2),"",I100*(1-$D$8*(H101-H100)*0.0001)))</f>
        <v/>
      </c>
      <c r="J101" s="41" t="str">
        <f t="shared" ca="1" si="16"/>
        <v/>
      </c>
      <c r="K101" s="43" t="str">
        <f t="shared" ca="1" si="17"/>
        <v/>
      </c>
      <c r="L101" s="43"/>
      <c r="M101" s="44" t="str">
        <f ca="1">IF(ISERROR(B101-2),"",C101+D101-F101-G101-K101+SUM($L$14:L101))</f>
        <v/>
      </c>
      <c r="Q101" s="3">
        <v>46189.625</v>
      </c>
      <c r="R101" s="4">
        <v>99.625</v>
      </c>
      <c r="S101" s="3">
        <v>46190.625</v>
      </c>
      <c r="T101" s="4">
        <v>252.459</v>
      </c>
      <c r="U101" s="3" t="str">
        <f t="shared" si="9"/>
        <v/>
      </c>
      <c r="V101" s="3" t="str">
        <f t="shared" si="10"/>
        <v/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1"/>
        <v>45919</v>
      </c>
    </row>
    <row r="102" spans="1:30" x14ac:dyDescent="0.25">
      <c r="A102" s="39" t="str">
        <f t="shared" ca="1" si="12"/>
        <v/>
      </c>
      <c r="B102" s="40" t="str">
        <f ca="1">IF(COUNTIF($W$2:W1087,A102)=1,VLOOKUP(A102,O:P,2), IF(COUNTIF($W$2:W1087,A102)=0,$B$9,""))</f>
        <v/>
      </c>
      <c r="C102" s="2" t="str">
        <f t="shared" ca="1" si="13"/>
        <v/>
      </c>
      <c r="D102" s="43"/>
      <c r="E102" s="40" t="str">
        <f ca="1">IF(COUNTIF($W$2:W1087,A102)=1,VLOOKUP(A102,Q:R,2), IF(COUNTIF($W$2:W1087,A102)=0,$C$9,""))</f>
        <v/>
      </c>
      <c r="F102" s="2" t="str">
        <f t="shared" ca="1" si="14"/>
        <v/>
      </c>
      <c r="G102" s="43" t="str">
        <f t="shared" ca="1" si="15"/>
        <v/>
      </c>
      <c r="H102" s="40" t="str">
        <f ca="1">IF(COUNTIF($W$2:W1087,A102)=1,VLOOKUP(A102,S:T,2), IF(COUNTIF($W$2:W1087,A102)=0,$D$9,""))</f>
        <v/>
      </c>
      <c r="I102" s="41" t="str">
        <f ca="1">IF(COUNTIF($X$2:X1087,INT(A102))=1,VLOOKUP(INT(A102),X:Y,2), IF(ISERROR(H102-2),"",I101*(1-$D$8*(H102-H101)*0.0001)))</f>
        <v/>
      </c>
      <c r="J102" s="41" t="str">
        <f t="shared" ca="1" si="16"/>
        <v/>
      </c>
      <c r="K102" s="43" t="str">
        <f t="shared" ca="1" si="17"/>
        <v/>
      </c>
      <c r="L102" s="43"/>
      <c r="M102" s="44" t="str">
        <f ca="1">IF(ISERROR(B102-2),"",C102+D102-F102-G102-K102+SUM($L$14:L102))</f>
        <v/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 t="str">
        <f t="shared" si="9"/>
        <v/>
      </c>
      <c r="V102" s="3" t="str">
        <f t="shared" si="10"/>
        <v/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1"/>
        <v>45922</v>
      </c>
    </row>
    <row r="103" spans="1:30" x14ac:dyDescent="0.25">
      <c r="A103" s="39" t="str">
        <f t="shared" ca="1" si="12"/>
        <v/>
      </c>
      <c r="B103" s="40" t="str">
        <f ca="1">IF(COUNTIF($W$2:W1088,A103)=1,VLOOKUP(A103,O:P,2), IF(COUNTIF($W$2:W1088,A103)=0,$B$9,""))</f>
        <v/>
      </c>
      <c r="C103" s="2" t="str">
        <f t="shared" ca="1" si="13"/>
        <v/>
      </c>
      <c r="D103" s="43"/>
      <c r="E103" s="40" t="str">
        <f ca="1">IF(COUNTIF($W$2:W1088,A103)=1,VLOOKUP(A103,Q:R,2), IF(COUNTIF($W$2:W1088,A103)=0,$C$9,""))</f>
        <v/>
      </c>
      <c r="F103" s="2" t="str">
        <f t="shared" ca="1" si="14"/>
        <v/>
      </c>
      <c r="G103" s="43" t="str">
        <f t="shared" ca="1" si="15"/>
        <v/>
      </c>
      <c r="H103" s="40" t="str">
        <f ca="1">IF(COUNTIF($W$2:W1088,A103)=1,VLOOKUP(A103,S:T,2), IF(COUNTIF($W$2:W1088,A103)=0,$D$9,""))</f>
        <v/>
      </c>
      <c r="I103" s="41" t="str">
        <f ca="1">IF(COUNTIF($X$2:X1088,INT(A103))=1,VLOOKUP(INT(A103),X:Y,2), IF(ISERROR(H103-2),"",I102*(1-$D$8*(H103-H102)*0.0001)))</f>
        <v/>
      </c>
      <c r="J103" s="41" t="str">
        <f t="shared" ca="1" si="16"/>
        <v/>
      </c>
      <c r="K103" s="43" t="str">
        <f t="shared" ca="1" si="17"/>
        <v/>
      </c>
      <c r="L103" s="43"/>
      <c r="M103" s="44" t="str">
        <f ca="1">IF(ISERROR(B103-2),"",C103+D103-F103-G103-K103+SUM($L$14:L103))</f>
        <v/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 t="str">
        <f t="shared" si="9"/>
        <v/>
      </c>
      <c r="V103" s="3" t="str">
        <f t="shared" si="10"/>
        <v/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1"/>
        <v>45923</v>
      </c>
    </row>
    <row r="104" spans="1:30" x14ac:dyDescent="0.25">
      <c r="A104" s="39" t="str">
        <f t="shared" ca="1" si="12"/>
        <v/>
      </c>
      <c r="B104" s="40" t="str">
        <f ca="1">IF(COUNTIF($W$2:W1089,A104)=1,VLOOKUP(A104,O:P,2), IF(COUNTIF($W$2:W1089,A104)=0,$B$9,""))</f>
        <v/>
      </c>
      <c r="C104" s="2" t="str">
        <f t="shared" ca="1" si="13"/>
        <v/>
      </c>
      <c r="D104" s="43"/>
      <c r="E104" s="40" t="str">
        <f ca="1">IF(COUNTIF($W$2:W1089,A104)=1,VLOOKUP(A104,Q:R,2), IF(COUNTIF($W$2:W1089,A104)=0,$C$9,""))</f>
        <v/>
      </c>
      <c r="F104" s="2" t="str">
        <f t="shared" ca="1" si="14"/>
        <v/>
      </c>
      <c r="G104" s="43" t="str">
        <f t="shared" ca="1" si="15"/>
        <v/>
      </c>
      <c r="H104" s="40" t="str">
        <f ca="1">IF(COUNTIF($W$2:W1089,A104)=1,VLOOKUP(A104,S:T,2), IF(COUNTIF($W$2:W1089,A104)=0,$D$9,""))</f>
        <v/>
      </c>
      <c r="I104" s="41" t="str">
        <f ca="1">IF(COUNTIF($X$2:X1089,INT(A104))=1,VLOOKUP(INT(A104),X:Y,2), IF(ISERROR(H104-2),"",I103*(1-$D$8*(H104-H103)*0.0001)))</f>
        <v/>
      </c>
      <c r="J104" s="41" t="str">
        <f t="shared" ca="1" si="16"/>
        <v/>
      </c>
      <c r="K104" s="43" t="str">
        <f t="shared" ca="1" si="17"/>
        <v/>
      </c>
      <c r="L104" s="43"/>
      <c r="M104" s="44" t="str">
        <f ca="1">IF(ISERROR(B104-2),"",C104+D104-F104-G104-K104+SUM($L$14:L104))</f>
        <v/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 t="str">
        <f t="shared" si="9"/>
        <v/>
      </c>
      <c r="V104" s="3" t="str">
        <f t="shared" si="10"/>
        <v/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1"/>
        <v>45924</v>
      </c>
    </row>
    <row r="105" spans="1:30" x14ac:dyDescent="0.25">
      <c r="A105" s="39" t="str">
        <f t="shared" ca="1" si="12"/>
        <v/>
      </c>
      <c r="B105" s="40" t="str">
        <f ca="1">IF(COUNTIF($W$2:W1090,A105)=1,VLOOKUP(A105,O:P,2), IF(COUNTIF($W$2:W1090,A105)=0,$B$9,""))</f>
        <v/>
      </c>
      <c r="C105" s="2" t="str">
        <f t="shared" ca="1" si="13"/>
        <v/>
      </c>
      <c r="D105" s="43"/>
      <c r="E105" s="40" t="str">
        <f ca="1">IF(COUNTIF($W$2:W1090,A105)=1,VLOOKUP(A105,Q:R,2), IF(COUNTIF($W$2:W1090,A105)=0,$C$9,""))</f>
        <v/>
      </c>
      <c r="F105" s="2" t="str">
        <f t="shared" ca="1" si="14"/>
        <v/>
      </c>
      <c r="G105" s="43" t="str">
        <f t="shared" ca="1" si="15"/>
        <v/>
      </c>
      <c r="H105" s="40" t="str">
        <f ca="1">IF(COUNTIF($W$2:W1090,A105)=1,VLOOKUP(A105,S:T,2), IF(COUNTIF($W$2:W1090,A105)=0,$D$9,""))</f>
        <v/>
      </c>
      <c r="I105" s="41" t="str">
        <f ca="1">IF(COUNTIF($X$2:X1090,INT(A105))=1,VLOOKUP(INT(A105),X:Y,2), IF(ISERROR(H105-2),"",I104*(1-$D$8*(H105-H104)*0.0001)))</f>
        <v/>
      </c>
      <c r="J105" s="41" t="str">
        <f t="shared" ca="1" si="16"/>
        <v/>
      </c>
      <c r="K105" s="43" t="str">
        <f t="shared" ca="1" si="17"/>
        <v/>
      </c>
      <c r="L105" s="43"/>
      <c r="M105" s="44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9"/>
        <v/>
      </c>
      <c r="V105" s="3" t="str">
        <f t="shared" si="10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1"/>
        <v>45925</v>
      </c>
    </row>
    <row r="106" spans="1:30" x14ac:dyDescent="0.25">
      <c r="A106" s="39" t="str">
        <f t="shared" ca="1" si="12"/>
        <v/>
      </c>
      <c r="B106" s="40" t="str">
        <f ca="1">IF(COUNTIF($W$2:W1091,A106)=1,VLOOKUP(A106,O:P,2), IF(COUNTIF($W$2:W1091,A106)=0,$B$9,""))</f>
        <v/>
      </c>
      <c r="C106" s="2" t="str">
        <f t="shared" ca="1" si="13"/>
        <v/>
      </c>
      <c r="D106" s="43"/>
      <c r="E106" s="40" t="str">
        <f ca="1">IF(COUNTIF($W$2:W1091,A106)=1,VLOOKUP(A106,Q:R,2), IF(COUNTIF($W$2:W1091,A106)=0,$C$9,""))</f>
        <v/>
      </c>
      <c r="F106" s="2" t="str">
        <f t="shared" ca="1" si="14"/>
        <v/>
      </c>
      <c r="G106" s="43" t="str">
        <f t="shared" ca="1" si="15"/>
        <v/>
      </c>
      <c r="H106" s="40" t="str">
        <f ca="1">IF(COUNTIF($W$2:W1091,A106)=1,VLOOKUP(A106,S:T,2), IF(COUNTIF($W$2:W1091,A106)=0,$D$9,""))</f>
        <v/>
      </c>
      <c r="I106" s="41" t="str">
        <f ca="1">IF(COUNTIF($X$2:X1091,INT(A106))=1,VLOOKUP(INT(A106),X:Y,2), IF(ISERROR(H106-2),"",I105*(1-$D$8*(H106-H105)*0.0001)))</f>
        <v/>
      </c>
      <c r="J106" s="41" t="str">
        <f t="shared" ca="1" si="16"/>
        <v/>
      </c>
      <c r="K106" s="43" t="str">
        <f t="shared" ca="1" si="17"/>
        <v/>
      </c>
      <c r="L106" s="43"/>
      <c r="M106" s="44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9"/>
        <v/>
      </c>
      <c r="V106" s="3" t="str">
        <f t="shared" si="10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1"/>
        <v>45926</v>
      </c>
    </row>
    <row r="107" spans="1:30" x14ac:dyDescent="0.25">
      <c r="A107" s="39" t="str">
        <f t="shared" ca="1" si="12"/>
        <v/>
      </c>
      <c r="B107" s="40" t="str">
        <f ca="1">IF(COUNTIF($W$2:W1092,A107)=1,VLOOKUP(A107,O:P,2), IF(COUNTIF($W$2:W1092,A107)=0,$B$9,""))</f>
        <v/>
      </c>
      <c r="C107" s="2" t="str">
        <f t="shared" ca="1" si="13"/>
        <v/>
      </c>
      <c r="D107" s="43"/>
      <c r="E107" s="40" t="str">
        <f ca="1">IF(COUNTIF($W$2:W1092,A107)=1,VLOOKUP(A107,Q:R,2), IF(COUNTIF($W$2:W1092,A107)=0,$C$9,""))</f>
        <v/>
      </c>
      <c r="F107" s="2" t="str">
        <f t="shared" ca="1" si="14"/>
        <v/>
      </c>
      <c r="G107" s="43" t="str">
        <f t="shared" ca="1" si="15"/>
        <v/>
      </c>
      <c r="H107" s="40" t="str">
        <f ca="1">IF(COUNTIF($W$2:W1092,A107)=1,VLOOKUP(A107,S:T,2), IF(COUNTIF($W$2:W1092,A107)=0,$D$9,""))</f>
        <v/>
      </c>
      <c r="I107" s="41" t="str">
        <f ca="1">IF(COUNTIF($X$2:X1092,INT(A107))=1,VLOOKUP(INT(A107),X:Y,2), IF(ISERROR(H107-2),"",I106*(1-$D$8*(H107-H106)*0.0001)))</f>
        <v/>
      </c>
      <c r="J107" s="41" t="str">
        <f t="shared" ca="1" si="16"/>
        <v/>
      </c>
      <c r="K107" s="43" t="str">
        <f t="shared" ca="1" si="17"/>
        <v/>
      </c>
      <c r="L107" s="43"/>
      <c r="M107" s="44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9"/>
        <v/>
      </c>
      <c r="V107" s="3" t="str">
        <f t="shared" si="10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1"/>
        <v>45929</v>
      </c>
    </row>
    <row r="108" spans="1:30" x14ac:dyDescent="0.25">
      <c r="A108" s="39" t="str">
        <f t="shared" ca="1" si="12"/>
        <v/>
      </c>
      <c r="B108" s="40" t="str">
        <f ca="1">IF(COUNTIF($W$2:W1093,A108)=1,VLOOKUP(A108,O:P,2), IF(COUNTIF($W$2:W1093,A108)=0,$B$9,""))</f>
        <v/>
      </c>
      <c r="C108" s="2" t="str">
        <f t="shared" ca="1" si="13"/>
        <v/>
      </c>
      <c r="D108" s="43"/>
      <c r="E108" s="40" t="str">
        <f ca="1">IF(COUNTIF($W$2:W1093,A108)=1,VLOOKUP(A108,Q:R,2), IF(COUNTIF($W$2:W1093,A108)=0,$C$9,""))</f>
        <v/>
      </c>
      <c r="F108" s="2" t="str">
        <f t="shared" ca="1" si="14"/>
        <v/>
      </c>
      <c r="G108" s="43" t="str">
        <f t="shared" ca="1" si="15"/>
        <v/>
      </c>
      <c r="H108" s="40" t="str">
        <f ca="1">IF(COUNTIF($W$2:W1093,A108)=1,VLOOKUP(A108,S:T,2), IF(COUNTIF($W$2:W1093,A108)=0,$D$9,""))</f>
        <v/>
      </c>
      <c r="I108" s="41" t="str">
        <f ca="1">IF(COUNTIF($X$2:X1093,INT(A108))=1,VLOOKUP(INT(A108),X:Y,2), IF(ISERROR(H108-2),"",I107*(1-$D$8*(H108-H107)*0.0001)))</f>
        <v/>
      </c>
      <c r="J108" s="41" t="str">
        <f t="shared" ca="1" si="16"/>
        <v/>
      </c>
      <c r="K108" s="43" t="str">
        <f t="shared" ca="1" si="17"/>
        <v/>
      </c>
      <c r="L108" s="43"/>
      <c r="M108" s="44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9"/>
        <v/>
      </c>
      <c r="V108" s="3" t="str">
        <f t="shared" si="10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1"/>
        <v>45930</v>
      </c>
    </row>
    <row r="109" spans="1:30" x14ac:dyDescent="0.25">
      <c r="A109" s="39" t="str">
        <f t="shared" ca="1" si="12"/>
        <v/>
      </c>
      <c r="B109" s="40" t="str">
        <f ca="1">IF(COUNTIF($W$2:W1094,A109)=1,VLOOKUP(A109,O:P,2), IF(COUNTIF($W$2:W1094,A109)=0,$B$9,""))</f>
        <v/>
      </c>
      <c r="C109" s="2" t="str">
        <f t="shared" ca="1" si="13"/>
        <v/>
      </c>
      <c r="D109" s="43"/>
      <c r="E109" s="40" t="str">
        <f ca="1">IF(COUNTIF($W$2:W1094,A109)=1,VLOOKUP(A109,Q:R,2), IF(COUNTIF($W$2:W1094,A109)=0,$C$9,""))</f>
        <v/>
      </c>
      <c r="F109" s="2" t="str">
        <f t="shared" ca="1" si="14"/>
        <v/>
      </c>
      <c r="G109" s="43" t="str">
        <f t="shared" ca="1" si="15"/>
        <v/>
      </c>
      <c r="H109" s="40" t="str">
        <f ca="1">IF(COUNTIF($W$2:W1094,A109)=1,VLOOKUP(A109,S:T,2), IF(COUNTIF($W$2:W1094,A109)=0,$D$9,""))</f>
        <v/>
      </c>
      <c r="I109" s="41" t="str">
        <f ca="1">IF(COUNTIF($X$2:X1094,INT(A109))=1,VLOOKUP(INT(A109),X:Y,2), IF(ISERROR(H109-2),"",I108*(1-$D$8*(H109-H108)*0.0001)))</f>
        <v/>
      </c>
      <c r="J109" s="41" t="str">
        <f t="shared" ca="1" si="16"/>
        <v/>
      </c>
      <c r="K109" s="43" t="str">
        <f t="shared" ca="1" si="17"/>
        <v/>
      </c>
      <c r="L109" s="43"/>
      <c r="M109" s="44" t="str">
        <f ca="1">IF(ISERROR(B109-2),"",C109+D109-F109-G109-K109+SUM($L$14:L109))</f>
        <v/>
      </c>
      <c r="U109" s="3" t="str">
        <f t="shared" si="9"/>
        <v/>
      </c>
      <c r="V109" s="3" t="str">
        <f t="shared" si="10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1"/>
        <v>45931</v>
      </c>
    </row>
    <row r="110" spans="1:30" x14ac:dyDescent="0.25">
      <c r="A110" s="39" t="str">
        <f t="shared" ca="1" si="12"/>
        <v/>
      </c>
      <c r="B110" s="40" t="str">
        <f ca="1">IF(COUNTIF($W$2:W1095,A110)=1,VLOOKUP(A110,O:P,2), IF(COUNTIF($W$2:W1095,A110)=0,$B$9,""))</f>
        <v/>
      </c>
      <c r="C110" s="2" t="str">
        <f t="shared" ca="1" si="13"/>
        <v/>
      </c>
      <c r="D110" s="43"/>
      <c r="E110" s="40" t="str">
        <f ca="1">IF(COUNTIF($W$2:W1095,A110)=1,VLOOKUP(A110,Q:R,2), IF(COUNTIF($W$2:W1095,A110)=0,$C$9,""))</f>
        <v/>
      </c>
      <c r="F110" s="2" t="str">
        <f t="shared" ca="1" si="14"/>
        <v/>
      </c>
      <c r="G110" s="43" t="str">
        <f t="shared" ca="1" si="15"/>
        <v/>
      </c>
      <c r="H110" s="40" t="str">
        <f ca="1">IF(COUNTIF($W$2:W1095,A110)=1,VLOOKUP(A110,S:T,2), IF(COUNTIF($W$2:W1095,A110)=0,$D$9,""))</f>
        <v/>
      </c>
      <c r="I110" s="41" t="str">
        <f ca="1">IF(COUNTIF($X$2:X1095,INT(A110))=1,VLOOKUP(INT(A110),X:Y,2), IF(ISERROR(H110-2),"",I109*(1-$D$8*(H110-H109)*0.0001)))</f>
        <v/>
      </c>
      <c r="J110" s="41" t="str">
        <f t="shared" ca="1" si="16"/>
        <v/>
      </c>
      <c r="K110" s="43" t="str">
        <f t="shared" ca="1" si="17"/>
        <v/>
      </c>
      <c r="L110" s="43"/>
      <c r="M110" s="44" t="str">
        <f ca="1">IF(ISERROR(B110-2),"",C110+D110-F110-G110-K110+SUM($L$14:L110))</f>
        <v/>
      </c>
      <c r="U110" s="3" t="str">
        <f t="shared" si="9"/>
        <v/>
      </c>
      <c r="V110" s="3" t="str">
        <f t="shared" si="10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1"/>
        <v>45932</v>
      </c>
    </row>
    <row r="111" spans="1:30" x14ac:dyDescent="0.25">
      <c r="A111" s="39" t="str">
        <f t="shared" ca="1" si="12"/>
        <v/>
      </c>
      <c r="B111" s="40" t="str">
        <f ca="1">IF(COUNTIF($W$2:W1096,A111)=1,VLOOKUP(A111,O:P,2), IF(COUNTIF($W$2:W1096,A111)=0,$B$9,""))</f>
        <v/>
      </c>
      <c r="C111" s="2" t="str">
        <f t="shared" ca="1" si="13"/>
        <v/>
      </c>
      <c r="D111" s="43"/>
      <c r="E111" s="40" t="str">
        <f ca="1">IF(COUNTIF($W$2:W1096,A111)=1,VLOOKUP(A111,Q:R,2), IF(COUNTIF($W$2:W1096,A111)=0,$C$9,""))</f>
        <v/>
      </c>
      <c r="F111" s="2" t="str">
        <f t="shared" ca="1" si="14"/>
        <v/>
      </c>
      <c r="G111" s="43" t="str">
        <f t="shared" ca="1" si="15"/>
        <v/>
      </c>
      <c r="H111" s="40" t="str">
        <f ca="1">IF(COUNTIF($W$2:W1096,A111)=1,VLOOKUP(A111,S:T,2), IF(COUNTIF($W$2:W1096,A111)=0,$D$9,""))</f>
        <v/>
      </c>
      <c r="I111" s="41" t="str">
        <f ca="1">IF(COUNTIF($X$2:X1096,INT(A111))=1,VLOOKUP(INT(A111),X:Y,2), IF(ISERROR(H111-2),"",I110*(1-$D$8*(H111-H110)*0.0001)))</f>
        <v/>
      </c>
      <c r="J111" s="41" t="str">
        <f t="shared" ca="1" si="16"/>
        <v/>
      </c>
      <c r="K111" s="43" t="str">
        <f t="shared" ca="1" si="17"/>
        <v/>
      </c>
      <c r="L111" s="43"/>
      <c r="M111" s="44" t="str">
        <f ca="1">IF(ISERROR(B111-2),"",C111+D111-F111-G111-K111+SUM($L$14:L111))</f>
        <v/>
      </c>
      <c r="U111" s="3" t="str">
        <f t="shared" si="9"/>
        <v/>
      </c>
      <c r="V111" s="3" t="str">
        <f t="shared" si="10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1"/>
        <v>45933</v>
      </c>
    </row>
    <row r="112" spans="1:30" x14ac:dyDescent="0.25">
      <c r="A112" s="39" t="str">
        <f t="shared" ca="1" si="12"/>
        <v/>
      </c>
      <c r="B112" s="40" t="str">
        <f ca="1">IF(COUNTIF($W$2:W1097,A112)=1,VLOOKUP(A112,O:P,2), IF(COUNTIF($W$2:W1097,A112)=0,$B$9,""))</f>
        <v/>
      </c>
      <c r="C112" s="2" t="str">
        <f t="shared" ca="1" si="13"/>
        <v/>
      </c>
      <c r="D112" s="43"/>
      <c r="E112" s="40" t="str">
        <f ca="1">IF(COUNTIF($W$2:W1097,A112)=1,VLOOKUP(A112,Q:R,2), IF(COUNTIF($W$2:W1097,A112)=0,$C$9,""))</f>
        <v/>
      </c>
      <c r="F112" s="2" t="str">
        <f t="shared" ca="1" si="14"/>
        <v/>
      </c>
      <c r="G112" s="43" t="str">
        <f t="shared" ca="1" si="15"/>
        <v/>
      </c>
      <c r="H112" s="40" t="str">
        <f ca="1">IF(COUNTIF($W$2:W1097,A112)=1,VLOOKUP(A112,S:T,2), IF(COUNTIF($W$2:W1097,A112)=0,$D$9,""))</f>
        <v/>
      </c>
      <c r="I112" s="41" t="str">
        <f ca="1">IF(COUNTIF($X$2:X1097,INT(A112))=1,VLOOKUP(INT(A112),X:Y,2), IF(ISERROR(H112-2),"",I111*(1-$D$8*(H112-H111)*0.0001)))</f>
        <v/>
      </c>
      <c r="J112" s="41" t="str">
        <f t="shared" ca="1" si="16"/>
        <v/>
      </c>
      <c r="K112" s="43" t="str">
        <f t="shared" ca="1" si="17"/>
        <v/>
      </c>
      <c r="L112" s="43"/>
      <c r="M112" s="44" t="str">
        <f ca="1">IF(ISERROR(B112-2),"",C112+D112-F112-G112-K112+SUM($L$14:L112))</f>
        <v/>
      </c>
      <c r="U112" s="3" t="str">
        <f t="shared" si="9"/>
        <v/>
      </c>
      <c r="V112" s="3" t="str">
        <f t="shared" si="10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1"/>
        <v>45936</v>
      </c>
    </row>
    <row r="113" spans="1:30" x14ac:dyDescent="0.25">
      <c r="A113" s="39" t="str">
        <f t="shared" ca="1" si="12"/>
        <v/>
      </c>
      <c r="B113" s="40" t="str">
        <f ca="1">IF(COUNTIF($W$2:W1098,A113)=1,VLOOKUP(A113,O:P,2), IF(COUNTIF($W$2:W1098,A113)=0,$B$9,""))</f>
        <v/>
      </c>
      <c r="C113" s="2" t="str">
        <f t="shared" ca="1" si="13"/>
        <v/>
      </c>
      <c r="D113" s="43"/>
      <c r="E113" s="40" t="str">
        <f ca="1">IF(COUNTIF($W$2:W1098,A113)=1,VLOOKUP(A113,Q:R,2), IF(COUNTIF($W$2:W1098,A113)=0,$C$9,""))</f>
        <v/>
      </c>
      <c r="F113" s="2" t="str">
        <f t="shared" ca="1" si="14"/>
        <v/>
      </c>
      <c r="G113" s="43" t="str">
        <f t="shared" ca="1" si="15"/>
        <v/>
      </c>
      <c r="H113" s="40" t="str">
        <f ca="1">IF(COUNTIF($W$2:W1098,A113)=1,VLOOKUP(A113,S:T,2), IF(COUNTIF($W$2:W1098,A113)=0,$D$9,""))</f>
        <v/>
      </c>
      <c r="I113" s="41" t="str">
        <f ca="1">IF(COUNTIF($X$2:X1098,INT(A113))=1,VLOOKUP(INT(A113),X:Y,2), IF(ISERROR(H113-2),"",I112*(1-$D$8*(H113-H112)*0.0001)))</f>
        <v/>
      </c>
      <c r="J113" s="41" t="str">
        <f t="shared" ca="1" si="16"/>
        <v/>
      </c>
      <c r="K113" s="43" t="str">
        <f t="shared" ca="1" si="17"/>
        <v/>
      </c>
      <c r="L113" s="43"/>
      <c r="M113" s="44" t="str">
        <f ca="1">IF(ISERROR(B113-2),"",C113+D113-F113-G113-K113+SUM($L$14:L113))</f>
        <v/>
      </c>
      <c r="U113" s="3" t="str">
        <f t="shared" si="9"/>
        <v/>
      </c>
      <c r="V113" s="3" t="str">
        <f t="shared" si="10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1"/>
        <v>45937</v>
      </c>
    </row>
    <row r="114" spans="1:30" x14ac:dyDescent="0.25">
      <c r="A114" s="39" t="str">
        <f t="shared" ca="1" si="12"/>
        <v/>
      </c>
      <c r="B114" s="40" t="str">
        <f ca="1">IF(COUNTIF($W$2:W1099,A114)=1,VLOOKUP(A114,O:P,2), IF(COUNTIF($W$2:W1099,A114)=0,$B$9,""))</f>
        <v/>
      </c>
      <c r="C114" s="2" t="str">
        <f t="shared" ca="1" si="13"/>
        <v/>
      </c>
      <c r="D114" s="43"/>
      <c r="E114" s="40" t="str">
        <f ca="1">IF(COUNTIF($W$2:W1099,A114)=1,VLOOKUP(A114,Q:R,2), IF(COUNTIF($W$2:W1099,A114)=0,$C$9,""))</f>
        <v/>
      </c>
      <c r="F114" s="2" t="str">
        <f t="shared" ca="1" si="14"/>
        <v/>
      </c>
      <c r="G114" s="43" t="str">
        <f t="shared" ca="1" si="15"/>
        <v/>
      </c>
      <c r="H114" s="40" t="str">
        <f ca="1">IF(COUNTIF($W$2:W1099,A114)=1,VLOOKUP(A114,S:T,2), IF(COUNTIF($W$2:W1099,A114)=0,$D$9,""))</f>
        <v/>
      </c>
      <c r="I114" s="41" t="str">
        <f ca="1">IF(COUNTIF($X$2:X1099,INT(A114))=1,VLOOKUP(INT(A114),X:Y,2), IF(ISERROR(H114-2),"",I113*(1-$D$8*(H114-H113)*0.0001)))</f>
        <v/>
      </c>
      <c r="J114" s="41" t="str">
        <f t="shared" ca="1" si="16"/>
        <v/>
      </c>
      <c r="K114" s="43" t="str">
        <f t="shared" ca="1" si="17"/>
        <v/>
      </c>
      <c r="L114" s="43"/>
      <c r="M114" s="44" t="str">
        <f ca="1">IF(ISERROR(B114-2),"",C114+D114-F114-G114-K114+SUM($L$14:L114))</f>
        <v/>
      </c>
      <c r="U114" s="3" t="str">
        <f t="shared" si="9"/>
        <v/>
      </c>
      <c r="V114" s="3" t="str">
        <f t="shared" si="10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1"/>
        <v>45938</v>
      </c>
    </row>
    <row r="115" spans="1:30" x14ac:dyDescent="0.25">
      <c r="A115" s="39" t="str">
        <f t="shared" ca="1" si="12"/>
        <v/>
      </c>
      <c r="B115" s="40" t="str">
        <f ca="1">IF(COUNTIF($W$2:W1100,A115)=1,VLOOKUP(A115,O:P,2), IF(COUNTIF($W$2:W1100,A115)=0,$B$9,""))</f>
        <v/>
      </c>
      <c r="C115" s="2" t="str">
        <f t="shared" ca="1" si="13"/>
        <v/>
      </c>
      <c r="D115" s="43"/>
      <c r="E115" s="40" t="str">
        <f ca="1">IF(COUNTIF($W$2:W1100,A115)=1,VLOOKUP(A115,Q:R,2), IF(COUNTIF($W$2:W1100,A115)=0,$C$9,""))</f>
        <v/>
      </c>
      <c r="F115" s="2" t="str">
        <f t="shared" ca="1" si="14"/>
        <v/>
      </c>
      <c r="G115" s="43" t="str">
        <f t="shared" ca="1" si="15"/>
        <v/>
      </c>
      <c r="H115" s="40" t="str">
        <f ca="1">IF(COUNTIF($W$2:W1100,A115)=1,VLOOKUP(A115,S:T,2), IF(COUNTIF($W$2:W1100,A115)=0,$D$9,""))</f>
        <v/>
      </c>
      <c r="I115" s="41" t="str">
        <f ca="1">IF(COUNTIF($X$2:X1100,INT(A115))=1,VLOOKUP(INT(A115),X:Y,2), IF(ISERROR(H115-2),"",I114*(1-$D$8*(H115-H114)*0.0001)))</f>
        <v/>
      </c>
      <c r="J115" s="41" t="str">
        <f t="shared" ca="1" si="16"/>
        <v/>
      </c>
      <c r="K115" s="43" t="str">
        <f t="shared" ca="1" si="17"/>
        <v/>
      </c>
      <c r="L115" s="43"/>
      <c r="M115" s="44" t="str">
        <f ca="1">IF(ISERROR(B115-2),"",C115+D115-F115-G115-K115+SUM($L$14:L115))</f>
        <v/>
      </c>
      <c r="U115" s="3" t="str">
        <f t="shared" si="9"/>
        <v/>
      </c>
      <c r="V115" s="3" t="str">
        <f t="shared" si="10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1"/>
        <v>45939</v>
      </c>
    </row>
    <row r="116" spans="1:30" x14ac:dyDescent="0.25">
      <c r="A116" s="39" t="str">
        <f t="shared" ca="1" si="12"/>
        <v/>
      </c>
      <c r="B116" s="40" t="str">
        <f ca="1">IF(COUNTIF($W$2:W1101,A116)=1,VLOOKUP(A116,O:P,2), IF(COUNTIF($W$2:W1101,A116)=0,$B$9,""))</f>
        <v/>
      </c>
      <c r="C116" s="2" t="str">
        <f t="shared" ca="1" si="13"/>
        <v/>
      </c>
      <c r="D116" s="43"/>
      <c r="E116" s="40" t="str">
        <f ca="1">IF(COUNTIF($W$2:W1101,A116)=1,VLOOKUP(A116,Q:R,2), IF(COUNTIF($W$2:W1101,A116)=0,$C$9,""))</f>
        <v/>
      </c>
      <c r="F116" s="2" t="str">
        <f t="shared" ca="1" si="14"/>
        <v/>
      </c>
      <c r="G116" s="43" t="str">
        <f t="shared" ca="1" si="15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6"/>
        <v/>
      </c>
      <c r="K116" s="43" t="str">
        <f t="shared" ca="1" si="17"/>
        <v/>
      </c>
      <c r="L116" s="43"/>
      <c r="M116" s="44" t="str">
        <f ca="1">IF(ISERROR(B116-2),"",C116+D116-F116-G116-K116+SUM($L$14:L116))</f>
        <v/>
      </c>
      <c r="U116" s="3" t="str">
        <f t="shared" si="9"/>
        <v/>
      </c>
      <c r="V116" s="3" t="str">
        <f t="shared" si="10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1"/>
        <v>45940</v>
      </c>
    </row>
    <row r="117" spans="1:30" x14ac:dyDescent="0.25">
      <c r="A117" s="39" t="str">
        <f t="shared" ca="1" si="12"/>
        <v/>
      </c>
      <c r="B117" s="40" t="str">
        <f ca="1">IF(COUNTIF($W$2:W1102,A117)=1,VLOOKUP(A117,O:P,2), IF(COUNTIF($W$2:W1102,A117)=0,$B$9,""))</f>
        <v/>
      </c>
      <c r="C117" s="2" t="str">
        <f t="shared" ca="1" si="13"/>
        <v/>
      </c>
      <c r="D117" s="43"/>
      <c r="E117" s="40" t="str">
        <f ca="1">IF(COUNTIF($W$2:W1102,A117)=1,VLOOKUP(A117,Q:R,2), IF(COUNTIF($W$2:W1102,A117)=0,$C$9,""))</f>
        <v/>
      </c>
      <c r="F117" s="2" t="str">
        <f t="shared" ca="1" si="14"/>
        <v/>
      </c>
      <c r="G117" s="43" t="str">
        <f t="shared" ca="1" si="15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6"/>
        <v/>
      </c>
      <c r="K117" s="43" t="str">
        <f t="shared" ca="1" si="17"/>
        <v/>
      </c>
      <c r="L117" s="43"/>
      <c r="M117" s="44" t="str">
        <f ca="1">IF(ISERROR(B117-2),"",C117+D117-F117-G117-K117+SUM($L$14:L117))</f>
        <v/>
      </c>
      <c r="U117" s="3" t="str">
        <f t="shared" si="9"/>
        <v/>
      </c>
      <c r="V117" s="3" t="str">
        <f t="shared" si="10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1"/>
        <v>45943</v>
      </c>
    </row>
    <row r="118" spans="1:30" x14ac:dyDescent="0.25">
      <c r="A118" s="39" t="str">
        <f t="shared" ca="1" si="12"/>
        <v/>
      </c>
      <c r="B118" s="40" t="str">
        <f ca="1">IF(COUNTIF($W$2:W1103,A118)=1,VLOOKUP(A118,O:P,2), IF(COUNTIF($W$2:W1103,A118)=0,$B$9,""))</f>
        <v/>
      </c>
      <c r="C118" s="2" t="str">
        <f t="shared" ca="1" si="13"/>
        <v/>
      </c>
      <c r="D118" s="43"/>
      <c r="E118" s="40" t="str">
        <f ca="1">IF(COUNTIF($W$2:W1103,A118)=1,VLOOKUP(A118,Q:R,2), IF(COUNTIF($W$2:W1103,A118)=0,$C$9,""))</f>
        <v/>
      </c>
      <c r="F118" s="2" t="str">
        <f t="shared" ca="1" si="14"/>
        <v/>
      </c>
      <c r="G118" s="43" t="str">
        <f t="shared" ca="1" si="15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6"/>
        <v/>
      </c>
      <c r="K118" s="43" t="str">
        <f t="shared" ca="1" si="17"/>
        <v/>
      </c>
      <c r="L118" s="43"/>
      <c r="M118" s="44" t="str">
        <f ca="1">IF(ISERROR(B118-2),"",C118+D118-F118-G118-K118+SUM($L$14:L118))</f>
        <v/>
      </c>
      <c r="U118" s="3" t="str">
        <f t="shared" si="9"/>
        <v/>
      </c>
      <c r="V118" s="3" t="str">
        <f t="shared" si="10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1"/>
        <v>45944</v>
      </c>
    </row>
    <row r="119" spans="1:30" x14ac:dyDescent="0.25">
      <c r="A119" s="39" t="str">
        <f t="shared" ca="1" si="12"/>
        <v/>
      </c>
      <c r="B119" s="40" t="str">
        <f ca="1">IF(COUNTIF($W$2:W1104,A119)=1,VLOOKUP(A119,O:P,2), IF(COUNTIF($W$2:W1104,A119)=0,$B$9,""))</f>
        <v/>
      </c>
      <c r="C119" s="2" t="str">
        <f t="shared" ca="1" si="13"/>
        <v/>
      </c>
      <c r="D119" s="43"/>
      <c r="E119" s="40" t="str">
        <f ca="1">IF(COUNTIF($W$2:W1104,A119)=1,VLOOKUP(A119,Q:R,2), IF(COUNTIF($W$2:W1104,A119)=0,$C$9,""))</f>
        <v/>
      </c>
      <c r="F119" s="2" t="str">
        <f t="shared" ca="1" si="14"/>
        <v/>
      </c>
      <c r="G119" s="43" t="str">
        <f t="shared" ca="1" si="15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6"/>
        <v/>
      </c>
      <c r="K119" s="43" t="str">
        <f t="shared" ca="1" si="17"/>
        <v/>
      </c>
      <c r="L119" s="43"/>
      <c r="M119" s="44" t="str">
        <f ca="1">IF(ISERROR(B119-2),"",C119+D119-F119-G119-K119+SUM($L$14:L119))</f>
        <v/>
      </c>
      <c r="U119" s="3" t="str">
        <f t="shared" si="9"/>
        <v/>
      </c>
      <c r="V119" s="3" t="str">
        <f t="shared" si="10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1"/>
        <v>45945</v>
      </c>
    </row>
    <row r="120" spans="1:30" x14ac:dyDescent="0.25">
      <c r="A120" s="39" t="str">
        <f t="shared" ca="1" si="12"/>
        <v/>
      </c>
      <c r="B120" s="40" t="str">
        <f ca="1">IF(COUNTIF($W$2:W1105,A120)=1,VLOOKUP(A120,O:P,2), IF(COUNTIF($W$2:W1105,A120)=0,$B$9,""))</f>
        <v/>
      </c>
      <c r="C120" s="2" t="str">
        <f t="shared" ca="1" si="13"/>
        <v/>
      </c>
      <c r="D120" s="43"/>
      <c r="E120" s="40" t="str">
        <f ca="1">IF(COUNTIF($W$2:W1105,A120)=1,VLOOKUP(A120,Q:R,2), IF(COUNTIF($W$2:W1105,A120)=0,$C$9,""))</f>
        <v/>
      </c>
      <c r="F120" s="2" t="str">
        <f t="shared" ca="1" si="14"/>
        <v/>
      </c>
      <c r="G120" s="43" t="str">
        <f t="shared" ca="1" si="15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6"/>
        <v/>
      </c>
      <c r="K120" s="43" t="str">
        <f t="shared" ca="1" si="17"/>
        <v/>
      </c>
      <c r="L120" s="43"/>
      <c r="M120" s="44" t="str">
        <f ca="1">IF(ISERROR(B120-2),"",C120+D120-F120-G120-K120+SUM($L$14:L120))</f>
        <v/>
      </c>
      <c r="U120" s="3" t="str">
        <f t="shared" si="9"/>
        <v/>
      </c>
      <c r="V120" s="3" t="str">
        <f t="shared" si="10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1"/>
        <v>45946</v>
      </c>
    </row>
    <row r="121" spans="1:30" x14ac:dyDescent="0.25">
      <c r="A121" s="39" t="str">
        <f t="shared" ca="1" si="12"/>
        <v/>
      </c>
      <c r="B121" s="40" t="str">
        <f ca="1">IF(COUNTIF($W$2:W1106,A121)=1,VLOOKUP(A121,O:P,2), IF(COUNTIF($W$2:W1106,A121)=0,$B$9,""))</f>
        <v/>
      </c>
      <c r="C121" s="2" t="str">
        <f t="shared" ca="1" si="13"/>
        <v/>
      </c>
      <c r="D121" s="43"/>
      <c r="E121" s="40" t="str">
        <f ca="1">IF(COUNTIF($W$2:W1106,A121)=1,VLOOKUP(A121,Q:R,2), IF(COUNTIF($W$2:W1106,A121)=0,$C$9,""))</f>
        <v/>
      </c>
      <c r="F121" s="2" t="str">
        <f t="shared" ca="1" si="14"/>
        <v/>
      </c>
      <c r="G121" s="43" t="str">
        <f t="shared" ca="1" si="15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6"/>
        <v/>
      </c>
      <c r="K121" s="43" t="str">
        <f t="shared" ca="1" si="17"/>
        <v/>
      </c>
      <c r="L121" s="43"/>
      <c r="M121" s="44" t="str">
        <f ca="1">IF(ISERROR(B121-2),"",C121+D121-F121-G121-K121+SUM($L$14:L121))</f>
        <v/>
      </c>
      <c r="U121" s="3" t="str">
        <f t="shared" si="9"/>
        <v/>
      </c>
      <c r="V121" s="3" t="str">
        <f t="shared" si="10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1"/>
        <v>45947</v>
      </c>
    </row>
    <row r="122" spans="1:30" x14ac:dyDescent="0.25">
      <c r="A122" s="39" t="str">
        <f t="shared" ca="1" si="12"/>
        <v/>
      </c>
      <c r="B122" s="40" t="str">
        <f ca="1">IF(COUNTIF($W$2:W1107,A122)=1,VLOOKUP(A122,O:P,2), IF(COUNTIF($W$2:W1107,A122)=0,$B$9,""))</f>
        <v/>
      </c>
      <c r="C122" s="2" t="str">
        <f t="shared" ca="1" si="13"/>
        <v/>
      </c>
      <c r="D122" s="43"/>
      <c r="E122" s="40" t="str">
        <f ca="1">IF(COUNTIF($W$2:W1107,A122)=1,VLOOKUP(A122,Q:R,2), IF(COUNTIF($W$2:W1107,A122)=0,$C$9,""))</f>
        <v/>
      </c>
      <c r="F122" s="2" t="str">
        <f t="shared" ca="1" si="14"/>
        <v/>
      </c>
      <c r="G122" s="43" t="str">
        <f t="shared" ca="1" si="15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6"/>
        <v/>
      </c>
      <c r="K122" s="43" t="str">
        <f t="shared" ca="1" si="17"/>
        <v/>
      </c>
      <c r="L122" s="43"/>
      <c r="M122" s="44" t="str">
        <f ca="1">IF(ISERROR(B122-2),"",C122+D122-F122-G122-K122+SUM($L$14:L122))</f>
        <v/>
      </c>
      <c r="U122" s="3" t="str">
        <f t="shared" si="9"/>
        <v/>
      </c>
      <c r="V122" s="3" t="str">
        <f t="shared" si="10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1"/>
        <v>45950</v>
      </c>
    </row>
    <row r="123" spans="1:30" x14ac:dyDescent="0.25">
      <c r="A123" s="39" t="str">
        <f t="shared" ca="1" si="12"/>
        <v/>
      </c>
      <c r="B123" s="40" t="str">
        <f ca="1">IF(COUNTIF($W$2:W1108,A123)=1,VLOOKUP(A123,O:P,2), IF(COUNTIF($W$2:W1108,A123)=0,$B$9,""))</f>
        <v/>
      </c>
      <c r="C123" s="2" t="str">
        <f t="shared" ca="1" si="13"/>
        <v/>
      </c>
      <c r="D123" s="43"/>
      <c r="E123" s="40" t="str">
        <f ca="1">IF(COUNTIF($W$2:W1108,A123)=1,VLOOKUP(A123,Q:R,2), IF(COUNTIF($W$2:W1108,A123)=0,$C$9,""))</f>
        <v/>
      </c>
      <c r="F123" s="2" t="str">
        <f t="shared" ca="1" si="14"/>
        <v/>
      </c>
      <c r="G123" s="43" t="str">
        <f t="shared" ca="1" si="15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6"/>
        <v/>
      </c>
      <c r="K123" s="43" t="str">
        <f t="shared" ca="1" si="17"/>
        <v/>
      </c>
      <c r="L123" s="43"/>
      <c r="M123" s="44" t="str">
        <f ca="1">IF(ISERROR(B123-2),"",C123+D123-F123-G123-K123+SUM($L$14:L123))</f>
        <v/>
      </c>
      <c r="U123" s="3" t="str">
        <f t="shared" si="9"/>
        <v/>
      </c>
      <c r="V123" s="3" t="str">
        <f t="shared" si="10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1"/>
        <v>45951</v>
      </c>
    </row>
    <row r="124" spans="1:30" x14ac:dyDescent="0.25">
      <c r="A124" s="39" t="str">
        <f t="shared" ca="1" si="12"/>
        <v/>
      </c>
      <c r="B124" s="40" t="str">
        <f ca="1">IF(COUNTIF($W$2:W1109,A124)=1,VLOOKUP(A124,O:P,2), IF(COUNTIF($W$2:W1109,A124)=0,$B$9,""))</f>
        <v/>
      </c>
      <c r="C124" s="2" t="str">
        <f t="shared" ca="1" si="13"/>
        <v/>
      </c>
      <c r="D124" s="43"/>
      <c r="E124" s="40" t="str">
        <f ca="1">IF(COUNTIF($W$2:W1109,A124)=1,VLOOKUP(A124,Q:R,2), IF(COUNTIF($W$2:W1109,A124)=0,$C$9,""))</f>
        <v/>
      </c>
      <c r="F124" s="2" t="str">
        <f t="shared" ca="1" si="14"/>
        <v/>
      </c>
      <c r="G124" s="43" t="str">
        <f t="shared" ca="1" si="15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6"/>
        <v/>
      </c>
      <c r="K124" s="43" t="str">
        <f t="shared" ca="1" si="17"/>
        <v/>
      </c>
      <c r="L124" s="43"/>
      <c r="M124" s="44" t="str">
        <f ca="1">IF(ISERROR(B124-2),"",C124+D124-F124-G124-K124+SUM($L$14:L124))</f>
        <v/>
      </c>
      <c r="U124" s="3" t="str">
        <f t="shared" si="9"/>
        <v/>
      </c>
      <c r="V124" s="3" t="str">
        <f t="shared" si="10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1"/>
        <v>45952</v>
      </c>
    </row>
    <row r="125" spans="1:30" x14ac:dyDescent="0.25">
      <c r="A125" s="39" t="str">
        <f t="shared" ca="1" si="12"/>
        <v/>
      </c>
      <c r="B125" s="40" t="str">
        <f ca="1">IF(COUNTIF($W$2:W1110,A125)=1,VLOOKUP(A125,O:P,2), IF(COUNTIF($W$2:W1110,A125)=0,$B$9,""))</f>
        <v/>
      </c>
      <c r="C125" s="2" t="str">
        <f t="shared" ca="1" si="13"/>
        <v/>
      </c>
      <c r="D125" s="43"/>
      <c r="E125" s="40" t="str">
        <f ca="1">IF(COUNTIF($W$2:W1110,A125)=1,VLOOKUP(A125,Q:R,2), IF(COUNTIF($W$2:W1110,A125)=0,$C$9,""))</f>
        <v/>
      </c>
      <c r="F125" s="2" t="str">
        <f t="shared" ca="1" si="14"/>
        <v/>
      </c>
      <c r="G125" s="43" t="str">
        <f t="shared" ca="1" si="15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6"/>
        <v/>
      </c>
      <c r="K125" s="43" t="str">
        <f t="shared" ca="1" si="17"/>
        <v/>
      </c>
      <c r="L125" s="43"/>
      <c r="M125" s="44" t="str">
        <f ca="1">IF(ISERROR(B125-2),"",C125+D125-F125-G125-K125+SUM($L$14:L125))</f>
        <v/>
      </c>
      <c r="U125" s="3" t="str">
        <f t="shared" si="9"/>
        <v/>
      </c>
      <c r="V125" s="3" t="str">
        <f t="shared" si="10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1"/>
        <v>45953</v>
      </c>
    </row>
    <row r="126" spans="1:30" x14ac:dyDescent="0.25">
      <c r="A126" s="39" t="str">
        <f t="shared" ca="1" si="12"/>
        <v/>
      </c>
      <c r="B126" s="40" t="str">
        <f ca="1">IF(COUNTIF($W$2:W1111,A126)=1,VLOOKUP(A126,O:P,2), IF(COUNTIF($W$2:W1111,A126)=0,$B$9,""))</f>
        <v/>
      </c>
      <c r="C126" s="2" t="str">
        <f t="shared" ca="1" si="13"/>
        <v/>
      </c>
      <c r="D126" s="43"/>
      <c r="E126" s="40" t="str">
        <f ca="1">IF(COUNTIF($W$2:W1111,A126)=1,VLOOKUP(A126,Q:R,2), IF(COUNTIF($W$2:W1111,A126)=0,$C$9,""))</f>
        <v/>
      </c>
      <c r="F126" s="2" t="str">
        <f t="shared" ca="1" si="14"/>
        <v/>
      </c>
      <c r="G126" s="43" t="str">
        <f t="shared" ca="1" si="15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6"/>
        <v/>
      </c>
      <c r="K126" s="43" t="str">
        <f t="shared" ca="1" si="17"/>
        <v/>
      </c>
      <c r="L126" s="43"/>
      <c r="M126" s="44" t="str">
        <f ca="1">IF(ISERROR(B126-2),"",C126+D126-F126-G126-K126+SUM($L$14:L126))</f>
        <v/>
      </c>
      <c r="U126" s="3" t="str">
        <f t="shared" si="9"/>
        <v/>
      </c>
      <c r="V126" s="3" t="str">
        <f t="shared" si="10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1"/>
        <v>45954</v>
      </c>
    </row>
    <row r="127" spans="1:30" x14ac:dyDescent="0.25">
      <c r="A127" s="39" t="str">
        <f t="shared" ca="1" si="12"/>
        <v/>
      </c>
      <c r="B127" s="40" t="str">
        <f ca="1">IF(COUNTIF($W$2:W1112,A127)=1,VLOOKUP(A127,O:P,2), IF(COUNTIF($W$2:W1112,A127)=0,$B$9,""))</f>
        <v/>
      </c>
      <c r="C127" s="2" t="str">
        <f t="shared" ca="1" si="13"/>
        <v/>
      </c>
      <c r="D127" s="43"/>
      <c r="E127" s="40" t="str">
        <f ca="1">IF(COUNTIF($W$2:W1112,A127)=1,VLOOKUP(A127,Q:R,2), IF(COUNTIF($W$2:W1112,A127)=0,$C$9,""))</f>
        <v/>
      </c>
      <c r="F127" s="2" t="str">
        <f t="shared" ca="1" si="14"/>
        <v/>
      </c>
      <c r="G127" s="43" t="str">
        <f t="shared" ca="1" si="15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6"/>
        <v/>
      </c>
      <c r="K127" s="43" t="str">
        <f t="shared" ca="1" si="17"/>
        <v/>
      </c>
      <c r="L127" s="43"/>
      <c r="M127" s="44" t="str">
        <f ca="1">IF(ISERROR(B127-2),"",C127+D127-F127-G127-K127+SUM($L$14:L127))</f>
        <v/>
      </c>
      <c r="U127" s="3" t="str">
        <f t="shared" si="9"/>
        <v/>
      </c>
      <c r="V127" s="3" t="str">
        <f t="shared" si="10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1"/>
        <v>45957</v>
      </c>
    </row>
    <row r="128" spans="1:30" x14ac:dyDescent="0.25">
      <c r="A128" s="39" t="str">
        <f t="shared" ca="1" si="12"/>
        <v/>
      </c>
      <c r="B128" s="40" t="str">
        <f ca="1">IF(COUNTIF($W$2:W1113,A128)=1,VLOOKUP(A128,O:P,2), IF(COUNTIF($W$2:W1113,A128)=0,$B$9,""))</f>
        <v/>
      </c>
      <c r="C128" s="2" t="str">
        <f t="shared" ca="1" si="13"/>
        <v/>
      </c>
      <c r="D128" s="43"/>
      <c r="E128" s="40" t="str">
        <f ca="1">IF(COUNTIF($W$2:W1113,A128)=1,VLOOKUP(A128,Q:R,2), IF(COUNTIF($W$2:W1113,A128)=0,$C$9,""))</f>
        <v/>
      </c>
      <c r="F128" s="2" t="str">
        <f t="shared" ca="1" si="14"/>
        <v/>
      </c>
      <c r="G128" s="43" t="str">
        <f t="shared" ca="1" si="15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6"/>
        <v/>
      </c>
      <c r="K128" s="43" t="str">
        <f t="shared" ca="1" si="17"/>
        <v/>
      </c>
      <c r="L128" s="43"/>
      <c r="M128" s="44" t="str">
        <f ca="1">IF(ISERROR(B128-2),"",C128+D128-F128-G128-K128+SUM($L$14:L128))</f>
        <v/>
      </c>
      <c r="U128" s="3" t="str">
        <f t="shared" si="9"/>
        <v/>
      </c>
      <c r="V128" s="3" t="str">
        <f t="shared" si="10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1"/>
        <v>45958</v>
      </c>
    </row>
    <row r="129" spans="1:30" x14ac:dyDescent="0.25">
      <c r="A129" s="39" t="str">
        <f t="shared" ca="1" si="12"/>
        <v/>
      </c>
      <c r="B129" s="40" t="str">
        <f ca="1">IF(COUNTIF($W$2:W1114,A129)=1,VLOOKUP(A129,O:P,2), IF(COUNTIF($W$2:W1114,A129)=0,$B$9,""))</f>
        <v/>
      </c>
      <c r="C129" s="2" t="str">
        <f t="shared" ca="1" si="13"/>
        <v/>
      </c>
      <c r="D129" s="43"/>
      <c r="E129" s="40" t="str">
        <f ca="1">IF(COUNTIF($W$2:W1114,A129)=1,VLOOKUP(A129,Q:R,2), IF(COUNTIF($W$2:W1114,A129)=0,$C$9,""))</f>
        <v/>
      </c>
      <c r="F129" s="2" t="str">
        <f t="shared" ca="1" si="14"/>
        <v/>
      </c>
      <c r="G129" s="43" t="str">
        <f t="shared" ca="1" si="15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6"/>
        <v/>
      </c>
      <c r="K129" s="43" t="str">
        <f t="shared" ca="1" si="17"/>
        <v/>
      </c>
      <c r="L129" s="43"/>
      <c r="M129" s="44" t="str">
        <f ca="1">IF(ISERROR(B129-2),"",C129+D129-F129-G129-K129+SUM($L$14:L129))</f>
        <v/>
      </c>
      <c r="U129" s="3" t="str">
        <f t="shared" si="9"/>
        <v/>
      </c>
      <c r="V129" s="3" t="str">
        <f t="shared" si="10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1"/>
        <v>45959</v>
      </c>
    </row>
    <row r="130" spans="1:30" x14ac:dyDescent="0.25">
      <c r="A130" s="39" t="str">
        <f t="shared" ca="1" si="12"/>
        <v/>
      </c>
      <c r="B130" s="40" t="str">
        <f ca="1">IF(COUNTIF($W$2:W1115,A130)=1,VLOOKUP(A130,O:P,2), IF(COUNTIF($W$2:W1115,A130)=0,$B$9,""))</f>
        <v/>
      </c>
      <c r="C130" s="2" t="str">
        <f t="shared" ca="1" si="13"/>
        <v/>
      </c>
      <c r="D130" s="43"/>
      <c r="E130" s="40" t="str">
        <f ca="1">IF(COUNTIF($W$2:W1115,A130)=1,VLOOKUP(A130,Q:R,2), IF(COUNTIF($W$2:W1115,A130)=0,$C$9,""))</f>
        <v/>
      </c>
      <c r="F130" s="2" t="str">
        <f t="shared" ca="1" si="14"/>
        <v/>
      </c>
      <c r="G130" s="43" t="str">
        <f t="shared" ca="1" si="15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6"/>
        <v/>
      </c>
      <c r="K130" s="43" t="str">
        <f t="shared" ca="1" si="17"/>
        <v/>
      </c>
      <c r="L130" s="43"/>
      <c r="M130" s="44" t="str">
        <f ca="1">IF(ISERROR(B130-2),"",C130+D130-F130-G130-K130+SUM($L$14:L130))</f>
        <v/>
      </c>
      <c r="U130" s="3" t="str">
        <f t="shared" si="9"/>
        <v/>
      </c>
      <c r="V130" s="3" t="str">
        <f t="shared" si="10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1"/>
        <v>45960</v>
      </c>
    </row>
    <row r="131" spans="1:30" x14ac:dyDescent="0.25">
      <c r="A131" s="39" t="str">
        <f t="shared" ca="1" si="12"/>
        <v/>
      </c>
      <c r="B131" s="40" t="str">
        <f ca="1">IF(COUNTIF($W$2:W1116,A131)=1,VLOOKUP(A131,O:P,2), IF(COUNTIF($W$2:W1116,A131)=0,$B$9,""))</f>
        <v/>
      </c>
      <c r="C131" s="2" t="str">
        <f t="shared" ca="1" si="13"/>
        <v/>
      </c>
      <c r="D131" s="43"/>
      <c r="E131" s="40" t="str">
        <f ca="1">IF(COUNTIF($W$2:W1116,A131)=1,VLOOKUP(A131,Q:R,2), IF(COUNTIF($W$2:W1116,A131)=0,$C$9,""))</f>
        <v/>
      </c>
      <c r="F131" s="2" t="str">
        <f t="shared" ca="1" si="14"/>
        <v/>
      </c>
      <c r="G131" s="43" t="str">
        <f t="shared" ca="1" si="15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6"/>
        <v/>
      </c>
      <c r="K131" s="43" t="str">
        <f t="shared" ca="1" si="17"/>
        <v/>
      </c>
      <c r="L131" s="43"/>
      <c r="M131" s="44" t="str">
        <f ca="1">IF(ISERROR(B131-2),"",C131+D131-F131-G131-K131+SUM($L$14:L131))</f>
        <v/>
      </c>
      <c r="U131" s="3" t="str">
        <f t="shared" si="9"/>
        <v/>
      </c>
      <c r="V131" s="3" t="str">
        <f t="shared" si="10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1"/>
        <v>45961</v>
      </c>
    </row>
    <row r="132" spans="1:30" x14ac:dyDescent="0.25">
      <c r="A132" s="39" t="str">
        <f t="shared" ca="1" si="12"/>
        <v/>
      </c>
      <c r="B132" s="40" t="str">
        <f ca="1">IF(COUNTIF($W$2:W1117,A132)=1,VLOOKUP(A132,O:P,2), IF(COUNTIF($W$2:W1117,A132)=0,$B$9,""))</f>
        <v/>
      </c>
      <c r="C132" s="2" t="str">
        <f t="shared" ca="1" si="13"/>
        <v/>
      </c>
      <c r="D132" s="43"/>
      <c r="E132" s="40" t="str">
        <f ca="1">IF(COUNTIF($W$2:W1117,A132)=1,VLOOKUP(A132,Q:R,2), IF(COUNTIF($W$2:W1117,A132)=0,$C$9,""))</f>
        <v/>
      </c>
      <c r="F132" s="2" t="str">
        <f t="shared" ca="1" si="14"/>
        <v/>
      </c>
      <c r="G132" s="43" t="str">
        <f t="shared" ca="1" si="15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6"/>
        <v/>
      </c>
      <c r="K132" s="43" t="str">
        <f t="shared" ca="1" si="17"/>
        <v/>
      </c>
      <c r="L132" s="43"/>
      <c r="M132" s="44" t="str">
        <f ca="1">IF(ISERROR(B132-2),"",C132+D132-F132-G132-K132+SUM($L$14:L132))</f>
        <v/>
      </c>
      <c r="U132" s="3" t="str">
        <f t="shared" ref="U132:U195" si="18">IF(COUNTIF(Q:Q,O132)*COUNTIF(S:S,O132),O132,"")</f>
        <v/>
      </c>
      <c r="V132" s="3" t="str">
        <f t="shared" ref="V132:V195" si="19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0">IF(COUNTIF(AB:AB,Z132),Z132,"")</f>
        <v>45964</v>
      </c>
    </row>
    <row r="133" spans="1:30" x14ac:dyDescent="0.25">
      <c r="A133" s="39" t="str">
        <f t="shared" ca="1" si="12"/>
        <v/>
      </c>
      <c r="B133" s="40" t="str">
        <f ca="1">IF(COUNTIF($W$2:W1118,A133)=1,VLOOKUP(A133,O:P,2), IF(COUNTIF($W$2:W1118,A133)=0,$B$9,""))</f>
        <v/>
      </c>
      <c r="C133" s="2" t="str">
        <f t="shared" ca="1" si="13"/>
        <v/>
      </c>
      <c r="D133" s="43"/>
      <c r="E133" s="40" t="str">
        <f ca="1">IF(COUNTIF($W$2:W1118,A133)=1,VLOOKUP(A133,Q:R,2), IF(COUNTIF($W$2:W1118,A133)=0,$C$9,""))</f>
        <v/>
      </c>
      <c r="F133" s="2" t="str">
        <f t="shared" ca="1" si="14"/>
        <v/>
      </c>
      <c r="G133" s="43" t="str">
        <f t="shared" ca="1" si="15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6"/>
        <v/>
      </c>
      <c r="K133" s="43" t="str">
        <f t="shared" ca="1" si="17"/>
        <v/>
      </c>
      <c r="L133" s="43"/>
      <c r="M133" s="44" t="str">
        <f ca="1">IF(ISERROR(B133-2),"",C133+D133-F133-G133-K133+SUM($L$14:L133))</f>
        <v/>
      </c>
      <c r="U133" s="3" t="str">
        <f t="shared" si="18"/>
        <v/>
      </c>
      <c r="V133" s="3" t="str">
        <f t="shared" si="19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0"/>
        <v>45965</v>
      </c>
    </row>
    <row r="134" spans="1:30" x14ac:dyDescent="0.25">
      <c r="A134" s="39" t="str">
        <f t="shared" ca="1" si="12"/>
        <v/>
      </c>
      <c r="B134" s="40" t="str">
        <f ca="1">IF(COUNTIF($W$2:W1119,A134)=1,VLOOKUP(A134,O:P,2), IF(COUNTIF($W$2:W1119,A134)=0,$B$9,""))</f>
        <v/>
      </c>
      <c r="C134" s="2" t="str">
        <f t="shared" ca="1" si="13"/>
        <v/>
      </c>
      <c r="D134" s="43"/>
      <c r="E134" s="40" t="str">
        <f ca="1">IF(COUNTIF($W$2:W1119,A134)=1,VLOOKUP(A134,Q:R,2), IF(COUNTIF($W$2:W1119,A134)=0,$C$9,""))</f>
        <v/>
      </c>
      <c r="F134" s="2" t="str">
        <f t="shared" ca="1" si="14"/>
        <v/>
      </c>
      <c r="G134" s="43" t="str">
        <f t="shared" ca="1" si="15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6"/>
        <v/>
      </c>
      <c r="K134" s="43" t="str">
        <f t="shared" ca="1" si="17"/>
        <v/>
      </c>
      <c r="L134" s="43"/>
      <c r="M134" s="44" t="str">
        <f ca="1">IF(ISERROR(B134-2),"",C134+D134-F134-G134-K134+SUM($L$14:L134))</f>
        <v/>
      </c>
      <c r="U134" s="3" t="str">
        <f t="shared" si="18"/>
        <v/>
      </c>
      <c r="V134" s="3" t="str">
        <f t="shared" si="19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0"/>
        <v>45966</v>
      </c>
    </row>
    <row r="135" spans="1:30" x14ac:dyDescent="0.25">
      <c r="A135" s="39" t="str">
        <f t="shared" ca="1" si="12"/>
        <v/>
      </c>
      <c r="B135" s="40" t="str">
        <f ca="1">IF(COUNTIF($W$2:W1120,A135)=1,VLOOKUP(A135,O:P,2), IF(COUNTIF($W$2:W1120,A135)=0,$B$9,""))</f>
        <v/>
      </c>
      <c r="C135" s="2" t="str">
        <f t="shared" ca="1" si="13"/>
        <v/>
      </c>
      <c r="D135" s="43"/>
      <c r="E135" s="40" t="str">
        <f ca="1">IF(COUNTIF($W$2:W1120,A135)=1,VLOOKUP(A135,Q:R,2), IF(COUNTIF($W$2:W1120,A135)=0,$C$9,""))</f>
        <v/>
      </c>
      <c r="F135" s="2" t="str">
        <f t="shared" ca="1" si="14"/>
        <v/>
      </c>
      <c r="G135" s="43" t="str">
        <f t="shared" ca="1" si="15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6"/>
        <v/>
      </c>
      <c r="K135" s="43" t="str">
        <f t="shared" ca="1" si="17"/>
        <v/>
      </c>
      <c r="L135" s="43"/>
      <c r="M135" s="44" t="str">
        <f ca="1">IF(ISERROR(B135-2),"",C135+D135-F135-G135-K135+SUM($L$14:L135))</f>
        <v/>
      </c>
      <c r="U135" s="3" t="str">
        <f t="shared" si="18"/>
        <v/>
      </c>
      <c r="V135" s="3" t="str">
        <f t="shared" si="19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0"/>
        <v>45967</v>
      </c>
    </row>
    <row r="136" spans="1:30" x14ac:dyDescent="0.25">
      <c r="A136" s="39" t="str">
        <f t="shared" ca="1" si="12"/>
        <v/>
      </c>
      <c r="B136" s="40" t="str">
        <f ca="1">IF(COUNTIF($W$2:W1121,A136)=1,VLOOKUP(A136,O:P,2), IF(COUNTIF($W$2:W1121,A136)=0,$B$9,""))</f>
        <v/>
      </c>
      <c r="C136" s="2" t="str">
        <f t="shared" ca="1" si="13"/>
        <v/>
      </c>
      <c r="D136" s="43"/>
      <c r="E136" s="40" t="str">
        <f ca="1">IF(COUNTIF($W$2:W1121,A136)=1,VLOOKUP(A136,Q:R,2), IF(COUNTIF($W$2:W1121,A136)=0,$C$9,""))</f>
        <v/>
      </c>
      <c r="F136" s="2" t="str">
        <f t="shared" ca="1" si="14"/>
        <v/>
      </c>
      <c r="G136" s="43" t="str">
        <f t="shared" ca="1" si="15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6"/>
        <v/>
      </c>
      <c r="K136" s="43" t="str">
        <f t="shared" ca="1" si="17"/>
        <v/>
      </c>
      <c r="L136" s="43"/>
      <c r="M136" s="44" t="str">
        <f ca="1">IF(ISERROR(B136-2),"",C136+D136-F136-G136-K136+SUM($L$14:L136))</f>
        <v/>
      </c>
      <c r="U136" s="3" t="str">
        <f t="shared" si="18"/>
        <v/>
      </c>
      <c r="V136" s="3" t="str">
        <f t="shared" si="19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0"/>
        <v>45968</v>
      </c>
    </row>
    <row r="137" spans="1:30" x14ac:dyDescent="0.25">
      <c r="A137" s="39" t="str">
        <f t="shared" ca="1" si="12"/>
        <v/>
      </c>
      <c r="B137" s="40" t="str">
        <f ca="1">IF(COUNTIF($W$2:W1122,A137)=1,VLOOKUP(A137,O:P,2), IF(COUNTIF($W$2:W1122,A137)=0,$B$9,""))</f>
        <v/>
      </c>
      <c r="C137" s="2" t="str">
        <f t="shared" ca="1" si="13"/>
        <v/>
      </c>
      <c r="D137" s="43"/>
      <c r="E137" s="40" t="str">
        <f ca="1">IF(COUNTIF($W$2:W1122,A137)=1,VLOOKUP(A137,Q:R,2), IF(COUNTIF($W$2:W1122,A137)=0,$C$9,""))</f>
        <v/>
      </c>
      <c r="F137" s="2" t="str">
        <f t="shared" ca="1" si="14"/>
        <v/>
      </c>
      <c r="G137" s="43" t="str">
        <f t="shared" ca="1" si="15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6"/>
        <v/>
      </c>
      <c r="K137" s="43" t="str">
        <f t="shared" ca="1" si="17"/>
        <v/>
      </c>
      <c r="L137" s="43"/>
      <c r="M137" s="44" t="str">
        <f ca="1">IF(ISERROR(B137-2),"",C137+D137-F137-G137-K137+SUM($L$14:L137))</f>
        <v/>
      </c>
      <c r="U137" s="3" t="str">
        <f t="shared" si="18"/>
        <v/>
      </c>
      <c r="V137" s="3" t="str">
        <f t="shared" si="19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0"/>
        <v>45971</v>
      </c>
    </row>
    <row r="138" spans="1:30" x14ac:dyDescent="0.25">
      <c r="A138" s="39" t="str">
        <f t="shared" ca="1" si="12"/>
        <v/>
      </c>
      <c r="B138" s="40" t="str">
        <f ca="1">IF(COUNTIF($W$2:W1123,A138)=1,VLOOKUP(A138,O:P,2), IF(COUNTIF($W$2:W1123,A138)=0,$B$9,""))</f>
        <v/>
      </c>
      <c r="C138" s="2" t="str">
        <f t="shared" ca="1" si="13"/>
        <v/>
      </c>
      <c r="D138" s="43"/>
      <c r="E138" s="40" t="str">
        <f ca="1">IF(COUNTIF($W$2:W1123,A138)=1,VLOOKUP(A138,Q:R,2), IF(COUNTIF($W$2:W1123,A138)=0,$C$9,""))</f>
        <v/>
      </c>
      <c r="F138" s="2" t="str">
        <f t="shared" ca="1" si="14"/>
        <v/>
      </c>
      <c r="G138" s="43" t="str">
        <f t="shared" ca="1" si="15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6"/>
        <v/>
      </c>
      <c r="K138" s="43" t="str">
        <f t="shared" ca="1" si="17"/>
        <v/>
      </c>
      <c r="L138" s="43"/>
      <c r="M138" s="44" t="str">
        <f ca="1">IF(ISERROR(B138-2),"",C138+D138-F138-G138-K138+SUM($L$14:L138))</f>
        <v/>
      </c>
      <c r="U138" s="3" t="str">
        <f t="shared" si="18"/>
        <v/>
      </c>
      <c r="V138" s="3" t="str">
        <f t="shared" si="19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0"/>
        <v>45972</v>
      </c>
    </row>
    <row r="139" spans="1:30" x14ac:dyDescent="0.25">
      <c r="A139" s="39" t="str">
        <f t="shared" ca="1" si="12"/>
        <v/>
      </c>
      <c r="B139" s="40" t="str">
        <f ca="1">IF(COUNTIF($W$2:W1124,A139)=1,VLOOKUP(A139,O:P,2), IF(COUNTIF($W$2:W1124,A139)=0,$B$9,""))</f>
        <v/>
      </c>
      <c r="C139" s="2" t="str">
        <f t="shared" ca="1" si="13"/>
        <v/>
      </c>
      <c r="D139" s="43"/>
      <c r="E139" s="40" t="str">
        <f ca="1">IF(COUNTIF($W$2:W1124,A139)=1,VLOOKUP(A139,Q:R,2), IF(COUNTIF($W$2:W1124,A139)=0,$C$9,""))</f>
        <v/>
      </c>
      <c r="F139" s="2" t="str">
        <f t="shared" ca="1" si="14"/>
        <v/>
      </c>
      <c r="G139" s="43" t="str">
        <f t="shared" ca="1" si="15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6"/>
        <v/>
      </c>
      <c r="K139" s="43" t="str">
        <f t="shared" ca="1" si="17"/>
        <v/>
      </c>
      <c r="L139" s="43"/>
      <c r="M139" s="44" t="str">
        <f ca="1">IF(ISERROR(B139-2),"",C139+D139-F139-G139-K139+SUM($L$14:L139))</f>
        <v/>
      </c>
      <c r="U139" s="3" t="str">
        <f t="shared" si="18"/>
        <v/>
      </c>
      <c r="V139" s="3" t="str">
        <f t="shared" si="19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0"/>
        <v>45973</v>
      </c>
    </row>
    <row r="140" spans="1:30" x14ac:dyDescent="0.25">
      <c r="A140" s="39" t="str">
        <f t="shared" ca="1" si="12"/>
        <v/>
      </c>
      <c r="B140" s="40" t="str">
        <f ca="1">IF(COUNTIF($W$2:W1125,A140)=1,VLOOKUP(A140,O:P,2), IF(COUNTIF($W$2:W1125,A140)=0,$B$9,""))</f>
        <v/>
      </c>
      <c r="C140" s="2" t="str">
        <f t="shared" ca="1" si="13"/>
        <v/>
      </c>
      <c r="D140" s="43"/>
      <c r="E140" s="40" t="str">
        <f ca="1">IF(COUNTIF($W$2:W1125,A140)=1,VLOOKUP(A140,Q:R,2), IF(COUNTIF($W$2:W1125,A140)=0,$C$9,""))</f>
        <v/>
      </c>
      <c r="F140" s="2" t="str">
        <f t="shared" ca="1" si="14"/>
        <v/>
      </c>
      <c r="G140" s="43" t="str">
        <f t="shared" ca="1" si="15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6"/>
        <v/>
      </c>
      <c r="K140" s="43" t="str">
        <f t="shared" ca="1" si="17"/>
        <v/>
      </c>
      <c r="L140" s="43"/>
      <c r="M140" s="44" t="str">
        <f ca="1">IF(ISERROR(B140-2),"",C140+D140-F140-G140-K140+SUM($L$14:L140))</f>
        <v/>
      </c>
      <c r="U140" s="3" t="str">
        <f t="shared" si="18"/>
        <v/>
      </c>
      <c r="V140" s="3" t="str">
        <f t="shared" si="19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0"/>
        <v>45974</v>
      </c>
    </row>
    <row r="141" spans="1:30" x14ac:dyDescent="0.25">
      <c r="A141" s="39" t="str">
        <f t="shared" ca="1" si="12"/>
        <v/>
      </c>
      <c r="B141" s="40" t="str">
        <f ca="1">IF(COUNTIF($W$2:W1126,A141)=1,VLOOKUP(A141,O:P,2), IF(COUNTIF($W$2:W1126,A141)=0,$B$9,""))</f>
        <v/>
      </c>
      <c r="C141" s="2" t="str">
        <f t="shared" ca="1" si="13"/>
        <v/>
      </c>
      <c r="D141" s="43"/>
      <c r="E141" s="40" t="str">
        <f ca="1">IF(COUNTIF($W$2:W1126,A141)=1,VLOOKUP(A141,Q:R,2), IF(COUNTIF($W$2:W1126,A141)=0,$C$9,""))</f>
        <v/>
      </c>
      <c r="F141" s="2" t="str">
        <f t="shared" ca="1" si="14"/>
        <v/>
      </c>
      <c r="G141" s="43" t="str">
        <f t="shared" ca="1" si="15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6"/>
        <v/>
      </c>
      <c r="K141" s="43" t="str">
        <f t="shared" ca="1" si="17"/>
        <v/>
      </c>
      <c r="L141" s="43"/>
      <c r="M141" s="44" t="str">
        <f ca="1">IF(ISERROR(B141-2),"",C141+D141-F141-G141-K141+SUM($L$14:L141))</f>
        <v/>
      </c>
      <c r="U141" s="3" t="str">
        <f t="shared" si="18"/>
        <v/>
      </c>
      <c r="V141" s="3" t="str">
        <f t="shared" si="19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0"/>
        <v>45975</v>
      </c>
    </row>
    <row r="142" spans="1:30" x14ac:dyDescent="0.25">
      <c r="A142" s="39" t="str">
        <f t="shared" ca="1" si="12"/>
        <v/>
      </c>
      <c r="B142" s="40" t="str">
        <f ca="1">IF(COUNTIF($W$2:W1127,A142)=1,VLOOKUP(A142,O:P,2), IF(COUNTIF($W$2:W1127,A142)=0,$B$9,""))</f>
        <v/>
      </c>
      <c r="C142" s="2" t="str">
        <f t="shared" ca="1" si="13"/>
        <v/>
      </c>
      <c r="D142" s="43"/>
      <c r="E142" s="40" t="str">
        <f ca="1">IF(COUNTIF($W$2:W1127,A142)=1,VLOOKUP(A142,Q:R,2), IF(COUNTIF($W$2:W1127,A142)=0,$C$9,""))</f>
        <v/>
      </c>
      <c r="F142" s="2" t="str">
        <f t="shared" ca="1" si="14"/>
        <v/>
      </c>
      <c r="G142" s="43" t="str">
        <f t="shared" ca="1" si="15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6"/>
        <v/>
      </c>
      <c r="K142" s="43" t="str">
        <f t="shared" ca="1" si="17"/>
        <v/>
      </c>
      <c r="L142" s="43"/>
      <c r="M142" s="44" t="str">
        <f ca="1">IF(ISERROR(B142-2),"",C142+D142-F142-G142-K142+SUM($L$14:L142))</f>
        <v/>
      </c>
      <c r="U142" s="3" t="str">
        <f t="shared" si="18"/>
        <v/>
      </c>
      <c r="V142" s="3" t="str">
        <f t="shared" si="19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0"/>
        <v>45978</v>
      </c>
    </row>
    <row r="143" spans="1:30" x14ac:dyDescent="0.25">
      <c r="A143" s="39" t="str">
        <f t="shared" ref="A143:A167" ca="1" si="21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3"/>
        <v/>
      </c>
      <c r="D143" s="43"/>
      <c r="E143" s="40" t="str">
        <f ca="1">IF(COUNTIF($W$2:W1128,A143)=1,VLOOKUP(A143,Q:R,2), IF(COUNTIF($W$2:W1128,A143)=0,$C$9,""))</f>
        <v/>
      </c>
      <c r="F143" s="2" t="str">
        <f t="shared" ca="1" si="14"/>
        <v/>
      </c>
      <c r="G143" s="43" t="str">
        <f t="shared" ca="1" si="15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6"/>
        <v/>
      </c>
      <c r="K143" s="43" t="str">
        <f t="shared" ca="1" si="17"/>
        <v/>
      </c>
      <c r="L143" s="43"/>
      <c r="M143" s="44" t="str">
        <f ca="1">IF(ISERROR(B143-2),"",C143+D143-F143-G143-K143+SUM($L$14:L143))</f>
        <v/>
      </c>
      <c r="U143" s="3" t="str">
        <f t="shared" si="18"/>
        <v/>
      </c>
      <c r="V143" s="3" t="str">
        <f t="shared" si="19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0"/>
        <v>45979</v>
      </c>
    </row>
    <row r="144" spans="1:30" x14ac:dyDescent="0.25">
      <c r="A144" s="39" t="str">
        <f t="shared" ca="1" si="21"/>
        <v/>
      </c>
      <c r="B144" s="40" t="str">
        <f ca="1">IF(COUNTIF($W$2:W1129,A144)=1,VLOOKUP(A144,O:P,2), IF(COUNTIF($W$2:W1129,A144)=0,$B$9,""))</f>
        <v/>
      </c>
      <c r="C144" s="2" t="str">
        <f t="shared" ref="C144:C167" ca="1" si="22">IF(ISERROR(B144-2),"",(B144-$B$14)*$G$3*$I$3)</f>
        <v/>
      </c>
      <c r="D144" s="43"/>
      <c r="E144" s="40" t="str">
        <f ca="1">IF(COUNTIF($W$2:W1129,A144)=1,VLOOKUP(A144,Q:R,2), IF(COUNTIF($W$2:W1129,A144)=0,$C$9,""))</f>
        <v/>
      </c>
      <c r="F144" s="2" t="str">
        <f t="shared" ref="F144:F167" ca="1" si="23">IF(ISERROR(B144-2),"",(E144-$E$14)/100*$C$5)</f>
        <v/>
      </c>
      <c r="G144" s="43" t="str">
        <f t="shared" ref="G144:G167" ca="1" si="24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167" ca="1" si="25">IF(ISERROR(H144-2),"",I144)</f>
        <v/>
      </c>
      <c r="K144" s="43" t="str">
        <f t="shared" ref="K144:K167" ca="1" si="26">IF(ISERROR(H144-2),"",(J144/$J$14-1)*$D$5)</f>
        <v/>
      </c>
      <c r="L144" s="43"/>
      <c r="M144" s="44" t="str">
        <f ca="1">IF(ISERROR(B144-2),"",C144+D144-F144-G144-K144+SUM($L$14:L144))</f>
        <v/>
      </c>
      <c r="U144" s="3" t="str">
        <f t="shared" si="18"/>
        <v/>
      </c>
      <c r="V144" s="3" t="str">
        <f t="shared" si="19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0"/>
        <v>45980</v>
      </c>
    </row>
    <row r="145" spans="1:30" x14ac:dyDescent="0.25">
      <c r="A145" s="39" t="str">
        <f t="shared" ca="1" si="21"/>
        <v/>
      </c>
      <c r="B145" s="40" t="str">
        <f ca="1">IF(COUNTIF($W$2:W1130,A145)=1,VLOOKUP(A145,O:P,2), IF(COUNTIF($W$2:W1130,A145)=0,$B$9,""))</f>
        <v/>
      </c>
      <c r="C145" s="2" t="str">
        <f t="shared" ca="1" si="22"/>
        <v/>
      </c>
      <c r="D145" s="43"/>
      <c r="E145" s="40" t="str">
        <f ca="1">IF(COUNTIF($W$2:W1130,A145)=1,VLOOKUP(A145,Q:R,2), IF(COUNTIF($W$2:W1130,A145)=0,$C$9,""))</f>
        <v/>
      </c>
      <c r="F145" s="2" t="str">
        <f t="shared" ca="1" si="23"/>
        <v/>
      </c>
      <c r="G145" s="43" t="str">
        <f t="shared" ca="1" si="24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5"/>
        <v/>
      </c>
      <c r="K145" s="43" t="str">
        <f t="shared" ca="1" si="26"/>
        <v/>
      </c>
      <c r="L145" s="43"/>
      <c r="M145" s="44" t="str">
        <f ca="1">IF(ISERROR(B145-2),"",C145+D145-F145-G145-K145+SUM($L$14:L145))</f>
        <v/>
      </c>
      <c r="U145" s="3" t="str">
        <f t="shared" si="18"/>
        <v/>
      </c>
      <c r="V145" s="3" t="str">
        <f t="shared" si="19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0"/>
        <v>45981</v>
      </c>
    </row>
    <row r="146" spans="1:30" x14ac:dyDescent="0.25">
      <c r="A146" s="39" t="str">
        <f t="shared" ca="1" si="21"/>
        <v/>
      </c>
      <c r="B146" s="40" t="str">
        <f ca="1">IF(COUNTIF($W$2:W1131,A146)=1,VLOOKUP(A146,O:P,2), IF(COUNTIF($W$2:W1131,A146)=0,$B$9,""))</f>
        <v/>
      </c>
      <c r="C146" s="2" t="str">
        <f t="shared" ca="1" si="22"/>
        <v/>
      </c>
      <c r="D146" s="43"/>
      <c r="E146" s="40" t="str">
        <f ca="1">IF(COUNTIF($W$2:W1131,A146)=1,VLOOKUP(A146,Q:R,2), IF(COUNTIF($W$2:W1131,A146)=0,$C$9,""))</f>
        <v/>
      </c>
      <c r="F146" s="2" t="str">
        <f t="shared" ca="1" si="23"/>
        <v/>
      </c>
      <c r="G146" s="43" t="str">
        <f t="shared" ca="1" si="24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5"/>
        <v/>
      </c>
      <c r="K146" s="43" t="str">
        <f t="shared" ca="1" si="26"/>
        <v/>
      </c>
      <c r="L146" s="43"/>
      <c r="M146" s="44" t="str">
        <f ca="1">IF(ISERROR(B146-2),"",C146+D146-F146-G146-K146+SUM($L$14:L146))</f>
        <v/>
      </c>
      <c r="U146" s="3" t="str">
        <f t="shared" si="18"/>
        <v/>
      </c>
      <c r="V146" s="3" t="str">
        <f t="shared" si="19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0"/>
        <v>45982</v>
      </c>
    </row>
    <row r="147" spans="1:30" x14ac:dyDescent="0.25">
      <c r="A147" s="39" t="str">
        <f t="shared" ca="1" si="21"/>
        <v/>
      </c>
      <c r="B147" s="40" t="str">
        <f ca="1">IF(COUNTIF($W$2:W1132,A147)=1,VLOOKUP(A147,O:P,2), IF(COUNTIF($W$2:W1132,A147)=0,$B$9,""))</f>
        <v/>
      </c>
      <c r="C147" s="2" t="str">
        <f t="shared" ca="1" si="22"/>
        <v/>
      </c>
      <c r="D147" s="43"/>
      <c r="E147" s="40" t="str">
        <f ca="1">IF(COUNTIF($W$2:W1132,A147)=1,VLOOKUP(A147,Q:R,2), IF(COUNTIF($W$2:W1132,A147)=0,$C$9,""))</f>
        <v/>
      </c>
      <c r="F147" s="2" t="str">
        <f t="shared" ca="1" si="23"/>
        <v/>
      </c>
      <c r="G147" s="43" t="str">
        <f t="shared" ca="1" si="24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5"/>
        <v/>
      </c>
      <c r="K147" s="43" t="str">
        <f t="shared" ca="1" si="26"/>
        <v/>
      </c>
      <c r="L147" s="43"/>
      <c r="M147" s="44" t="str">
        <f ca="1">IF(ISERROR(B147-2),"",C147+D147-F147-G147-K147+SUM($L$14:L147))</f>
        <v/>
      </c>
      <c r="U147" s="3" t="str">
        <f t="shared" si="18"/>
        <v/>
      </c>
      <c r="V147" s="3" t="str">
        <f t="shared" si="19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0"/>
        <v>45985</v>
      </c>
    </row>
    <row r="148" spans="1:30" x14ac:dyDescent="0.25">
      <c r="A148" s="39" t="str">
        <f t="shared" ca="1" si="21"/>
        <v/>
      </c>
      <c r="B148" s="40" t="str">
        <f ca="1">IF(COUNTIF($W$2:W1133,A148)=1,VLOOKUP(A148,O:P,2), IF(COUNTIF($W$2:W1133,A148)=0,$B$9,""))</f>
        <v/>
      </c>
      <c r="C148" s="2" t="str">
        <f t="shared" ca="1" si="22"/>
        <v/>
      </c>
      <c r="D148" s="43"/>
      <c r="E148" s="40" t="str">
        <f ca="1">IF(COUNTIF($W$2:W1133,A148)=1,VLOOKUP(A148,Q:R,2), IF(COUNTIF($W$2:W1133,A148)=0,$C$9,""))</f>
        <v/>
      </c>
      <c r="F148" s="2" t="str">
        <f t="shared" ca="1" si="23"/>
        <v/>
      </c>
      <c r="G148" s="43" t="str">
        <f t="shared" ca="1" si="24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5"/>
        <v/>
      </c>
      <c r="K148" s="43" t="str">
        <f t="shared" ca="1" si="26"/>
        <v/>
      </c>
      <c r="L148" s="43"/>
      <c r="M148" s="44" t="str">
        <f ca="1">IF(ISERROR(B148-2),"",C148+D148-F148-G148-K148+SUM($L$14:L148))</f>
        <v/>
      </c>
      <c r="U148" s="3" t="str">
        <f t="shared" si="18"/>
        <v/>
      </c>
      <c r="V148" s="3" t="str">
        <f t="shared" si="19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0"/>
        <v>45986</v>
      </c>
    </row>
    <row r="149" spans="1:30" x14ac:dyDescent="0.25">
      <c r="A149" s="39" t="str">
        <f t="shared" ca="1" si="21"/>
        <v/>
      </c>
      <c r="B149" s="40" t="str">
        <f ca="1">IF(COUNTIF($W$2:W1134,A149)=1,VLOOKUP(A149,O:P,2), IF(COUNTIF($W$2:W1134,A149)=0,$B$9,""))</f>
        <v/>
      </c>
      <c r="C149" s="2" t="str">
        <f t="shared" ca="1" si="22"/>
        <v/>
      </c>
      <c r="D149" s="43"/>
      <c r="E149" s="40" t="str">
        <f ca="1">IF(COUNTIF($W$2:W1134,A149)=1,VLOOKUP(A149,Q:R,2), IF(COUNTIF($W$2:W1134,A149)=0,$C$9,""))</f>
        <v/>
      </c>
      <c r="F149" s="2" t="str">
        <f t="shared" ca="1" si="23"/>
        <v/>
      </c>
      <c r="G149" s="43" t="str">
        <f t="shared" ca="1" si="24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5"/>
        <v/>
      </c>
      <c r="K149" s="43" t="str">
        <f t="shared" ca="1" si="26"/>
        <v/>
      </c>
      <c r="L149" s="43"/>
      <c r="M149" s="44" t="str">
        <f ca="1">IF(ISERROR(B149-2),"",C149+D149-F149-G149-K149+SUM($L$14:L149))</f>
        <v/>
      </c>
      <c r="U149" s="3" t="str">
        <f t="shared" si="18"/>
        <v/>
      </c>
      <c r="V149" s="3" t="str">
        <f t="shared" si="19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0"/>
        <v>45987</v>
      </c>
    </row>
    <row r="150" spans="1:30" x14ac:dyDescent="0.25">
      <c r="A150" s="39" t="str">
        <f t="shared" ca="1" si="21"/>
        <v/>
      </c>
      <c r="B150" s="40" t="str">
        <f ca="1">IF(COUNTIF($W$2:W1135,A150)=1,VLOOKUP(A150,O:P,2), IF(COUNTIF($W$2:W1135,A150)=0,$B$9,""))</f>
        <v/>
      </c>
      <c r="C150" s="2" t="str">
        <f t="shared" ca="1" si="22"/>
        <v/>
      </c>
      <c r="D150" s="43"/>
      <c r="E150" s="40" t="str">
        <f ca="1">IF(COUNTIF($W$2:W1135,A150)=1,VLOOKUP(A150,Q:R,2), IF(COUNTIF($W$2:W1135,A150)=0,$C$9,""))</f>
        <v/>
      </c>
      <c r="F150" s="2" t="str">
        <f t="shared" ca="1" si="23"/>
        <v/>
      </c>
      <c r="G150" s="43" t="str">
        <f t="shared" ca="1" si="24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5"/>
        <v/>
      </c>
      <c r="K150" s="43" t="str">
        <f t="shared" ca="1" si="26"/>
        <v/>
      </c>
      <c r="L150" s="43"/>
      <c r="M150" s="44" t="str">
        <f ca="1">IF(ISERROR(B150-2),"",C150+D150-F150-G150-K150+SUM($L$14:L150))</f>
        <v/>
      </c>
      <c r="U150" s="3" t="str">
        <f t="shared" si="18"/>
        <v/>
      </c>
      <c r="V150" s="3" t="str">
        <f t="shared" si="19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0"/>
        <v>45988</v>
      </c>
    </row>
    <row r="151" spans="1:30" x14ac:dyDescent="0.25">
      <c r="A151" s="39" t="str">
        <f t="shared" ca="1" si="21"/>
        <v/>
      </c>
      <c r="B151" s="40" t="str">
        <f ca="1">IF(COUNTIF($W$2:W1136,A151)=1,VLOOKUP(A151,O:P,2), IF(COUNTIF($W$2:W1136,A151)=0,$B$9,""))</f>
        <v/>
      </c>
      <c r="C151" s="2" t="str">
        <f t="shared" ca="1" si="22"/>
        <v/>
      </c>
      <c r="D151" s="43"/>
      <c r="E151" s="40" t="str">
        <f ca="1">IF(COUNTIF($W$2:W1136,A151)=1,VLOOKUP(A151,Q:R,2), IF(COUNTIF($W$2:W1136,A151)=0,$C$9,""))</f>
        <v/>
      </c>
      <c r="F151" s="2" t="str">
        <f t="shared" ca="1" si="23"/>
        <v/>
      </c>
      <c r="G151" s="43" t="str">
        <f t="shared" ca="1" si="24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5"/>
        <v/>
      </c>
      <c r="K151" s="43" t="str">
        <f t="shared" ca="1" si="26"/>
        <v/>
      </c>
      <c r="L151" s="43"/>
      <c r="M151" s="44" t="str">
        <f ca="1">IF(ISERROR(B151-2),"",C151+D151-F151-G151-K151+SUM($L$14:L151))</f>
        <v/>
      </c>
      <c r="U151" s="3" t="str">
        <f t="shared" si="18"/>
        <v/>
      </c>
      <c r="V151" s="3" t="str">
        <f t="shared" si="19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0"/>
        <v>45989</v>
      </c>
    </row>
    <row r="152" spans="1:30" x14ac:dyDescent="0.25">
      <c r="A152" s="39" t="str">
        <f t="shared" ca="1" si="21"/>
        <v/>
      </c>
      <c r="B152" s="40" t="str">
        <f ca="1">IF(COUNTIF($W$2:W1137,A152)=1,VLOOKUP(A152,O:P,2), IF(COUNTIF($W$2:W1137,A152)=0,$B$9,""))</f>
        <v/>
      </c>
      <c r="C152" s="2" t="str">
        <f t="shared" ca="1" si="22"/>
        <v/>
      </c>
      <c r="D152" s="43"/>
      <c r="E152" s="40" t="str">
        <f ca="1">IF(COUNTIF($W$2:W1137,A152)=1,VLOOKUP(A152,Q:R,2), IF(COUNTIF($W$2:W1137,A152)=0,$C$9,""))</f>
        <v/>
      </c>
      <c r="F152" s="2" t="str">
        <f t="shared" ca="1" si="23"/>
        <v/>
      </c>
      <c r="G152" s="43" t="str">
        <f t="shared" ca="1" si="24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5"/>
        <v/>
      </c>
      <c r="K152" s="43" t="str">
        <f t="shared" ca="1" si="26"/>
        <v/>
      </c>
      <c r="L152" s="43"/>
      <c r="M152" s="44" t="str">
        <f ca="1">IF(ISERROR(B152-2),"",C152+D152-F152-G152-K152+SUM($L$14:L152))</f>
        <v/>
      </c>
      <c r="U152" s="3" t="str">
        <f t="shared" si="18"/>
        <v/>
      </c>
      <c r="V152" s="3" t="str">
        <f t="shared" si="19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0"/>
        <v>45992</v>
      </c>
    </row>
    <row r="153" spans="1:30" x14ac:dyDescent="0.25">
      <c r="A153" s="39" t="str">
        <f t="shared" ca="1" si="21"/>
        <v/>
      </c>
      <c r="B153" s="40" t="str">
        <f ca="1">IF(COUNTIF($W$2:W1138,A153)=1,VLOOKUP(A153,O:P,2), IF(COUNTIF($W$2:W1138,A153)=0,$B$9,""))</f>
        <v/>
      </c>
      <c r="C153" s="2" t="str">
        <f t="shared" ca="1" si="22"/>
        <v/>
      </c>
      <c r="D153" s="43"/>
      <c r="E153" s="40" t="str">
        <f ca="1">IF(COUNTIF($W$2:W1138,A153)=1,VLOOKUP(A153,Q:R,2), IF(COUNTIF($W$2:W1138,A153)=0,$C$9,""))</f>
        <v/>
      </c>
      <c r="F153" s="2" t="str">
        <f t="shared" ca="1" si="23"/>
        <v/>
      </c>
      <c r="G153" s="43" t="str">
        <f t="shared" ca="1" si="24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5"/>
        <v/>
      </c>
      <c r="K153" s="43" t="str">
        <f t="shared" ca="1" si="26"/>
        <v/>
      </c>
      <c r="L153" s="43"/>
      <c r="M153" s="44" t="str">
        <f ca="1">IF(ISERROR(B153-2),"",C153+D153-F153-G153-K153+SUM($L$14:L153))</f>
        <v/>
      </c>
      <c r="U153" s="3" t="str">
        <f t="shared" si="18"/>
        <v/>
      </c>
      <c r="V153" s="3" t="str">
        <f t="shared" si="19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0"/>
        <v>45993</v>
      </c>
    </row>
    <row r="154" spans="1:30" x14ac:dyDescent="0.25">
      <c r="A154" s="39" t="str">
        <f t="shared" ca="1" si="21"/>
        <v/>
      </c>
      <c r="B154" s="40" t="str">
        <f ca="1">IF(COUNTIF($W$2:W1139,A154)=1,VLOOKUP(A154,O:P,2), IF(COUNTIF($W$2:W1139,A154)=0,$B$9,""))</f>
        <v/>
      </c>
      <c r="C154" s="2" t="str">
        <f t="shared" ca="1" si="22"/>
        <v/>
      </c>
      <c r="D154" s="43"/>
      <c r="E154" s="40" t="str">
        <f ca="1">IF(COUNTIF($W$2:W1139,A154)=1,VLOOKUP(A154,Q:R,2), IF(COUNTIF($W$2:W1139,A154)=0,$C$9,""))</f>
        <v/>
      </c>
      <c r="F154" s="2" t="str">
        <f t="shared" ca="1" si="23"/>
        <v/>
      </c>
      <c r="G154" s="43" t="str">
        <f t="shared" ca="1" si="24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5"/>
        <v/>
      </c>
      <c r="K154" s="43" t="str">
        <f t="shared" ca="1" si="26"/>
        <v/>
      </c>
      <c r="L154" s="43"/>
      <c r="M154" s="44" t="str">
        <f ca="1">IF(ISERROR(B154-2),"",C154+D154-F154-G154-K154+SUM($L$14:L154))</f>
        <v/>
      </c>
      <c r="U154" s="3" t="str">
        <f t="shared" si="18"/>
        <v/>
      </c>
      <c r="V154" s="3" t="str">
        <f t="shared" si="19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0"/>
        <v>45994</v>
      </c>
    </row>
    <row r="155" spans="1:30" x14ac:dyDescent="0.25">
      <c r="A155" s="39" t="str">
        <f t="shared" ca="1" si="21"/>
        <v/>
      </c>
      <c r="B155" s="40" t="str">
        <f ca="1">IF(COUNTIF($W$2:W1140,A155)=1,VLOOKUP(A155,O:P,2), IF(COUNTIF($W$2:W1140,A155)=0,$B$9,""))</f>
        <v/>
      </c>
      <c r="C155" s="2" t="str">
        <f t="shared" ca="1" si="22"/>
        <v/>
      </c>
      <c r="D155" s="43"/>
      <c r="E155" s="40" t="str">
        <f ca="1">IF(COUNTIF($W$2:W1140,A155)=1,VLOOKUP(A155,Q:R,2), IF(COUNTIF($W$2:W1140,A155)=0,$C$9,""))</f>
        <v/>
      </c>
      <c r="F155" s="2" t="str">
        <f t="shared" ca="1" si="23"/>
        <v/>
      </c>
      <c r="G155" s="43" t="str">
        <f t="shared" ca="1" si="24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5"/>
        <v/>
      </c>
      <c r="K155" s="43" t="str">
        <f t="shared" ca="1" si="26"/>
        <v/>
      </c>
      <c r="L155" s="43"/>
      <c r="M155" s="44" t="str">
        <f ca="1">IF(ISERROR(B155-2),"",C155+D155-F155-G155-K155+SUM($L$14:L155))</f>
        <v/>
      </c>
      <c r="U155" s="3" t="str">
        <f t="shared" si="18"/>
        <v/>
      </c>
      <c r="V155" s="3" t="str">
        <f t="shared" si="19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0"/>
        <v>45995</v>
      </c>
    </row>
    <row r="156" spans="1:30" x14ac:dyDescent="0.25">
      <c r="A156" s="39" t="str">
        <f t="shared" ca="1" si="21"/>
        <v/>
      </c>
      <c r="B156" s="40" t="str">
        <f ca="1">IF(COUNTIF($W$2:W1141,A156)=1,VLOOKUP(A156,O:P,2), IF(COUNTIF($W$2:W1141,A156)=0,$B$9,""))</f>
        <v/>
      </c>
      <c r="C156" s="2" t="str">
        <f t="shared" ca="1" si="22"/>
        <v/>
      </c>
      <c r="D156" s="43"/>
      <c r="E156" s="40" t="str">
        <f ca="1">IF(COUNTIF($W$2:W1141,A156)=1,VLOOKUP(A156,Q:R,2), IF(COUNTIF($W$2:W1141,A156)=0,$C$9,""))</f>
        <v/>
      </c>
      <c r="F156" s="2" t="str">
        <f t="shared" ca="1" si="23"/>
        <v/>
      </c>
      <c r="G156" s="43" t="str">
        <f t="shared" ca="1" si="24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5"/>
        <v/>
      </c>
      <c r="K156" s="43" t="str">
        <f t="shared" ca="1" si="26"/>
        <v/>
      </c>
      <c r="L156" s="43"/>
      <c r="M156" s="44" t="str">
        <f ca="1">IF(ISERROR(B156-2),"",C156+D156-F156-G156-K156+SUM($L$14:L156))</f>
        <v/>
      </c>
      <c r="U156" s="3" t="str">
        <f t="shared" si="18"/>
        <v/>
      </c>
      <c r="V156" s="3" t="str">
        <f t="shared" si="19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0"/>
        <v>45996</v>
      </c>
    </row>
    <row r="157" spans="1:30" x14ac:dyDescent="0.25">
      <c r="A157" s="39" t="str">
        <f t="shared" ca="1" si="21"/>
        <v/>
      </c>
      <c r="B157" s="40" t="str">
        <f ca="1">IF(COUNTIF($W$2:W1142,A157)=1,VLOOKUP(A157,O:P,2), IF(COUNTIF($W$2:W1142,A157)=0,$B$9,""))</f>
        <v/>
      </c>
      <c r="C157" s="2" t="str">
        <f t="shared" ca="1" si="22"/>
        <v/>
      </c>
      <c r="D157" s="43"/>
      <c r="E157" s="40" t="str">
        <f ca="1">IF(COUNTIF($W$2:W1142,A157)=1,VLOOKUP(A157,Q:R,2), IF(COUNTIF($W$2:W1142,A157)=0,$C$9,""))</f>
        <v/>
      </c>
      <c r="F157" s="2" t="str">
        <f t="shared" ca="1" si="23"/>
        <v/>
      </c>
      <c r="G157" s="43" t="str">
        <f t="shared" ca="1" si="24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5"/>
        <v/>
      </c>
      <c r="K157" s="43" t="str">
        <f t="shared" ca="1" si="26"/>
        <v/>
      </c>
      <c r="L157" s="43"/>
      <c r="M157" s="44" t="str">
        <f ca="1">IF(ISERROR(B157-2),"",C157+D157-F157-G157-K157+SUM($L$14:L157))</f>
        <v/>
      </c>
      <c r="U157" s="3" t="str">
        <f t="shared" si="18"/>
        <v/>
      </c>
      <c r="V157" s="3" t="str">
        <f t="shared" si="19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0"/>
        <v>45999</v>
      </c>
    </row>
    <row r="158" spans="1:30" x14ac:dyDescent="0.25">
      <c r="A158" s="39" t="str">
        <f t="shared" ca="1" si="21"/>
        <v/>
      </c>
      <c r="B158" s="40" t="str">
        <f ca="1">IF(COUNTIF($W$2:W1143,A158)=1,VLOOKUP(A158,O:P,2), IF(COUNTIF($W$2:W1143,A158)=0,$B$9,""))</f>
        <v/>
      </c>
      <c r="C158" s="2" t="str">
        <f t="shared" ca="1" si="22"/>
        <v/>
      </c>
      <c r="D158" s="43"/>
      <c r="E158" s="40" t="str">
        <f ca="1">IF(COUNTIF($W$2:W1143,A158)=1,VLOOKUP(A158,Q:R,2), IF(COUNTIF($W$2:W1143,A158)=0,$C$9,""))</f>
        <v/>
      </c>
      <c r="F158" s="2" t="str">
        <f t="shared" ca="1" si="23"/>
        <v/>
      </c>
      <c r="G158" s="43" t="str">
        <f t="shared" ca="1" si="24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5"/>
        <v/>
      </c>
      <c r="K158" s="43" t="str">
        <f t="shared" ca="1" si="26"/>
        <v/>
      </c>
      <c r="L158" s="43"/>
      <c r="M158" s="44" t="str">
        <f ca="1">IF(ISERROR(B158-2),"",C158+D158-F158-G158-K158+SUM($L$14:L158))</f>
        <v/>
      </c>
      <c r="U158" s="3" t="str">
        <f t="shared" si="18"/>
        <v/>
      </c>
      <c r="V158" s="3" t="str">
        <f t="shared" si="19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0"/>
        <v>46000</v>
      </c>
    </row>
    <row r="159" spans="1:30" x14ac:dyDescent="0.25">
      <c r="A159" s="39" t="str">
        <f t="shared" ca="1" si="21"/>
        <v/>
      </c>
      <c r="B159" s="40" t="str">
        <f ca="1">IF(COUNTIF($W$2:W1144,A159)=1,VLOOKUP(A159,O:P,2), IF(COUNTIF($W$2:W1144,A159)=0,$B$9,""))</f>
        <v/>
      </c>
      <c r="C159" s="2" t="str">
        <f t="shared" ca="1" si="22"/>
        <v/>
      </c>
      <c r="D159" s="43"/>
      <c r="E159" s="40" t="str">
        <f ca="1">IF(COUNTIF($W$2:W1144,A159)=1,VLOOKUP(A159,Q:R,2), IF(COUNTIF($W$2:W1144,A159)=0,$C$9,""))</f>
        <v/>
      </c>
      <c r="F159" s="2" t="str">
        <f t="shared" ca="1" si="23"/>
        <v/>
      </c>
      <c r="G159" s="43" t="str">
        <f t="shared" ca="1" si="24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5"/>
        <v/>
      </c>
      <c r="K159" s="43" t="str">
        <f t="shared" ca="1" si="26"/>
        <v/>
      </c>
      <c r="L159" s="43"/>
      <c r="M159" s="44" t="str">
        <f ca="1">IF(ISERROR(B159-2),"",C159+D159-F159-G159-K159+SUM($L$14:L159))</f>
        <v/>
      </c>
      <c r="U159" s="3" t="str">
        <f t="shared" si="18"/>
        <v/>
      </c>
      <c r="V159" s="3" t="str">
        <f t="shared" si="19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0"/>
        <v>46001</v>
      </c>
    </row>
    <row r="160" spans="1:30" x14ac:dyDescent="0.25">
      <c r="A160" s="39" t="str">
        <f t="shared" ca="1" si="21"/>
        <v/>
      </c>
      <c r="B160" s="40" t="str">
        <f ca="1">IF(COUNTIF($W$2:W1145,A160)=1,VLOOKUP(A160,O:P,2), IF(COUNTIF($W$2:W1145,A160)=0,$B$9,""))</f>
        <v/>
      </c>
      <c r="C160" s="2" t="str">
        <f t="shared" ca="1" si="22"/>
        <v/>
      </c>
      <c r="D160" s="43"/>
      <c r="E160" s="40" t="str">
        <f ca="1">IF(COUNTIF($W$2:W1145,A160)=1,VLOOKUP(A160,Q:R,2), IF(COUNTIF($W$2:W1145,A160)=0,$C$9,""))</f>
        <v/>
      </c>
      <c r="F160" s="2" t="str">
        <f t="shared" ca="1" si="23"/>
        <v/>
      </c>
      <c r="G160" s="43" t="str">
        <f t="shared" ca="1" si="24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5"/>
        <v/>
      </c>
      <c r="K160" s="43" t="str">
        <f t="shared" ca="1" si="26"/>
        <v/>
      </c>
      <c r="L160" s="43"/>
      <c r="M160" s="44" t="str">
        <f ca="1">IF(ISERROR(B160-2),"",C160+D160-F160-G160-K160+SUM($L$14:L160))</f>
        <v/>
      </c>
      <c r="U160" s="3" t="str">
        <f t="shared" si="18"/>
        <v/>
      </c>
      <c r="V160" s="3" t="str">
        <f t="shared" si="19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0"/>
        <v>46002</v>
      </c>
    </row>
    <row r="161" spans="1:30" x14ac:dyDescent="0.25">
      <c r="A161" s="39" t="str">
        <f t="shared" ca="1" si="21"/>
        <v/>
      </c>
      <c r="B161" s="40" t="str">
        <f ca="1">IF(COUNTIF($W$2:W1146,A161)=1,VLOOKUP(A161,O:P,2), IF(COUNTIF($W$2:W1146,A161)=0,$B$9,""))</f>
        <v/>
      </c>
      <c r="C161" s="2" t="str">
        <f t="shared" ca="1" si="22"/>
        <v/>
      </c>
      <c r="D161" s="43"/>
      <c r="E161" s="40" t="str">
        <f ca="1">IF(COUNTIF($W$2:W1146,A161)=1,VLOOKUP(A161,Q:R,2), IF(COUNTIF($W$2:W1146,A161)=0,$C$9,""))</f>
        <v/>
      </c>
      <c r="F161" s="2" t="str">
        <f t="shared" ca="1" si="23"/>
        <v/>
      </c>
      <c r="G161" s="43" t="str">
        <f t="shared" ca="1" si="24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5"/>
        <v/>
      </c>
      <c r="K161" s="43" t="str">
        <f t="shared" ca="1" si="26"/>
        <v/>
      </c>
      <c r="L161" s="43"/>
      <c r="M161" s="44" t="str">
        <f ca="1">IF(ISERROR(B161-2),"",C161+D161-F161-G161-K161+SUM($L$14:L161))</f>
        <v/>
      </c>
      <c r="U161" s="3" t="str">
        <f t="shared" si="18"/>
        <v/>
      </c>
      <c r="V161" s="3" t="str">
        <f t="shared" si="19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0"/>
        <v>46003</v>
      </c>
    </row>
    <row r="162" spans="1:30" x14ac:dyDescent="0.25">
      <c r="A162" s="39" t="str">
        <f t="shared" ca="1" si="21"/>
        <v/>
      </c>
      <c r="B162" s="40" t="str">
        <f ca="1">IF(COUNTIF($W$2:W1147,A162)=1,VLOOKUP(A162,O:P,2), IF(COUNTIF($W$2:W1147,A162)=0,$B$9,""))</f>
        <v/>
      </c>
      <c r="C162" s="2" t="str">
        <f t="shared" ca="1" si="22"/>
        <v/>
      </c>
      <c r="D162" s="43"/>
      <c r="E162" s="40" t="str">
        <f ca="1">IF(COUNTIF($W$2:W1147,A162)=1,VLOOKUP(A162,Q:R,2), IF(COUNTIF($W$2:W1147,A162)=0,$C$9,""))</f>
        <v/>
      </c>
      <c r="F162" s="2" t="str">
        <f t="shared" ca="1" si="23"/>
        <v/>
      </c>
      <c r="G162" s="43" t="str">
        <f t="shared" ca="1" si="24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5"/>
        <v/>
      </c>
      <c r="K162" s="43" t="str">
        <f t="shared" ca="1" si="26"/>
        <v/>
      </c>
      <c r="L162" s="43"/>
      <c r="M162" s="44" t="str">
        <f ca="1">IF(ISERROR(B162-2),"",C162+D162-F162-G162-K162+SUM($L$14:L162))</f>
        <v/>
      </c>
      <c r="U162" s="3" t="str">
        <f t="shared" si="18"/>
        <v/>
      </c>
      <c r="V162" s="3" t="str">
        <f t="shared" si="19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0"/>
        <v>46006</v>
      </c>
    </row>
    <row r="163" spans="1:30" x14ac:dyDescent="0.25">
      <c r="A163" s="39" t="str">
        <f t="shared" ca="1" si="21"/>
        <v/>
      </c>
      <c r="B163" s="40" t="str">
        <f ca="1">IF(COUNTIF($W$2:W1148,A163)=1,VLOOKUP(A163,O:P,2), IF(COUNTIF($W$2:W1148,A163)=0,$B$9,""))</f>
        <v/>
      </c>
      <c r="C163" s="2" t="str">
        <f t="shared" ca="1" si="22"/>
        <v/>
      </c>
      <c r="D163" s="43"/>
      <c r="E163" s="40" t="str">
        <f ca="1">IF(COUNTIF($W$2:W1148,A163)=1,VLOOKUP(A163,Q:R,2), IF(COUNTIF($W$2:W1148,A163)=0,$C$9,""))</f>
        <v/>
      </c>
      <c r="F163" s="2" t="str">
        <f t="shared" ca="1" si="23"/>
        <v/>
      </c>
      <c r="G163" s="43" t="str">
        <f t="shared" ca="1" si="24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5"/>
        <v/>
      </c>
      <c r="K163" s="43" t="str">
        <f t="shared" ca="1" si="26"/>
        <v/>
      </c>
      <c r="L163" s="43"/>
      <c r="M163" s="44" t="str">
        <f ca="1">IF(ISERROR(B163-2),"",C163+D163-F163-G163-K163+SUM($L$14:L163))</f>
        <v/>
      </c>
      <c r="U163" s="3" t="str">
        <f t="shared" si="18"/>
        <v/>
      </c>
      <c r="V163" s="3" t="str">
        <f t="shared" si="19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0"/>
        <v>46007</v>
      </c>
    </row>
    <row r="164" spans="1:30" x14ac:dyDescent="0.25">
      <c r="A164" s="39" t="str">
        <f t="shared" ca="1" si="21"/>
        <v/>
      </c>
      <c r="B164" s="40" t="str">
        <f ca="1">IF(COUNTIF($W$2:W1149,A164)=1,VLOOKUP(A164,O:P,2), IF(COUNTIF($W$2:W1149,A164)=0,$B$9,""))</f>
        <v/>
      </c>
      <c r="C164" s="2" t="str">
        <f t="shared" ca="1" si="22"/>
        <v/>
      </c>
      <c r="D164" s="43"/>
      <c r="E164" s="40" t="str">
        <f ca="1">IF(COUNTIF($W$2:W1149,A164)=1,VLOOKUP(A164,Q:R,2), IF(COUNTIF($W$2:W1149,A164)=0,$C$9,""))</f>
        <v/>
      </c>
      <c r="F164" s="2" t="str">
        <f t="shared" ca="1" si="23"/>
        <v/>
      </c>
      <c r="G164" s="43" t="str">
        <f t="shared" ca="1" si="24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5"/>
        <v/>
      </c>
      <c r="K164" s="43" t="str">
        <f t="shared" ca="1" si="26"/>
        <v/>
      </c>
      <c r="L164" s="43"/>
      <c r="M164" s="44" t="str">
        <f ca="1">IF(ISERROR(B164-2),"",C164+D164-F164-G164-K164+SUM($L$14:L164))</f>
        <v/>
      </c>
      <c r="U164" s="3" t="str">
        <f t="shared" si="18"/>
        <v/>
      </c>
      <c r="V164" s="3" t="str">
        <f t="shared" si="19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0"/>
        <v>46008</v>
      </c>
    </row>
    <row r="165" spans="1:30" x14ac:dyDescent="0.25">
      <c r="A165" s="39" t="str">
        <f t="shared" ca="1" si="21"/>
        <v/>
      </c>
      <c r="B165" s="40" t="str">
        <f ca="1">IF(COUNTIF($W$2:W1150,A165)=1,VLOOKUP(A165,O:P,2), IF(COUNTIF($W$2:W1150,A165)=0,$B$9,""))</f>
        <v/>
      </c>
      <c r="C165" s="2" t="str">
        <f t="shared" ca="1" si="22"/>
        <v/>
      </c>
      <c r="D165" s="43"/>
      <c r="E165" s="40" t="str">
        <f ca="1">IF(COUNTIF($W$2:W1150,A165)=1,VLOOKUP(A165,Q:R,2), IF(COUNTIF($W$2:W1150,A165)=0,$C$9,""))</f>
        <v/>
      </c>
      <c r="F165" s="2" t="str">
        <f t="shared" ca="1" si="23"/>
        <v/>
      </c>
      <c r="G165" s="43" t="str">
        <f t="shared" ca="1" si="24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5"/>
        <v/>
      </c>
      <c r="K165" s="43" t="str">
        <f t="shared" ca="1" si="26"/>
        <v/>
      </c>
      <c r="L165" s="43"/>
      <c r="M165" s="44" t="str">
        <f ca="1">IF(ISERROR(B165-2),"",C165+D165-F165-G165-K165+SUM($L$14:L165))</f>
        <v/>
      </c>
      <c r="U165" s="3" t="str">
        <f t="shared" si="18"/>
        <v/>
      </c>
      <c r="V165" s="3" t="str">
        <f t="shared" si="19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0"/>
        <v>46009</v>
      </c>
    </row>
    <row r="166" spans="1:30" x14ac:dyDescent="0.25">
      <c r="A166" s="39" t="str">
        <f t="shared" ca="1" si="21"/>
        <v/>
      </c>
      <c r="B166" s="40" t="str">
        <f ca="1">IF(COUNTIF($W$2:W1151,A166)=1,VLOOKUP(A166,O:P,2), IF(COUNTIF($W$2:W1151,A166)=0,$B$9,""))</f>
        <v/>
      </c>
      <c r="C166" s="2" t="str">
        <f t="shared" ca="1" si="22"/>
        <v/>
      </c>
      <c r="D166" s="43"/>
      <c r="E166" s="40" t="str">
        <f ca="1">IF(COUNTIF($W$2:W1151,A166)=1,VLOOKUP(A166,Q:R,2), IF(COUNTIF($W$2:W1151,A166)=0,$C$9,""))</f>
        <v/>
      </c>
      <c r="F166" s="2" t="str">
        <f t="shared" ca="1" si="23"/>
        <v/>
      </c>
      <c r="G166" s="43" t="str">
        <f t="shared" ca="1" si="24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5"/>
        <v/>
      </c>
      <c r="K166" s="43" t="str">
        <f t="shared" ca="1" si="26"/>
        <v/>
      </c>
      <c r="L166" s="43"/>
      <c r="M166" s="44" t="str">
        <f ca="1">IF(ISERROR(B166-2),"",C166+D166-F166-G166-K166+SUM($L$14:L166))</f>
        <v/>
      </c>
      <c r="U166" s="3" t="str">
        <f t="shared" si="18"/>
        <v/>
      </c>
      <c r="V166" s="3" t="str">
        <f t="shared" si="19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0"/>
        <v>46010</v>
      </c>
    </row>
    <row r="167" spans="1:30" x14ac:dyDescent="0.25">
      <c r="A167" s="39" t="str">
        <f t="shared" ca="1" si="21"/>
        <v/>
      </c>
      <c r="B167" s="40" t="str">
        <f ca="1">IF(COUNTIF($W$2:W1152,A167)=1,VLOOKUP(A167,O:P,2), IF(COUNTIF($W$2:W1152,A167)=0,$B$9,""))</f>
        <v/>
      </c>
      <c r="C167" s="2" t="str">
        <f t="shared" ca="1" si="22"/>
        <v/>
      </c>
      <c r="D167" s="43"/>
      <c r="E167" s="40" t="str">
        <f ca="1">IF(COUNTIF($W$2:W1152,A167)=1,VLOOKUP(A167,Q:R,2), IF(COUNTIF($W$2:W1152,A167)=0,$C$9,""))</f>
        <v/>
      </c>
      <c r="F167" s="2" t="str">
        <f t="shared" ca="1" si="23"/>
        <v/>
      </c>
      <c r="G167" s="43" t="str">
        <f t="shared" ca="1" si="24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5"/>
        <v/>
      </c>
      <c r="K167" s="43" t="str">
        <f t="shared" ca="1" si="26"/>
        <v/>
      </c>
      <c r="L167" s="43"/>
      <c r="M167" s="44" t="str">
        <f ca="1">IF(ISERROR(B167-2),"",C167+D167-F167-G167-K167+SUM($L$14:L167))</f>
        <v/>
      </c>
      <c r="U167" s="3" t="str">
        <f t="shared" si="18"/>
        <v/>
      </c>
      <c r="V167" s="3" t="str">
        <f t="shared" si="19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0"/>
        <v>46013</v>
      </c>
    </row>
    <row r="168" spans="1:30" x14ac:dyDescent="0.25">
      <c r="A168" s="39"/>
      <c r="B168" s="40"/>
      <c r="C168" s="2"/>
      <c r="D168" s="43"/>
      <c r="E168" s="40"/>
      <c r="F168" s="2"/>
      <c r="G168" s="43"/>
      <c r="H168" s="40"/>
      <c r="I168" s="41"/>
      <c r="J168" s="41"/>
      <c r="K168" s="43"/>
      <c r="L168" s="43"/>
      <c r="M168" s="44"/>
      <c r="U168" s="3" t="str">
        <f t="shared" si="18"/>
        <v/>
      </c>
      <c r="V168" s="3" t="str">
        <f t="shared" si="19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0"/>
        <v>46014</v>
      </c>
    </row>
    <row r="169" spans="1:30" x14ac:dyDescent="0.25">
      <c r="A169" s="39"/>
      <c r="B169" s="40"/>
      <c r="C169" s="2"/>
      <c r="D169" s="43"/>
      <c r="E169" s="40"/>
      <c r="F169" s="2"/>
      <c r="G169" s="43"/>
      <c r="H169" s="40"/>
      <c r="I169" s="41"/>
      <c r="J169" s="41"/>
      <c r="K169" s="43"/>
      <c r="L169" s="43"/>
      <c r="M169" s="44"/>
      <c r="U169" s="3" t="str">
        <f t="shared" si="18"/>
        <v/>
      </c>
      <c r="V169" s="3" t="str">
        <f t="shared" si="19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0"/>
        <v>46015</v>
      </c>
    </row>
    <row r="170" spans="1:30" x14ac:dyDescent="0.25">
      <c r="A170" s="39"/>
      <c r="B170" s="40"/>
      <c r="C170" s="2"/>
      <c r="D170" s="43"/>
      <c r="E170" s="40"/>
      <c r="F170" s="2"/>
      <c r="G170" s="43"/>
      <c r="H170" s="40"/>
      <c r="I170" s="41"/>
      <c r="J170" s="41"/>
      <c r="K170" s="43"/>
      <c r="L170" s="43"/>
      <c r="M170" s="44"/>
      <c r="U170" s="3" t="str">
        <f t="shared" si="18"/>
        <v/>
      </c>
      <c r="V170" s="3" t="str">
        <f t="shared" si="19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0"/>
        <v>46020</v>
      </c>
    </row>
    <row r="171" spans="1:30" x14ac:dyDescent="0.25">
      <c r="A171" s="39"/>
      <c r="B171" s="40"/>
      <c r="C171" s="2"/>
      <c r="D171" s="43"/>
      <c r="E171" s="40"/>
      <c r="F171" s="2"/>
      <c r="G171" s="43"/>
      <c r="H171" s="40"/>
      <c r="I171" s="41"/>
      <c r="J171" s="41"/>
      <c r="K171" s="43"/>
      <c r="L171" s="43"/>
      <c r="M171" s="44"/>
      <c r="U171" s="3" t="str">
        <f t="shared" si="18"/>
        <v/>
      </c>
      <c r="V171" s="3" t="str">
        <f t="shared" si="19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0"/>
        <v>46021</v>
      </c>
    </row>
    <row r="172" spans="1:30" x14ac:dyDescent="0.25">
      <c r="A172" s="39"/>
      <c r="B172" s="40"/>
      <c r="C172" s="2"/>
      <c r="D172" s="43"/>
      <c r="E172" s="40"/>
      <c r="F172" s="2"/>
      <c r="G172" s="43"/>
      <c r="H172" s="40"/>
      <c r="I172" s="41"/>
      <c r="J172" s="41"/>
      <c r="K172" s="43"/>
      <c r="L172" s="43"/>
      <c r="M172" s="44"/>
      <c r="U172" s="3" t="str">
        <f t="shared" si="18"/>
        <v/>
      </c>
      <c r="V172" s="3" t="str">
        <f t="shared" si="19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0"/>
        <v>46022</v>
      </c>
    </row>
    <row r="173" spans="1:30" x14ac:dyDescent="0.25">
      <c r="A173" s="39"/>
      <c r="B173" s="40"/>
      <c r="C173" s="2"/>
      <c r="D173" s="43"/>
      <c r="E173" s="40"/>
      <c r="F173" s="2"/>
      <c r="G173" s="43"/>
      <c r="H173" s="40"/>
      <c r="I173" s="41"/>
      <c r="J173" s="41"/>
      <c r="K173" s="43"/>
      <c r="L173" s="43"/>
      <c r="M173" s="44"/>
      <c r="U173" s="3" t="str">
        <f t="shared" si="18"/>
        <v/>
      </c>
      <c r="V173" s="3" t="str">
        <f t="shared" si="19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0"/>
        <v>46024</v>
      </c>
    </row>
    <row r="174" spans="1:30" x14ac:dyDescent="0.25">
      <c r="A174" s="39"/>
      <c r="B174" s="40"/>
      <c r="C174" s="2"/>
      <c r="D174" s="43"/>
      <c r="E174" s="40"/>
      <c r="F174" s="2"/>
      <c r="G174" s="43"/>
      <c r="H174" s="40"/>
      <c r="I174" s="41"/>
      <c r="J174" s="41"/>
      <c r="K174" s="43"/>
      <c r="L174" s="43"/>
      <c r="M174" s="44"/>
      <c r="U174" s="3" t="str">
        <f t="shared" si="18"/>
        <v/>
      </c>
      <c r="V174" s="3" t="str">
        <f t="shared" si="19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0"/>
        <v>46027</v>
      </c>
    </row>
    <row r="175" spans="1:30" x14ac:dyDescent="0.25">
      <c r="A175" s="39"/>
      <c r="B175" s="40"/>
      <c r="C175" s="2"/>
      <c r="D175" s="43"/>
      <c r="E175" s="40"/>
      <c r="F175" s="2"/>
      <c r="G175" s="43"/>
      <c r="H175" s="40"/>
      <c r="I175" s="41"/>
      <c r="J175" s="41"/>
      <c r="K175" s="43"/>
      <c r="L175" s="43"/>
      <c r="M175" s="44"/>
      <c r="U175" s="3" t="str">
        <f t="shared" si="18"/>
        <v/>
      </c>
      <c r="V175" s="3" t="str">
        <f t="shared" si="19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0"/>
        <v>46028</v>
      </c>
    </row>
    <row r="176" spans="1:30" x14ac:dyDescent="0.25">
      <c r="A176" s="39"/>
      <c r="B176" s="40"/>
      <c r="C176" s="2"/>
      <c r="D176" s="43"/>
      <c r="E176" s="40"/>
      <c r="F176" s="2"/>
      <c r="G176" s="43"/>
      <c r="H176" s="40"/>
      <c r="I176" s="41"/>
      <c r="J176" s="41"/>
      <c r="K176" s="43"/>
      <c r="L176" s="43"/>
      <c r="M176" s="44"/>
      <c r="U176" s="3" t="str">
        <f t="shared" si="18"/>
        <v/>
      </c>
      <c r="V176" s="3" t="str">
        <f t="shared" si="19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0"/>
        <v>46029</v>
      </c>
    </row>
    <row r="177" spans="1:30" x14ac:dyDescent="0.25">
      <c r="A177" s="39"/>
      <c r="B177" s="40"/>
      <c r="C177" s="2"/>
      <c r="D177" s="43"/>
      <c r="E177" s="40"/>
      <c r="F177" s="2"/>
      <c r="G177" s="43"/>
      <c r="H177" s="40"/>
      <c r="I177" s="41"/>
      <c r="J177" s="41"/>
      <c r="K177" s="43"/>
      <c r="L177" s="43"/>
      <c r="M177" s="44"/>
      <c r="U177" s="3" t="str">
        <f t="shared" si="18"/>
        <v/>
      </c>
      <c r="V177" s="3" t="str">
        <f t="shared" si="19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0"/>
        <v>46030</v>
      </c>
    </row>
    <row r="178" spans="1:30" x14ac:dyDescent="0.25">
      <c r="A178" s="39"/>
      <c r="B178" s="40"/>
      <c r="C178" s="2"/>
      <c r="D178" s="43"/>
      <c r="E178" s="40"/>
      <c r="F178" s="2"/>
      <c r="G178" s="43"/>
      <c r="H178" s="40"/>
      <c r="I178" s="41"/>
      <c r="J178" s="41"/>
      <c r="K178" s="43"/>
      <c r="L178" s="43"/>
      <c r="M178" s="44"/>
      <c r="U178" s="3" t="str">
        <f t="shared" si="18"/>
        <v/>
      </c>
      <c r="V178" s="3" t="str">
        <f t="shared" si="19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0"/>
        <v>46031</v>
      </c>
    </row>
    <row r="179" spans="1:30" x14ac:dyDescent="0.25">
      <c r="A179" s="39"/>
      <c r="B179" s="40"/>
      <c r="C179" s="2"/>
      <c r="D179" s="43"/>
      <c r="E179" s="40"/>
      <c r="F179" s="2"/>
      <c r="G179" s="43"/>
      <c r="H179" s="40"/>
      <c r="I179" s="41"/>
      <c r="J179" s="41"/>
      <c r="K179" s="43"/>
      <c r="L179" s="43"/>
      <c r="M179" s="44"/>
      <c r="U179" s="3" t="str">
        <f t="shared" si="18"/>
        <v/>
      </c>
      <c r="V179" s="3" t="str">
        <f t="shared" si="19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0"/>
        <v>46034</v>
      </c>
    </row>
    <row r="180" spans="1:30" x14ac:dyDescent="0.25">
      <c r="A180" s="39"/>
      <c r="B180" s="40"/>
      <c r="C180" s="2"/>
      <c r="D180" s="43"/>
      <c r="E180" s="40"/>
      <c r="F180" s="2"/>
      <c r="G180" s="43"/>
      <c r="H180" s="40"/>
      <c r="I180" s="41"/>
      <c r="J180" s="41"/>
      <c r="K180" s="43"/>
      <c r="L180" s="43"/>
      <c r="M180" s="44"/>
      <c r="U180" s="3" t="str">
        <f t="shared" si="18"/>
        <v/>
      </c>
      <c r="V180" s="3" t="str">
        <f t="shared" si="19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0"/>
        <v>46035</v>
      </c>
    </row>
    <row r="181" spans="1:30" x14ac:dyDescent="0.25">
      <c r="A181" s="39"/>
      <c r="B181" s="40"/>
      <c r="C181" s="2"/>
      <c r="D181" s="43"/>
      <c r="E181" s="40"/>
      <c r="F181" s="2"/>
      <c r="G181" s="43"/>
      <c r="H181" s="40"/>
      <c r="I181" s="41"/>
      <c r="J181" s="41"/>
      <c r="K181" s="43"/>
      <c r="L181" s="43"/>
      <c r="M181" s="44"/>
      <c r="U181" s="3" t="str">
        <f t="shared" si="18"/>
        <v/>
      </c>
      <c r="V181" s="3" t="str">
        <f t="shared" si="19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0"/>
        <v>46036</v>
      </c>
    </row>
    <row r="182" spans="1:30" x14ac:dyDescent="0.25">
      <c r="A182" s="39"/>
      <c r="B182" s="40"/>
      <c r="C182" s="2"/>
      <c r="D182" s="43"/>
      <c r="E182" s="40"/>
      <c r="F182" s="2"/>
      <c r="G182" s="43"/>
      <c r="H182" s="40"/>
      <c r="I182" s="41"/>
      <c r="J182" s="41"/>
      <c r="K182" s="43"/>
      <c r="L182" s="43"/>
      <c r="M182" s="44"/>
      <c r="U182" s="3" t="str">
        <f t="shared" si="18"/>
        <v/>
      </c>
      <c r="V182" s="3" t="str">
        <f t="shared" si="19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0"/>
        <v>46037</v>
      </c>
    </row>
    <row r="183" spans="1:30" x14ac:dyDescent="0.25">
      <c r="A183" s="39"/>
      <c r="B183" s="40"/>
      <c r="C183" s="2"/>
      <c r="D183" s="43"/>
      <c r="E183" s="40"/>
      <c r="F183" s="2"/>
      <c r="G183" s="43"/>
      <c r="H183" s="40"/>
      <c r="I183" s="41"/>
      <c r="J183" s="41"/>
      <c r="K183" s="43"/>
      <c r="L183" s="43"/>
      <c r="M183" s="44"/>
      <c r="U183" s="3" t="str">
        <f t="shared" si="18"/>
        <v/>
      </c>
      <c r="V183" s="3" t="str">
        <f t="shared" si="19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0"/>
        <v>46038</v>
      </c>
    </row>
    <row r="184" spans="1:30" x14ac:dyDescent="0.25">
      <c r="A184" s="39"/>
      <c r="B184" s="40"/>
      <c r="C184" s="2"/>
      <c r="D184" s="43"/>
      <c r="E184" s="40"/>
      <c r="F184" s="2"/>
      <c r="G184" s="43"/>
      <c r="H184" s="40"/>
      <c r="I184" s="41"/>
      <c r="J184" s="41"/>
      <c r="K184" s="43"/>
      <c r="L184" s="43"/>
      <c r="M184" s="44"/>
      <c r="U184" s="3" t="str">
        <f t="shared" si="18"/>
        <v/>
      </c>
      <c r="V184" s="3" t="str">
        <f t="shared" si="19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0"/>
        <v>46041</v>
      </c>
    </row>
    <row r="185" spans="1:30" x14ac:dyDescent="0.25">
      <c r="A185" s="39"/>
      <c r="B185" s="40"/>
      <c r="C185" s="2"/>
      <c r="D185" s="43"/>
      <c r="E185" s="40"/>
      <c r="F185" s="2"/>
      <c r="G185" s="43"/>
      <c r="H185" s="40"/>
      <c r="I185" s="41"/>
      <c r="J185" s="41"/>
      <c r="K185" s="43"/>
      <c r="L185" s="43"/>
      <c r="M185" s="44"/>
      <c r="U185" s="3" t="str">
        <f t="shared" si="18"/>
        <v/>
      </c>
      <c r="V185" s="3" t="str">
        <f t="shared" si="19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0"/>
        <v>46042</v>
      </c>
    </row>
    <row r="186" spans="1:30" x14ac:dyDescent="0.25">
      <c r="A186" s="39"/>
      <c r="B186" s="40"/>
      <c r="C186" s="2"/>
      <c r="D186" s="43"/>
      <c r="E186" s="40"/>
      <c r="F186" s="2"/>
      <c r="G186" s="43"/>
      <c r="H186" s="40"/>
      <c r="I186" s="41"/>
      <c r="J186" s="41"/>
      <c r="K186" s="43"/>
      <c r="L186" s="43"/>
      <c r="M186" s="44"/>
      <c r="U186" s="3" t="str">
        <f t="shared" si="18"/>
        <v/>
      </c>
      <c r="V186" s="3" t="str">
        <f t="shared" si="19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0"/>
        <v>46043</v>
      </c>
    </row>
    <row r="187" spans="1:30" x14ac:dyDescent="0.25">
      <c r="A187" s="39"/>
      <c r="B187" s="40"/>
      <c r="C187" s="2"/>
      <c r="D187" s="43"/>
      <c r="E187" s="40"/>
      <c r="F187" s="2"/>
      <c r="G187" s="43"/>
      <c r="H187" s="40"/>
      <c r="I187" s="41"/>
      <c r="J187" s="41"/>
      <c r="K187" s="43"/>
      <c r="L187" s="43"/>
      <c r="M187" s="44"/>
      <c r="U187" s="3" t="str">
        <f t="shared" si="18"/>
        <v/>
      </c>
      <c r="V187" s="3" t="str">
        <f t="shared" si="19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0"/>
        <v>46044</v>
      </c>
    </row>
    <row r="188" spans="1:30" x14ac:dyDescent="0.25">
      <c r="A188" s="39"/>
      <c r="B188" s="40"/>
      <c r="C188" s="2"/>
      <c r="D188" s="43"/>
      <c r="E188" s="40"/>
      <c r="F188" s="2"/>
      <c r="G188" s="43"/>
      <c r="H188" s="40"/>
      <c r="I188" s="41"/>
      <c r="J188" s="41"/>
      <c r="K188" s="43"/>
      <c r="L188" s="43"/>
      <c r="M188" s="44"/>
      <c r="U188" s="3" t="str">
        <f t="shared" si="18"/>
        <v/>
      </c>
      <c r="V188" s="3" t="str">
        <f t="shared" si="19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0"/>
        <v>46045</v>
      </c>
    </row>
    <row r="189" spans="1:30" x14ac:dyDescent="0.25">
      <c r="A189" s="39"/>
      <c r="B189" s="40"/>
      <c r="C189" s="2"/>
      <c r="D189" s="43"/>
      <c r="E189" s="40"/>
      <c r="F189" s="2"/>
      <c r="G189" s="43"/>
      <c r="H189" s="40"/>
      <c r="I189" s="41"/>
      <c r="J189" s="41"/>
      <c r="K189" s="43"/>
      <c r="L189" s="43"/>
      <c r="M189" s="44"/>
      <c r="U189" s="3" t="str">
        <f t="shared" si="18"/>
        <v/>
      </c>
      <c r="V189" s="3" t="str">
        <f t="shared" si="19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0"/>
        <v>46048</v>
      </c>
    </row>
    <row r="190" spans="1:30" x14ac:dyDescent="0.25">
      <c r="A190" s="39"/>
      <c r="B190" s="40"/>
      <c r="C190" s="2"/>
      <c r="D190" s="43"/>
      <c r="E190" s="40"/>
      <c r="F190" s="2"/>
      <c r="G190" s="43"/>
      <c r="H190" s="40"/>
      <c r="I190" s="41"/>
      <c r="J190" s="41"/>
      <c r="K190" s="43"/>
      <c r="L190" s="43"/>
      <c r="M190" s="44"/>
      <c r="U190" s="3" t="str">
        <f t="shared" si="18"/>
        <v/>
      </c>
      <c r="V190" s="3" t="str">
        <f t="shared" si="19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0"/>
        <v>46049</v>
      </c>
    </row>
    <row r="191" spans="1:30" x14ac:dyDescent="0.25">
      <c r="A191" s="39"/>
      <c r="B191" s="40"/>
      <c r="C191" s="2"/>
      <c r="D191" s="43"/>
      <c r="E191" s="40"/>
      <c r="F191" s="2"/>
      <c r="G191" s="43"/>
      <c r="H191" s="40"/>
      <c r="I191" s="41"/>
      <c r="J191" s="41"/>
      <c r="K191" s="43"/>
      <c r="L191" s="43"/>
      <c r="M191" s="44"/>
      <c r="U191" s="3" t="str">
        <f t="shared" si="18"/>
        <v/>
      </c>
      <c r="V191" s="3" t="str">
        <f t="shared" si="19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0"/>
        <v>46050</v>
      </c>
    </row>
    <row r="192" spans="1:30" x14ac:dyDescent="0.25">
      <c r="A192" s="39"/>
      <c r="B192" s="40"/>
      <c r="C192" s="2"/>
      <c r="D192" s="43"/>
      <c r="E192" s="40"/>
      <c r="F192" s="2"/>
      <c r="G192" s="43"/>
      <c r="H192" s="40"/>
      <c r="I192" s="41"/>
      <c r="J192" s="41"/>
      <c r="K192" s="43"/>
      <c r="L192" s="43"/>
      <c r="M192" s="44"/>
      <c r="U192" s="3" t="str">
        <f t="shared" si="18"/>
        <v/>
      </c>
      <c r="V192" s="3" t="str">
        <f t="shared" si="19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0"/>
        <v>46051</v>
      </c>
    </row>
    <row r="193" spans="1:30" x14ac:dyDescent="0.25">
      <c r="A193" s="39"/>
      <c r="B193" s="40"/>
      <c r="C193" s="2"/>
      <c r="D193" s="43"/>
      <c r="E193" s="40"/>
      <c r="F193" s="2"/>
      <c r="G193" s="43"/>
      <c r="H193" s="40"/>
      <c r="I193" s="41"/>
      <c r="J193" s="41"/>
      <c r="K193" s="43"/>
      <c r="L193" s="43"/>
      <c r="M193" s="44"/>
      <c r="U193" s="3" t="str">
        <f t="shared" si="18"/>
        <v/>
      </c>
      <c r="V193" s="3" t="str">
        <f t="shared" si="19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0"/>
        <v>46052</v>
      </c>
    </row>
    <row r="194" spans="1:30" x14ac:dyDescent="0.25">
      <c r="A194" s="39"/>
      <c r="B194" s="40"/>
      <c r="C194" s="2"/>
      <c r="D194" s="43"/>
      <c r="E194" s="40"/>
      <c r="F194" s="2"/>
      <c r="G194" s="43"/>
      <c r="H194" s="40"/>
      <c r="I194" s="41"/>
      <c r="J194" s="41"/>
      <c r="K194" s="43"/>
      <c r="L194" s="43"/>
      <c r="M194" s="44"/>
      <c r="U194" s="3" t="str">
        <f t="shared" si="18"/>
        <v/>
      </c>
      <c r="V194" s="3" t="str">
        <f t="shared" si="19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0"/>
        <v>46055</v>
      </c>
    </row>
    <row r="195" spans="1:30" x14ac:dyDescent="0.25">
      <c r="A195" s="39"/>
      <c r="B195" s="40"/>
      <c r="C195" s="2"/>
      <c r="D195" s="43"/>
      <c r="E195" s="40"/>
      <c r="F195" s="2"/>
      <c r="G195" s="43"/>
      <c r="H195" s="40"/>
      <c r="I195" s="41"/>
      <c r="J195" s="41"/>
      <c r="K195" s="43"/>
      <c r="L195" s="43"/>
      <c r="M195" s="44"/>
      <c r="U195" s="3" t="str">
        <f t="shared" si="18"/>
        <v/>
      </c>
      <c r="V195" s="3" t="str">
        <f t="shared" si="19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0"/>
        <v>46056</v>
      </c>
    </row>
    <row r="196" spans="1:30" x14ac:dyDescent="0.25">
      <c r="A196" s="39"/>
      <c r="B196" s="40"/>
      <c r="C196" s="2"/>
      <c r="D196" s="43"/>
      <c r="E196" s="40"/>
      <c r="F196" s="2"/>
      <c r="G196" s="43"/>
      <c r="H196" s="40"/>
      <c r="I196" s="41"/>
      <c r="J196" s="41"/>
      <c r="K196" s="43"/>
      <c r="L196" s="43"/>
      <c r="M196" s="44"/>
      <c r="U196" s="3" t="str">
        <f t="shared" ref="U196:U259" si="27">IF(COUNTIF(Q:Q,O196)*COUNTIF(S:S,O196),O196,"")</f>
        <v/>
      </c>
      <c r="V196" s="3" t="str">
        <f t="shared" ref="V196:V259" si="28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29">IF(COUNTIF(AB:AB,Z196),Z196,"")</f>
        <v>46057</v>
      </c>
    </row>
    <row r="197" spans="1:30" x14ac:dyDescent="0.25">
      <c r="A197" s="39"/>
      <c r="B197" s="40"/>
      <c r="C197" s="2"/>
      <c r="D197" s="43"/>
      <c r="E197" s="40"/>
      <c r="F197" s="2"/>
      <c r="G197" s="43"/>
      <c r="H197" s="40"/>
      <c r="I197" s="41"/>
      <c r="J197" s="41"/>
      <c r="K197" s="43"/>
      <c r="L197" s="43"/>
      <c r="M197" s="44"/>
      <c r="U197" s="3" t="str">
        <f t="shared" si="27"/>
        <v/>
      </c>
      <c r="V197" s="3" t="str">
        <f t="shared" si="28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29"/>
        <v>46058</v>
      </c>
    </row>
    <row r="198" spans="1:30" x14ac:dyDescent="0.25">
      <c r="A198" s="39"/>
      <c r="B198" s="40"/>
      <c r="C198" s="2"/>
      <c r="D198" s="43"/>
      <c r="E198" s="40"/>
      <c r="F198" s="2"/>
      <c r="G198" s="43"/>
      <c r="H198" s="40"/>
      <c r="I198" s="41"/>
      <c r="J198" s="41"/>
      <c r="K198" s="43"/>
      <c r="L198" s="43"/>
      <c r="M198" s="44"/>
      <c r="U198" s="3" t="str">
        <f t="shared" si="27"/>
        <v/>
      </c>
      <c r="V198" s="3" t="str">
        <f t="shared" si="28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29"/>
        <v>46059</v>
      </c>
    </row>
    <row r="199" spans="1:30" x14ac:dyDescent="0.25">
      <c r="A199" s="39"/>
      <c r="B199" s="40"/>
      <c r="C199" s="2"/>
      <c r="D199" s="43"/>
      <c r="E199" s="40"/>
      <c r="F199" s="2"/>
      <c r="G199" s="43"/>
      <c r="H199" s="40"/>
      <c r="I199" s="41"/>
      <c r="J199" s="41"/>
      <c r="K199" s="43"/>
      <c r="L199" s="43"/>
      <c r="M199" s="44"/>
      <c r="U199" s="3" t="str">
        <f t="shared" si="27"/>
        <v/>
      </c>
      <c r="V199" s="3" t="str">
        <f t="shared" si="28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29"/>
        <v>46062</v>
      </c>
    </row>
    <row r="200" spans="1:30" x14ac:dyDescent="0.25">
      <c r="A200" s="39"/>
      <c r="B200" s="40"/>
      <c r="C200" s="2"/>
      <c r="D200" s="43"/>
      <c r="E200" s="40"/>
      <c r="F200" s="2"/>
      <c r="G200" s="43"/>
      <c r="H200" s="40"/>
      <c r="I200" s="41"/>
      <c r="J200" s="41"/>
      <c r="K200" s="43"/>
      <c r="L200" s="43"/>
      <c r="M200" s="44"/>
      <c r="U200" s="3" t="str">
        <f t="shared" si="27"/>
        <v/>
      </c>
      <c r="V200" s="3" t="str">
        <f t="shared" si="28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29"/>
        <v>46063</v>
      </c>
    </row>
    <row r="201" spans="1:30" x14ac:dyDescent="0.25">
      <c r="A201" s="39"/>
      <c r="B201" s="40"/>
      <c r="C201" s="2"/>
      <c r="D201" s="43"/>
      <c r="E201" s="40"/>
      <c r="F201" s="2"/>
      <c r="G201" s="43"/>
      <c r="H201" s="40"/>
      <c r="I201" s="41"/>
      <c r="J201" s="41"/>
      <c r="K201" s="43"/>
      <c r="L201" s="43"/>
      <c r="M201" s="44"/>
      <c r="U201" s="3" t="str">
        <f t="shared" si="27"/>
        <v/>
      </c>
      <c r="V201" s="3" t="str">
        <f t="shared" si="28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29"/>
        <v>46064</v>
      </c>
    </row>
    <row r="202" spans="1:30" x14ac:dyDescent="0.25">
      <c r="A202" s="39"/>
      <c r="B202" s="40"/>
      <c r="C202" s="2"/>
      <c r="D202" s="43"/>
      <c r="E202" s="40"/>
      <c r="F202" s="2"/>
      <c r="G202" s="43"/>
      <c r="H202" s="40"/>
      <c r="I202" s="41"/>
      <c r="J202" s="41"/>
      <c r="K202" s="43"/>
      <c r="L202" s="43"/>
      <c r="M202" s="44"/>
      <c r="U202" s="3" t="str">
        <f t="shared" si="27"/>
        <v/>
      </c>
      <c r="V202" s="3" t="str">
        <f t="shared" si="28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29"/>
        <v>46065</v>
      </c>
    </row>
    <row r="203" spans="1:30" x14ac:dyDescent="0.25">
      <c r="A203" s="39"/>
      <c r="B203" s="40"/>
      <c r="C203" s="2"/>
      <c r="D203" s="43"/>
      <c r="E203" s="40"/>
      <c r="F203" s="2"/>
      <c r="G203" s="43"/>
      <c r="H203" s="40"/>
      <c r="I203" s="41"/>
      <c r="J203" s="41"/>
      <c r="K203" s="43"/>
      <c r="L203" s="43"/>
      <c r="M203" s="44"/>
      <c r="U203" s="3" t="str">
        <f t="shared" si="27"/>
        <v/>
      </c>
      <c r="V203" s="3" t="str">
        <f t="shared" si="28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29"/>
        <v>46066</v>
      </c>
    </row>
    <row r="204" spans="1:30" x14ac:dyDescent="0.25">
      <c r="A204" s="39"/>
      <c r="B204" s="40"/>
      <c r="C204" s="2"/>
      <c r="D204" s="43"/>
      <c r="E204" s="40"/>
      <c r="F204" s="2"/>
      <c r="G204" s="43"/>
      <c r="H204" s="40"/>
      <c r="I204" s="41"/>
      <c r="J204" s="41"/>
      <c r="K204" s="43"/>
      <c r="L204" s="43"/>
      <c r="M204" s="44"/>
      <c r="U204" s="3" t="str">
        <f t="shared" si="27"/>
        <v/>
      </c>
      <c r="V204" s="3" t="str">
        <f t="shared" si="28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29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27"/>
        <v/>
      </c>
      <c r="V205" s="3" t="str">
        <f t="shared" si="28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29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27"/>
        <v/>
      </c>
      <c r="V206" s="3" t="str">
        <f t="shared" si="28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29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27"/>
        <v/>
      </c>
      <c r="V207" s="3" t="str">
        <f t="shared" si="28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29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27"/>
        <v/>
      </c>
      <c r="V208" s="3" t="str">
        <f t="shared" si="28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29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27"/>
        <v/>
      </c>
      <c r="V209" s="3" t="str">
        <f t="shared" si="28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29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27"/>
        <v/>
      </c>
      <c r="V210" s="3" t="str">
        <f t="shared" si="28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29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27"/>
        <v/>
      </c>
      <c r="V211" s="3" t="str">
        <f t="shared" si="28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29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27"/>
        <v/>
      </c>
      <c r="V212" s="3" t="str">
        <f t="shared" si="28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29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27"/>
        <v/>
      </c>
      <c r="V213" s="3" t="str">
        <f t="shared" si="28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29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27"/>
        <v/>
      </c>
      <c r="V214" s="3" t="str">
        <f t="shared" si="28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29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27"/>
        <v/>
      </c>
      <c r="V215" s="3" t="str">
        <f t="shared" si="28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29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27"/>
        <v/>
      </c>
      <c r="V216" s="3" t="str">
        <f t="shared" si="28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29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27"/>
        <v/>
      </c>
      <c r="V217" s="3" t="str">
        <f t="shared" si="28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29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27"/>
        <v/>
      </c>
      <c r="V218" s="3" t="str">
        <f t="shared" si="28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29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27"/>
        <v/>
      </c>
      <c r="V219" s="3" t="str">
        <f t="shared" si="28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29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27"/>
        <v/>
      </c>
      <c r="V220" s="3" t="str">
        <f t="shared" si="28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29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27"/>
        <v/>
      </c>
      <c r="V221" s="3" t="str">
        <f t="shared" si="28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29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27"/>
        <v/>
      </c>
      <c r="V222" s="3" t="str">
        <f t="shared" si="28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29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27"/>
        <v/>
      </c>
      <c r="V223" s="3" t="str">
        <f t="shared" si="28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29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27"/>
        <v/>
      </c>
      <c r="V224" s="3" t="str">
        <f t="shared" si="28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29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27"/>
        <v/>
      </c>
      <c r="V225" s="3" t="str">
        <f t="shared" si="28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29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27"/>
        <v/>
      </c>
      <c r="V226" s="3" t="str">
        <f t="shared" si="28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29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27"/>
        <v/>
      </c>
      <c r="V227" s="3" t="str">
        <f t="shared" si="28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29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27"/>
        <v/>
      </c>
      <c r="V228" s="3" t="str">
        <f t="shared" si="28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29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27"/>
        <v/>
      </c>
      <c r="V229" s="3" t="str">
        <f t="shared" si="28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29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27"/>
        <v/>
      </c>
      <c r="V230" s="3" t="str">
        <f t="shared" si="28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29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27"/>
        <v/>
      </c>
      <c r="V231" s="3" t="str">
        <f t="shared" si="28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29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27"/>
        <v/>
      </c>
      <c r="V232" s="3" t="str">
        <f t="shared" si="28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29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27"/>
        <v/>
      </c>
      <c r="V233" s="3" t="str">
        <f t="shared" si="28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29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27"/>
        <v/>
      </c>
      <c r="V234" s="3" t="str">
        <f t="shared" si="28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29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27"/>
        <v/>
      </c>
      <c r="V235" s="3" t="str">
        <f t="shared" si="28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29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27"/>
        <v/>
      </c>
      <c r="V236" s="3" t="str">
        <f t="shared" si="28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29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27"/>
        <v/>
      </c>
      <c r="V237" s="3" t="str">
        <f t="shared" si="28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29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27"/>
        <v/>
      </c>
      <c r="V238" s="3" t="str">
        <f t="shared" si="28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29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27"/>
        <v/>
      </c>
      <c r="V239" s="3" t="str">
        <f t="shared" si="28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29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27"/>
        <v/>
      </c>
      <c r="V240" s="3" t="str">
        <f t="shared" si="28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29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27"/>
        <v/>
      </c>
      <c r="V241" s="3" t="str">
        <f t="shared" si="28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29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27"/>
        <v/>
      </c>
      <c r="V242" s="3" t="str">
        <f t="shared" si="28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29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27"/>
        <v/>
      </c>
      <c r="V243" s="3" t="str">
        <f t="shared" si="28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29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27"/>
        <v/>
      </c>
      <c r="V244" s="3" t="str">
        <f t="shared" si="28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29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27"/>
        <v/>
      </c>
      <c r="V245" s="3" t="str">
        <f t="shared" si="28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29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27"/>
        <v/>
      </c>
      <c r="V246" s="3" t="str">
        <f t="shared" si="28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29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27"/>
        <v/>
      </c>
      <c r="V247" s="3" t="str">
        <f t="shared" si="28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29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27"/>
        <v/>
      </c>
      <c r="V248" s="3" t="str">
        <f t="shared" si="28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29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27"/>
        <v/>
      </c>
      <c r="V249" s="3" t="str">
        <f t="shared" si="28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29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27"/>
        <v/>
      </c>
      <c r="V250" s="3" t="str">
        <f t="shared" si="28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29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27"/>
        <v/>
      </c>
      <c r="V251" s="3" t="str">
        <f t="shared" si="28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29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27"/>
        <v/>
      </c>
      <c r="V252" s="3" t="str">
        <f t="shared" si="28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29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27"/>
        <v/>
      </c>
      <c r="V253" s="3" t="str">
        <f t="shared" si="28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29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27"/>
        <v/>
      </c>
      <c r="V254" s="3" t="str">
        <f t="shared" si="28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29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27"/>
        <v/>
      </c>
      <c r="V255" s="3" t="str">
        <f t="shared" si="28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29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27"/>
        <v/>
      </c>
      <c r="V256" s="3" t="str">
        <f t="shared" si="28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29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27"/>
        <v/>
      </c>
      <c r="V257" s="3" t="str">
        <f t="shared" si="28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29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27"/>
        <v/>
      </c>
      <c r="V258" s="3" t="str">
        <f t="shared" si="28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29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27"/>
        <v/>
      </c>
      <c r="V259" s="3" t="str">
        <f t="shared" si="28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29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0">IF(COUNTIF(Q:Q,O260)*COUNTIF(S:S,O260),O260,"")</f>
        <v/>
      </c>
      <c r="V260" s="3" t="str">
        <f t="shared" ref="V260:V323" si="31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2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0"/>
        <v/>
      </c>
      <c r="V261" s="3" t="str">
        <f t="shared" si="31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2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0"/>
        <v/>
      </c>
      <c r="V262" s="3" t="str">
        <f t="shared" si="31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2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0"/>
        <v/>
      </c>
      <c r="V263" s="3" t="str">
        <f t="shared" si="31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2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0"/>
        <v/>
      </c>
      <c r="V264" s="3" t="str">
        <f t="shared" si="31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2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0"/>
        <v/>
      </c>
      <c r="V265" s="3" t="str">
        <f t="shared" si="31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2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0"/>
        <v/>
      </c>
      <c r="V266" s="3" t="str">
        <f t="shared" si="31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2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0"/>
        <v/>
      </c>
      <c r="V267" s="3" t="str">
        <f t="shared" si="31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2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0"/>
        <v/>
      </c>
      <c r="V268" s="3" t="str">
        <f t="shared" si="31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2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0"/>
        <v/>
      </c>
      <c r="V269" s="3" t="str">
        <f t="shared" si="31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2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0"/>
        <v/>
      </c>
      <c r="V270" s="3" t="str">
        <f t="shared" si="31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2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0"/>
        <v/>
      </c>
      <c r="V271" s="3" t="str">
        <f t="shared" si="31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2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0"/>
        <v/>
      </c>
      <c r="V272" s="3" t="str">
        <f t="shared" si="31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2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0"/>
        <v/>
      </c>
      <c r="V273" s="3" t="str">
        <f t="shared" si="31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2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0"/>
        <v/>
      </c>
      <c r="V274" s="3" t="str">
        <f t="shared" si="31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2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0"/>
        <v/>
      </c>
      <c r="V275" s="3" t="str">
        <f t="shared" si="31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2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0"/>
        <v/>
      </c>
      <c r="V276" s="3" t="str">
        <f t="shared" si="31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2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0"/>
        <v/>
      </c>
      <c r="V277" s="3" t="str">
        <f t="shared" si="31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2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0"/>
        <v/>
      </c>
      <c r="V278" s="3" t="str">
        <f t="shared" si="31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2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0"/>
        <v/>
      </c>
      <c r="V279" s="3" t="str">
        <f t="shared" si="31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2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0"/>
        <v/>
      </c>
      <c r="V280" s="3" t="str">
        <f t="shared" si="31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2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0"/>
        <v/>
      </c>
      <c r="V281" s="3" t="str">
        <f t="shared" si="31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2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0"/>
        <v/>
      </c>
      <c r="V282" s="3" t="str">
        <f t="shared" si="31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2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0"/>
        <v/>
      </c>
      <c r="V283" s="3" t="str">
        <f t="shared" si="31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2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0"/>
        <v/>
      </c>
      <c r="V284" s="3" t="str">
        <f t="shared" si="31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2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0"/>
        <v/>
      </c>
      <c r="V285" s="3" t="str">
        <f t="shared" si="31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2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0"/>
        <v/>
      </c>
      <c r="V286" s="3" t="str">
        <f t="shared" si="31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2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0"/>
        <v/>
      </c>
      <c r="V287" s="3" t="str">
        <f t="shared" si="31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2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0"/>
        <v/>
      </c>
      <c r="V288" s="3" t="str">
        <f t="shared" si="31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2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0"/>
        <v/>
      </c>
      <c r="V289" s="3" t="str">
        <f t="shared" si="31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2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0"/>
        <v/>
      </c>
      <c r="V290" s="3" t="str">
        <f t="shared" si="31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2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0"/>
        <v/>
      </c>
      <c r="V291" s="3" t="str">
        <f t="shared" si="31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2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0"/>
        <v/>
      </c>
      <c r="V292" s="3" t="str">
        <f t="shared" si="31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2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0"/>
        <v/>
      </c>
      <c r="V293" s="3" t="str">
        <f t="shared" si="31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2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0"/>
        <v/>
      </c>
      <c r="V294" s="3" t="str">
        <f t="shared" si="31"/>
        <v/>
      </c>
      <c r="AD294" s="6" t="str">
        <f t="shared" si="32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0"/>
        <v/>
      </c>
      <c r="V295" s="3" t="str">
        <f t="shared" si="31"/>
        <v/>
      </c>
      <c r="AD295" s="6" t="str">
        <f t="shared" si="32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0"/>
        <v/>
      </c>
      <c r="V296" s="3" t="str">
        <f t="shared" si="31"/>
        <v/>
      </c>
      <c r="AD296" s="6" t="str">
        <f t="shared" si="32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0"/>
        <v/>
      </c>
      <c r="V297" s="3" t="str">
        <f t="shared" si="31"/>
        <v/>
      </c>
      <c r="AD297" s="6" t="str">
        <f t="shared" si="32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0"/>
        <v/>
      </c>
      <c r="V298" s="3" t="str">
        <f t="shared" si="31"/>
        <v/>
      </c>
      <c r="AD298" s="6" t="str">
        <f t="shared" si="32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0"/>
        <v/>
      </c>
      <c r="V299" s="3" t="str">
        <f t="shared" si="31"/>
        <v/>
      </c>
      <c r="AD299" s="6" t="str">
        <f t="shared" si="32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0"/>
        <v/>
      </c>
      <c r="V300" s="3" t="str">
        <f t="shared" si="31"/>
        <v/>
      </c>
      <c r="AD300" s="6" t="str">
        <f t="shared" si="32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0"/>
        <v/>
      </c>
      <c r="V301" s="3" t="str">
        <f t="shared" si="31"/>
        <v/>
      </c>
      <c r="AD301" s="6" t="str">
        <f t="shared" si="32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0"/>
        <v/>
      </c>
      <c r="V302" s="3" t="str">
        <f t="shared" si="31"/>
        <v/>
      </c>
      <c r="AD302" s="6" t="str">
        <f t="shared" si="32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0"/>
        <v/>
      </c>
      <c r="V303" s="3" t="str">
        <f t="shared" si="31"/>
        <v/>
      </c>
      <c r="AD303" s="6" t="str">
        <f t="shared" si="32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0"/>
        <v/>
      </c>
      <c r="V304" s="3" t="str">
        <f t="shared" si="31"/>
        <v/>
      </c>
      <c r="AD304" s="6" t="str">
        <f t="shared" si="32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0"/>
        <v/>
      </c>
      <c r="V305" s="3" t="str">
        <f t="shared" si="31"/>
        <v/>
      </c>
      <c r="AD305" s="6" t="str">
        <f t="shared" si="32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0"/>
        <v/>
      </c>
      <c r="V306" s="3" t="str">
        <f t="shared" si="31"/>
        <v/>
      </c>
      <c r="AD306" s="6" t="str">
        <f t="shared" si="32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0"/>
        <v/>
      </c>
      <c r="V307" s="3" t="str">
        <f t="shared" si="31"/>
        <v/>
      </c>
      <c r="AD307" s="6" t="str">
        <f t="shared" si="32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0"/>
        <v/>
      </c>
      <c r="V308" s="3" t="str">
        <f t="shared" si="31"/>
        <v/>
      </c>
      <c r="AD308" s="6" t="str">
        <f t="shared" si="32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0"/>
        <v/>
      </c>
      <c r="V309" s="3" t="str">
        <f t="shared" si="31"/>
        <v/>
      </c>
      <c r="AD309" s="6" t="str">
        <f t="shared" si="32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0"/>
        <v/>
      </c>
      <c r="V310" s="3" t="str">
        <f t="shared" si="31"/>
        <v/>
      </c>
      <c r="AD310" s="6" t="str">
        <f t="shared" si="32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0"/>
        <v/>
      </c>
      <c r="V311" s="3" t="str">
        <f t="shared" si="31"/>
        <v/>
      </c>
      <c r="AD311" s="6" t="str">
        <f t="shared" si="32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0"/>
        <v/>
      </c>
      <c r="V312" s="3" t="str">
        <f t="shared" si="31"/>
        <v/>
      </c>
      <c r="AD312" s="6" t="str">
        <f t="shared" si="32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0"/>
        <v/>
      </c>
      <c r="V313" s="3" t="str">
        <f t="shared" si="31"/>
        <v/>
      </c>
      <c r="AD313" s="6" t="str">
        <f t="shared" si="32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0"/>
        <v/>
      </c>
      <c r="V314" s="3" t="str">
        <f t="shared" si="31"/>
        <v/>
      </c>
      <c r="AD314" s="6" t="str">
        <f t="shared" si="32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0"/>
        <v/>
      </c>
      <c r="V315" s="3" t="str">
        <f t="shared" si="31"/>
        <v/>
      </c>
      <c r="AD315" s="6" t="str">
        <f t="shared" si="32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0"/>
        <v/>
      </c>
      <c r="V316" s="3" t="str">
        <f t="shared" si="31"/>
        <v/>
      </c>
      <c r="AD316" s="6" t="str">
        <f t="shared" si="32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0"/>
        <v/>
      </c>
      <c r="V317" s="3" t="str">
        <f t="shared" si="31"/>
        <v/>
      </c>
      <c r="AD317" s="6" t="str">
        <f t="shared" si="32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0"/>
        <v/>
      </c>
      <c r="V318" s="3" t="str">
        <f t="shared" si="31"/>
        <v/>
      </c>
      <c r="AD318" s="6" t="str">
        <f t="shared" si="32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0"/>
        <v/>
      </c>
      <c r="V319" s="3" t="str">
        <f t="shared" si="31"/>
        <v/>
      </c>
      <c r="AD319" s="6" t="str">
        <f t="shared" si="32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0"/>
        <v/>
      </c>
      <c r="V320" s="3" t="str">
        <f t="shared" si="31"/>
        <v/>
      </c>
      <c r="AD320" s="6" t="str">
        <f t="shared" si="32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0"/>
        <v/>
      </c>
      <c r="V321" s="3" t="str">
        <f t="shared" si="31"/>
        <v/>
      </c>
      <c r="AD321" s="6" t="str">
        <f t="shared" si="32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0"/>
        <v/>
      </c>
      <c r="V322" s="3" t="str">
        <f t="shared" si="31"/>
        <v/>
      </c>
      <c r="AD322" s="6" t="str">
        <f t="shared" si="32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0"/>
        <v/>
      </c>
      <c r="V323" s="3" t="str">
        <f t="shared" si="31"/>
        <v/>
      </c>
      <c r="AD323" s="6" t="str">
        <f t="shared" si="32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3">IF(COUNTIF(Q:Q,O324)*COUNTIF(S:S,O324),O324,"")</f>
        <v/>
      </c>
      <c r="V324" s="3" t="str">
        <f t="shared" ref="V324:V387" si="34">IF(U324&gt;$A$14,U324,"")</f>
        <v/>
      </c>
      <c r="AD324" s="6" t="str">
        <f t="shared" ref="AD324:AD387" si="35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3"/>
        <v/>
      </c>
      <c r="V325" s="3" t="str">
        <f t="shared" si="34"/>
        <v/>
      </c>
      <c r="AD325" s="6" t="str">
        <f t="shared" si="35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3"/>
        <v/>
      </c>
      <c r="V326" s="3" t="str">
        <f t="shared" si="34"/>
        <v/>
      </c>
      <c r="AD326" s="6" t="str">
        <f t="shared" si="35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3"/>
        <v/>
      </c>
      <c r="V327" s="3" t="str">
        <f t="shared" si="34"/>
        <v/>
      </c>
      <c r="AD327" s="6" t="str">
        <f t="shared" si="35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3"/>
        <v/>
      </c>
      <c r="V328" s="3" t="str">
        <f t="shared" si="34"/>
        <v/>
      </c>
      <c r="AD328" s="6" t="str">
        <f t="shared" si="35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3"/>
        <v/>
      </c>
      <c r="V329" s="3" t="str">
        <f t="shared" si="34"/>
        <v/>
      </c>
      <c r="AD329" s="6" t="str">
        <f t="shared" si="35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3"/>
        <v/>
      </c>
      <c r="V330" s="3" t="str">
        <f t="shared" si="34"/>
        <v/>
      </c>
      <c r="AD330" s="6" t="str">
        <f t="shared" si="35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3"/>
        <v/>
      </c>
      <c r="V331" s="3" t="str">
        <f t="shared" si="34"/>
        <v/>
      </c>
      <c r="AD331" s="6" t="str">
        <f t="shared" si="35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3"/>
        <v/>
      </c>
      <c r="V332" s="3" t="str">
        <f t="shared" si="34"/>
        <v/>
      </c>
      <c r="AD332" s="6" t="str">
        <f t="shared" si="35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3"/>
        <v/>
      </c>
      <c r="V333" s="3" t="str">
        <f t="shared" si="34"/>
        <v/>
      </c>
      <c r="AD333" s="6" t="str">
        <f t="shared" si="35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3"/>
        <v/>
      </c>
      <c r="V334" s="3" t="str">
        <f t="shared" si="34"/>
        <v/>
      </c>
      <c r="AD334" s="6" t="str">
        <f t="shared" si="35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3"/>
        <v/>
      </c>
      <c r="V335" s="3" t="str">
        <f t="shared" si="34"/>
        <v/>
      </c>
      <c r="AD335" s="6" t="str">
        <f t="shared" si="35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3"/>
        <v/>
      </c>
      <c r="V336" s="3" t="str">
        <f t="shared" si="34"/>
        <v/>
      </c>
      <c r="AD336" s="6" t="str">
        <f t="shared" si="35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3"/>
        <v/>
      </c>
      <c r="V337" s="3" t="str">
        <f t="shared" si="34"/>
        <v/>
      </c>
      <c r="AD337" s="6" t="str">
        <f t="shared" si="35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3"/>
        <v/>
      </c>
      <c r="V338" s="3" t="str">
        <f t="shared" si="34"/>
        <v/>
      </c>
      <c r="AD338" s="6" t="str">
        <f t="shared" si="35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3"/>
        <v/>
      </c>
      <c r="V339" s="3" t="str">
        <f t="shared" si="34"/>
        <v/>
      </c>
      <c r="AD339" s="6" t="str">
        <f t="shared" si="35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3"/>
        <v/>
      </c>
      <c r="V340" s="3" t="str">
        <f t="shared" si="34"/>
        <v/>
      </c>
      <c r="AD340" s="6" t="str">
        <f t="shared" si="35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3"/>
        <v/>
      </c>
      <c r="V341" s="3" t="str">
        <f t="shared" si="34"/>
        <v/>
      </c>
      <c r="AD341" s="6" t="str">
        <f t="shared" si="35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3"/>
        <v/>
      </c>
      <c r="V342" s="3" t="str">
        <f t="shared" si="34"/>
        <v/>
      </c>
      <c r="AD342" s="6" t="str">
        <f t="shared" si="35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3"/>
        <v/>
      </c>
      <c r="V343" s="3" t="str">
        <f t="shared" si="34"/>
        <v/>
      </c>
      <c r="AD343" s="6" t="str">
        <f t="shared" si="35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3"/>
        <v/>
      </c>
      <c r="V344" s="3" t="str">
        <f t="shared" si="34"/>
        <v/>
      </c>
      <c r="AD344" s="6" t="str">
        <f t="shared" si="35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3"/>
        <v/>
      </c>
      <c r="V345" s="3" t="str">
        <f t="shared" si="34"/>
        <v/>
      </c>
      <c r="AD345" s="6" t="str">
        <f t="shared" si="35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3"/>
        <v/>
      </c>
      <c r="V346" s="3" t="str">
        <f t="shared" si="34"/>
        <v/>
      </c>
      <c r="AD346" s="6" t="str">
        <f t="shared" si="35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3"/>
        <v/>
      </c>
      <c r="V347" s="3" t="str">
        <f t="shared" si="34"/>
        <v/>
      </c>
      <c r="AD347" s="6" t="str">
        <f t="shared" si="35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3"/>
        <v/>
      </c>
      <c r="V348" s="3" t="str">
        <f t="shared" si="34"/>
        <v/>
      </c>
      <c r="AD348" s="6" t="str">
        <f t="shared" si="35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3"/>
        <v/>
      </c>
      <c r="V349" s="3" t="str">
        <f t="shared" si="34"/>
        <v/>
      </c>
      <c r="AD349" s="6" t="str">
        <f t="shared" si="35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3"/>
        <v/>
      </c>
      <c r="V350" s="3" t="str">
        <f t="shared" si="34"/>
        <v/>
      </c>
      <c r="AD350" s="6" t="str">
        <f t="shared" si="35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3"/>
        <v/>
      </c>
      <c r="V351" s="3" t="str">
        <f t="shared" si="34"/>
        <v/>
      </c>
      <c r="AD351" s="6" t="str">
        <f t="shared" si="35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3"/>
        <v/>
      </c>
      <c r="V352" s="3" t="str">
        <f t="shared" si="34"/>
        <v/>
      </c>
      <c r="AD352" s="6" t="str">
        <f t="shared" si="35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3"/>
        <v/>
      </c>
      <c r="V353" s="3" t="str">
        <f t="shared" si="34"/>
        <v/>
      </c>
      <c r="AD353" s="6" t="str">
        <f t="shared" si="35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3"/>
        <v/>
      </c>
      <c r="V354" s="3" t="str">
        <f t="shared" si="34"/>
        <v/>
      </c>
      <c r="AD354" s="6" t="str">
        <f t="shared" si="35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3"/>
        <v/>
      </c>
      <c r="V355" s="3" t="str">
        <f t="shared" si="34"/>
        <v/>
      </c>
      <c r="AD355" s="6" t="str">
        <f t="shared" si="35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3"/>
        <v/>
      </c>
      <c r="V356" s="3" t="str">
        <f t="shared" si="34"/>
        <v/>
      </c>
      <c r="AD356" s="6" t="str">
        <f t="shared" si="35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3"/>
        <v/>
      </c>
      <c r="V357" s="3" t="str">
        <f t="shared" si="34"/>
        <v/>
      </c>
      <c r="AD357" s="6" t="str">
        <f t="shared" si="35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3"/>
        <v/>
      </c>
      <c r="V358" s="3" t="str">
        <f t="shared" si="34"/>
        <v/>
      </c>
      <c r="AD358" s="6" t="str">
        <f t="shared" si="35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3"/>
        <v/>
      </c>
      <c r="V359" s="3" t="str">
        <f t="shared" si="34"/>
        <v/>
      </c>
      <c r="AD359" s="6" t="str">
        <f t="shared" si="35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3"/>
        <v/>
      </c>
      <c r="V360" s="3" t="str">
        <f t="shared" si="34"/>
        <v/>
      </c>
      <c r="AD360" s="6" t="str">
        <f t="shared" si="35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3"/>
        <v/>
      </c>
      <c r="V361" s="3" t="str">
        <f t="shared" si="34"/>
        <v/>
      </c>
      <c r="AD361" s="6" t="str">
        <f t="shared" si="35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3"/>
        <v/>
      </c>
      <c r="V362" s="3" t="str">
        <f t="shared" si="34"/>
        <v/>
      </c>
      <c r="AD362" s="6" t="str">
        <f t="shared" si="35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3"/>
        <v/>
      </c>
      <c r="V363" s="3" t="str">
        <f t="shared" si="34"/>
        <v/>
      </c>
      <c r="AD363" s="6" t="str">
        <f t="shared" si="35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3"/>
        <v/>
      </c>
      <c r="V364" s="3" t="str">
        <f t="shared" si="34"/>
        <v/>
      </c>
      <c r="AD364" s="6" t="str">
        <f t="shared" si="35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3"/>
        <v/>
      </c>
      <c r="V365" s="3" t="str">
        <f t="shared" si="34"/>
        <v/>
      </c>
      <c r="AD365" s="6" t="str">
        <f t="shared" si="35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3"/>
        <v/>
      </c>
      <c r="V366" s="3" t="str">
        <f t="shared" si="34"/>
        <v/>
      </c>
      <c r="AD366" s="6" t="str">
        <f t="shared" si="35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3"/>
        <v/>
      </c>
      <c r="V367" s="3" t="str">
        <f t="shared" si="34"/>
        <v/>
      </c>
      <c r="AD367" s="6" t="str">
        <f t="shared" si="35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3"/>
        <v/>
      </c>
      <c r="V368" s="3" t="str">
        <f t="shared" si="34"/>
        <v/>
      </c>
      <c r="AD368" s="6" t="str">
        <f t="shared" si="35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3"/>
        <v/>
      </c>
      <c r="V369" s="3" t="str">
        <f t="shared" si="34"/>
        <v/>
      </c>
      <c r="AD369" s="6" t="str">
        <f t="shared" si="35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3"/>
        <v/>
      </c>
      <c r="V370" s="3" t="str">
        <f t="shared" si="34"/>
        <v/>
      </c>
      <c r="AD370" s="6" t="str">
        <f t="shared" si="35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3"/>
        <v/>
      </c>
      <c r="V371" s="3" t="str">
        <f t="shared" si="34"/>
        <v/>
      </c>
      <c r="AD371" s="6" t="str">
        <f t="shared" si="35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3"/>
        <v/>
      </c>
      <c r="V372" s="3" t="str">
        <f t="shared" si="34"/>
        <v/>
      </c>
      <c r="AD372" s="6" t="str">
        <f t="shared" si="35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3"/>
        <v/>
      </c>
      <c r="V373" s="3" t="str">
        <f t="shared" si="34"/>
        <v/>
      </c>
      <c r="AD373" s="6" t="str">
        <f t="shared" si="35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3"/>
        <v/>
      </c>
      <c r="V374" s="3" t="str">
        <f t="shared" si="34"/>
        <v/>
      </c>
      <c r="AD374" s="6" t="str">
        <f t="shared" si="35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3"/>
        <v/>
      </c>
      <c r="V375" s="3" t="str">
        <f t="shared" si="34"/>
        <v/>
      </c>
      <c r="AD375" s="6" t="str">
        <f t="shared" si="35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3"/>
        <v/>
      </c>
      <c r="V376" s="3" t="str">
        <f t="shared" si="34"/>
        <v/>
      </c>
      <c r="AD376" s="6" t="str">
        <f t="shared" si="35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3"/>
        <v/>
      </c>
      <c r="V377" s="3" t="str">
        <f t="shared" si="34"/>
        <v/>
      </c>
      <c r="AD377" s="6" t="str">
        <f t="shared" si="35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3"/>
        <v/>
      </c>
      <c r="V378" s="3" t="str">
        <f t="shared" si="34"/>
        <v/>
      </c>
      <c r="AD378" s="6" t="str">
        <f t="shared" si="35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3"/>
        <v/>
      </c>
      <c r="V379" s="3" t="str">
        <f t="shared" si="34"/>
        <v/>
      </c>
      <c r="AD379" s="6" t="str">
        <f t="shared" si="35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3"/>
        <v/>
      </c>
      <c r="V380" s="3" t="str">
        <f t="shared" si="34"/>
        <v/>
      </c>
      <c r="AD380" s="6" t="str">
        <f t="shared" si="35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3"/>
        <v/>
      </c>
      <c r="V381" s="3" t="str">
        <f t="shared" si="34"/>
        <v/>
      </c>
      <c r="AD381" s="6" t="str">
        <f t="shared" si="35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3"/>
        <v/>
      </c>
      <c r="V382" s="3" t="str">
        <f t="shared" si="34"/>
        <v/>
      </c>
      <c r="AD382" s="6" t="str">
        <f t="shared" si="35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3"/>
        <v/>
      </c>
      <c r="V383" s="3" t="str">
        <f t="shared" si="34"/>
        <v/>
      </c>
      <c r="AD383" s="6" t="str">
        <f t="shared" si="35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3"/>
        <v/>
      </c>
      <c r="V384" s="3" t="str">
        <f t="shared" si="34"/>
        <v/>
      </c>
      <c r="AD384" s="6" t="str">
        <f t="shared" si="35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3"/>
        <v/>
      </c>
      <c r="V385" s="3" t="str">
        <f t="shared" si="34"/>
        <v/>
      </c>
      <c r="AD385" s="6" t="str">
        <f t="shared" si="35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3"/>
        <v/>
      </c>
      <c r="V386" s="3" t="str">
        <f t="shared" si="34"/>
        <v/>
      </c>
      <c r="AD386" s="6" t="str">
        <f t="shared" si="35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3"/>
        <v/>
      </c>
      <c r="V387" s="3" t="str">
        <f t="shared" si="34"/>
        <v/>
      </c>
      <c r="AD387" s="6" t="str">
        <f t="shared" si="35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6">IF(COUNTIF(Q:Q,O388)*COUNTIF(S:S,O388),O388,"")</f>
        <v/>
      </c>
      <c r="V388" s="3" t="str">
        <f t="shared" ref="V388:V451" si="37">IF(U388&gt;$A$14,U388,"")</f>
        <v/>
      </c>
      <c r="AD388" s="6" t="str">
        <f t="shared" ref="AD388:AD421" si="38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6"/>
        <v/>
      </c>
      <c r="V389" s="3" t="str">
        <f t="shared" si="37"/>
        <v/>
      </c>
      <c r="AD389" s="6" t="str">
        <f t="shared" si="38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6"/>
        <v/>
      </c>
      <c r="V390" s="3" t="str">
        <f t="shared" si="37"/>
        <v/>
      </c>
      <c r="AD390" s="6" t="str">
        <f t="shared" si="38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6"/>
        <v/>
      </c>
      <c r="V391" s="3" t="str">
        <f t="shared" si="37"/>
        <v/>
      </c>
      <c r="AD391" s="6" t="str">
        <f t="shared" si="38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6"/>
        <v/>
      </c>
      <c r="V392" s="3" t="str">
        <f t="shared" si="37"/>
        <v/>
      </c>
      <c r="AD392" s="6" t="str">
        <f t="shared" si="38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6"/>
        <v/>
      </c>
      <c r="V393" s="3" t="str">
        <f t="shared" si="37"/>
        <v/>
      </c>
      <c r="AD393" s="6" t="str">
        <f t="shared" si="38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6"/>
        <v/>
      </c>
      <c r="V394" s="3" t="str">
        <f t="shared" si="37"/>
        <v/>
      </c>
      <c r="AD394" s="6" t="str">
        <f t="shared" si="38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6"/>
        <v/>
      </c>
      <c r="V395" s="3" t="str">
        <f t="shared" si="37"/>
        <v/>
      </c>
      <c r="AD395" s="6" t="str">
        <f t="shared" si="38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6"/>
        <v/>
      </c>
      <c r="V396" s="3" t="str">
        <f t="shared" si="37"/>
        <v/>
      </c>
      <c r="AD396" s="6" t="str">
        <f t="shared" si="38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6"/>
        <v/>
      </c>
      <c r="V397" s="3" t="str">
        <f t="shared" si="37"/>
        <v/>
      </c>
      <c r="AD397" s="6" t="str">
        <f t="shared" si="38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6"/>
        <v/>
      </c>
      <c r="V398" s="3" t="str">
        <f t="shared" si="37"/>
        <v/>
      </c>
      <c r="AD398" s="6" t="str">
        <f t="shared" si="38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6"/>
        <v/>
      </c>
      <c r="V399" s="3" t="str">
        <f t="shared" si="37"/>
        <v/>
      </c>
      <c r="AD399" s="6" t="str">
        <f t="shared" si="38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6"/>
        <v/>
      </c>
      <c r="V400" s="3" t="str">
        <f t="shared" si="37"/>
        <v/>
      </c>
      <c r="AD400" s="6" t="str">
        <f t="shared" si="38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6"/>
        <v/>
      </c>
      <c r="V401" s="3" t="str">
        <f t="shared" si="37"/>
        <v/>
      </c>
      <c r="AD401" s="6" t="str">
        <f t="shared" si="38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6"/>
        <v/>
      </c>
      <c r="V402" s="3" t="str">
        <f t="shared" si="37"/>
        <v/>
      </c>
      <c r="AD402" s="6" t="str">
        <f t="shared" si="38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6"/>
        <v/>
      </c>
      <c r="V403" s="3" t="str">
        <f t="shared" si="37"/>
        <v/>
      </c>
      <c r="AD403" s="6" t="str">
        <f t="shared" si="38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6"/>
        <v/>
      </c>
      <c r="V404" s="3" t="str">
        <f t="shared" si="37"/>
        <v/>
      </c>
      <c r="AD404" s="6" t="str">
        <f t="shared" si="38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6"/>
        <v/>
      </c>
      <c r="V405" s="3" t="str">
        <f t="shared" si="37"/>
        <v/>
      </c>
      <c r="AD405" s="6" t="str">
        <f t="shared" si="38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6"/>
        <v/>
      </c>
      <c r="V406" s="3" t="str">
        <f t="shared" si="37"/>
        <v/>
      </c>
      <c r="AD406" s="6" t="str">
        <f t="shared" si="38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6"/>
        <v/>
      </c>
      <c r="V407" s="3" t="str">
        <f t="shared" si="37"/>
        <v/>
      </c>
      <c r="AD407" s="6" t="str">
        <f t="shared" si="38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6"/>
        <v/>
      </c>
      <c r="V408" s="3" t="str">
        <f t="shared" si="37"/>
        <v/>
      </c>
      <c r="AD408" s="6" t="str">
        <f t="shared" si="38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6"/>
        <v/>
      </c>
      <c r="V409" s="3" t="str">
        <f t="shared" si="37"/>
        <v/>
      </c>
      <c r="AD409" s="6" t="str">
        <f t="shared" si="38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6"/>
        <v/>
      </c>
      <c r="V410" s="3" t="str">
        <f t="shared" si="37"/>
        <v/>
      </c>
      <c r="AD410" s="6" t="str">
        <f t="shared" si="38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6"/>
        <v/>
      </c>
      <c r="V411" s="3" t="str">
        <f t="shared" si="37"/>
        <v/>
      </c>
      <c r="AD411" s="6" t="str">
        <f t="shared" si="38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6"/>
        <v/>
      </c>
      <c r="V412" s="3" t="str">
        <f t="shared" si="37"/>
        <v/>
      </c>
      <c r="AD412" s="6" t="str">
        <f t="shared" si="38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6"/>
        <v/>
      </c>
      <c r="V413" s="3" t="str">
        <f t="shared" si="37"/>
        <v/>
      </c>
      <c r="AD413" s="6" t="str">
        <f t="shared" si="38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6"/>
        <v/>
      </c>
      <c r="V414" s="3" t="str">
        <f t="shared" si="37"/>
        <v/>
      </c>
      <c r="AD414" s="6" t="str">
        <f t="shared" si="38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6"/>
        <v/>
      </c>
      <c r="V415" s="3" t="str">
        <f t="shared" si="37"/>
        <v/>
      </c>
      <c r="AD415" s="6" t="str">
        <f t="shared" si="38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6"/>
        <v/>
      </c>
      <c r="V416" s="3" t="str">
        <f t="shared" si="37"/>
        <v/>
      </c>
      <c r="AD416" s="6" t="str">
        <f t="shared" si="38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6"/>
        <v/>
      </c>
      <c r="V417" s="3" t="str">
        <f t="shared" si="37"/>
        <v/>
      </c>
      <c r="AD417" s="6" t="str">
        <f t="shared" si="38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6"/>
        <v/>
      </c>
      <c r="V418" s="3" t="str">
        <f t="shared" si="37"/>
        <v/>
      </c>
      <c r="AD418" s="6" t="str">
        <f t="shared" si="38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6"/>
        <v/>
      </c>
      <c r="V419" s="3" t="str">
        <f t="shared" si="37"/>
        <v/>
      </c>
      <c r="AD419" s="6" t="str">
        <f t="shared" si="38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6"/>
        <v/>
      </c>
      <c r="V420" s="3" t="str">
        <f t="shared" si="37"/>
        <v/>
      </c>
      <c r="AD420" s="6" t="str">
        <f t="shared" si="38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6"/>
        <v/>
      </c>
      <c r="V421" s="3" t="str">
        <f t="shared" si="37"/>
        <v/>
      </c>
      <c r="AD421" s="6" t="str">
        <f t="shared" si="38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6"/>
        <v/>
      </c>
      <c r="V422" s="3" t="str">
        <f t="shared" si="37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6"/>
        <v/>
      </c>
      <c r="V423" s="3" t="str">
        <f t="shared" si="37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6"/>
        <v/>
      </c>
      <c r="V424" s="3" t="str">
        <f t="shared" si="37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6"/>
        <v/>
      </c>
      <c r="V425" s="3" t="str">
        <f t="shared" si="37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6"/>
        <v/>
      </c>
      <c r="V426" s="3" t="str">
        <f t="shared" si="37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6"/>
        <v/>
      </c>
      <c r="V427" s="3" t="str">
        <f t="shared" si="37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6"/>
        <v/>
      </c>
      <c r="V428" s="3" t="str">
        <f t="shared" si="37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6"/>
        <v/>
      </c>
      <c r="V429" s="3" t="str">
        <f t="shared" si="37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6"/>
        <v/>
      </c>
      <c r="V430" s="3" t="str">
        <f t="shared" si="37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6"/>
        <v/>
      </c>
      <c r="V431" s="3" t="str">
        <f t="shared" si="37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6"/>
        <v/>
      </c>
      <c r="V432" s="3" t="str">
        <f t="shared" si="37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6"/>
        <v/>
      </c>
      <c r="V433" s="3" t="str">
        <f t="shared" si="37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6"/>
        <v/>
      </c>
      <c r="V434" s="3" t="str">
        <f t="shared" si="37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6"/>
        <v/>
      </c>
      <c r="V435" s="3" t="str">
        <f t="shared" si="37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6"/>
        <v/>
      </c>
      <c r="V436" s="3" t="str">
        <f t="shared" si="37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6"/>
        <v/>
      </c>
      <c r="V437" s="3" t="str">
        <f t="shared" si="37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6"/>
        <v/>
      </c>
      <c r="V438" s="3" t="str">
        <f t="shared" si="37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6"/>
        <v/>
      </c>
      <c r="V439" s="3" t="str">
        <f t="shared" si="37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6"/>
        <v/>
      </c>
      <c r="V440" s="3" t="str">
        <f t="shared" si="37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6"/>
        <v/>
      </c>
      <c r="V441" s="3" t="str">
        <f t="shared" si="37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6"/>
        <v/>
      </c>
      <c r="V442" s="3" t="str">
        <f t="shared" si="37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6"/>
        <v/>
      </c>
      <c r="V443" s="3" t="str">
        <f t="shared" si="37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6"/>
        <v/>
      </c>
      <c r="V444" s="3" t="str">
        <f t="shared" si="37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6"/>
        <v/>
      </c>
      <c r="V445" s="3" t="str">
        <f t="shared" si="37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6"/>
        <v/>
      </c>
      <c r="V446" s="3" t="str">
        <f t="shared" si="37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6"/>
        <v/>
      </c>
      <c r="V447" s="3" t="str">
        <f t="shared" si="37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6"/>
        <v/>
      </c>
      <c r="V448" s="3" t="str">
        <f t="shared" si="37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6"/>
        <v/>
      </c>
      <c r="V449" s="3" t="str">
        <f t="shared" si="37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6"/>
        <v/>
      </c>
      <c r="V450" s="3" t="str">
        <f t="shared" si="37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6"/>
        <v/>
      </c>
      <c r="V451" s="3" t="str">
        <f t="shared" si="37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39">IF(COUNTIF(Q:Q,O452)*COUNTIF(S:S,O452),O452,"")</f>
        <v/>
      </c>
      <c r="V452" s="3" t="str">
        <f t="shared" ref="V452:V515" si="40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39"/>
        <v/>
      </c>
      <c r="V453" s="3" t="str">
        <f t="shared" si="40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39"/>
        <v/>
      </c>
      <c r="V454" s="3" t="str">
        <f t="shared" si="40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39"/>
        <v/>
      </c>
      <c r="V455" s="3" t="str">
        <f t="shared" si="40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39"/>
        <v/>
      </c>
      <c r="V456" s="3" t="str">
        <f t="shared" si="40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39"/>
        <v/>
      </c>
      <c r="V457" s="3" t="str">
        <f t="shared" si="40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39"/>
        <v/>
      </c>
      <c r="V458" s="3" t="str">
        <f t="shared" si="40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39"/>
        <v/>
      </c>
      <c r="V459" s="3" t="str">
        <f t="shared" si="40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39"/>
        <v/>
      </c>
      <c r="V460" s="3" t="str">
        <f t="shared" si="40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39"/>
        <v/>
      </c>
      <c r="V461" s="3" t="str">
        <f t="shared" si="40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39"/>
        <v/>
      </c>
      <c r="V462" s="3" t="str">
        <f t="shared" si="40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39"/>
        <v/>
      </c>
      <c r="V463" s="3" t="str">
        <f t="shared" si="40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39"/>
        <v/>
      </c>
      <c r="V464" s="3" t="str">
        <f t="shared" si="40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39"/>
        <v/>
      </c>
      <c r="V465" s="3" t="str">
        <f t="shared" si="40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39"/>
        <v/>
      </c>
      <c r="V466" s="3" t="str">
        <f t="shared" si="40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39"/>
        <v/>
      </c>
      <c r="V467" s="3" t="str">
        <f t="shared" si="40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39"/>
        <v/>
      </c>
      <c r="V468" s="3" t="str">
        <f t="shared" si="40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39"/>
        <v/>
      </c>
      <c r="V469" s="3" t="str">
        <f t="shared" si="40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39"/>
        <v/>
      </c>
      <c r="V470" s="3" t="str">
        <f t="shared" si="40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39"/>
        <v/>
      </c>
      <c r="V471" s="3" t="str">
        <f t="shared" si="40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39"/>
        <v/>
      </c>
      <c r="V472" s="3" t="str">
        <f t="shared" si="40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39"/>
        <v/>
      </c>
      <c r="V473" s="3" t="str">
        <f t="shared" si="40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39"/>
        <v/>
      </c>
      <c r="V474" s="3" t="str">
        <f t="shared" si="40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39"/>
        <v/>
      </c>
      <c r="V475" s="3" t="str">
        <f t="shared" si="40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39"/>
        <v/>
      </c>
      <c r="V476" s="3" t="str">
        <f t="shared" si="40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39"/>
        <v/>
      </c>
      <c r="V477" s="3" t="str">
        <f t="shared" si="40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39"/>
        <v/>
      </c>
      <c r="V478" s="3" t="str">
        <f t="shared" si="40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39"/>
        <v/>
      </c>
      <c r="V479" s="3" t="str">
        <f t="shared" si="40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39"/>
        <v/>
      </c>
      <c r="V480" s="3" t="str">
        <f t="shared" si="40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39"/>
        <v/>
      </c>
      <c r="V481" s="3" t="str">
        <f t="shared" si="40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39"/>
        <v/>
      </c>
      <c r="V482" s="3" t="str">
        <f t="shared" si="40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39"/>
        <v/>
      </c>
      <c r="V483" s="3" t="str">
        <f t="shared" si="40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39"/>
        <v/>
      </c>
      <c r="V484" s="3" t="str">
        <f t="shared" si="40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39"/>
        <v/>
      </c>
      <c r="V485" s="3" t="str">
        <f t="shared" si="40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39"/>
        <v/>
      </c>
      <c r="V486" s="3" t="str">
        <f t="shared" si="40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39"/>
        <v/>
      </c>
      <c r="V487" s="3" t="str">
        <f t="shared" si="40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39"/>
        <v/>
      </c>
      <c r="V488" s="3" t="str">
        <f t="shared" si="40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39"/>
        <v/>
      </c>
      <c r="V489" s="3" t="str">
        <f t="shared" si="40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39"/>
        <v/>
      </c>
      <c r="V490" s="3" t="str">
        <f t="shared" si="40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39"/>
        <v/>
      </c>
      <c r="V491" s="3" t="str">
        <f t="shared" si="40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39"/>
        <v/>
      </c>
      <c r="V492" s="3" t="str">
        <f t="shared" si="40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39"/>
        <v/>
      </c>
      <c r="V493" s="3" t="str">
        <f t="shared" si="40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39"/>
        <v/>
      </c>
      <c r="V494" s="3" t="str">
        <f t="shared" si="40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39"/>
        <v/>
      </c>
      <c r="V495" s="3" t="str">
        <f t="shared" si="40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39"/>
        <v/>
      </c>
      <c r="V496" s="3" t="str">
        <f t="shared" si="40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39"/>
        <v/>
      </c>
      <c r="V497" s="3" t="str">
        <f t="shared" si="40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39"/>
        <v/>
      </c>
      <c r="V498" s="3" t="str">
        <f t="shared" si="40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39"/>
        <v/>
      </c>
      <c r="V499" s="3" t="str">
        <f t="shared" si="40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39"/>
        <v/>
      </c>
      <c r="V500" s="3" t="str">
        <f t="shared" si="40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39"/>
        <v/>
      </c>
      <c r="V501" s="3" t="str">
        <f t="shared" si="40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39"/>
        <v/>
      </c>
      <c r="V502" s="3" t="str">
        <f t="shared" si="40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39"/>
        <v/>
      </c>
      <c r="V503" s="3" t="str">
        <f t="shared" si="40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39"/>
        <v/>
      </c>
      <c r="V504" s="3" t="str">
        <f t="shared" si="40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39"/>
        <v/>
      </c>
      <c r="V505" s="3" t="str">
        <f t="shared" si="40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39"/>
        <v/>
      </c>
      <c r="V506" s="3" t="str">
        <f t="shared" si="40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39"/>
        <v/>
      </c>
      <c r="V507" s="3" t="str">
        <f t="shared" si="40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39"/>
        <v/>
      </c>
      <c r="V508" s="3" t="str">
        <f t="shared" si="40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39"/>
        <v/>
      </c>
      <c r="V509" s="3" t="str">
        <f t="shared" si="40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39"/>
        <v/>
      </c>
      <c r="V510" s="3" t="str">
        <f t="shared" si="40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39"/>
        <v/>
      </c>
      <c r="V511" s="3" t="str">
        <f t="shared" si="40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39"/>
        <v/>
      </c>
      <c r="V512" s="3" t="str">
        <f t="shared" si="40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39"/>
        <v/>
      </c>
      <c r="V513" s="3" t="str">
        <f t="shared" si="40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39"/>
        <v/>
      </c>
      <c r="V514" s="3" t="str">
        <f t="shared" si="40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39"/>
        <v/>
      </c>
      <c r="V515" s="3" t="str">
        <f t="shared" si="40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1">IF(COUNTIF(Q:Q,O516)*COUNTIF(S:S,O516),O516,"")</f>
        <v/>
      </c>
      <c r="V516" s="3" t="str">
        <f t="shared" ref="V516:V567" si="42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1"/>
        <v/>
      </c>
      <c r="V517" s="3" t="str">
        <f t="shared" si="42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1"/>
        <v/>
      </c>
      <c r="V518" s="3" t="str">
        <f t="shared" si="42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1"/>
        <v/>
      </c>
      <c r="V519" s="3" t="str">
        <f t="shared" si="42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1"/>
        <v/>
      </c>
      <c r="V520" s="3" t="str">
        <f t="shared" si="42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1"/>
        <v/>
      </c>
      <c r="V521" s="3" t="str">
        <f t="shared" si="42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1"/>
        <v/>
      </c>
      <c r="V522" s="3" t="str">
        <f t="shared" si="42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1"/>
        <v/>
      </c>
      <c r="V523" s="3" t="str">
        <f t="shared" si="42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1"/>
        <v/>
      </c>
      <c r="V524" s="3" t="str">
        <f t="shared" si="42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1"/>
        <v/>
      </c>
      <c r="V525" s="3" t="str">
        <f t="shared" si="42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1"/>
        <v/>
      </c>
      <c r="V526" s="3" t="str">
        <f t="shared" si="42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1"/>
        <v/>
      </c>
      <c r="V527" s="3" t="str">
        <f t="shared" si="42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1"/>
        <v/>
      </c>
      <c r="V528" s="3" t="str">
        <f t="shared" si="42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1"/>
        <v/>
      </c>
      <c r="V529" s="3" t="str">
        <f t="shared" si="42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1"/>
        <v/>
      </c>
      <c r="V530" s="3" t="str">
        <f t="shared" si="42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1"/>
        <v/>
      </c>
      <c r="V531" s="3" t="str">
        <f t="shared" si="42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1"/>
        <v/>
      </c>
      <c r="V532" s="3" t="str">
        <f t="shared" si="42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1"/>
        <v/>
      </c>
      <c r="V533" s="3" t="str">
        <f t="shared" si="42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1"/>
        <v/>
      </c>
      <c r="V534" s="3" t="str">
        <f t="shared" si="42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1"/>
        <v/>
      </c>
      <c r="V535" s="3" t="str">
        <f t="shared" si="42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1"/>
        <v/>
      </c>
      <c r="V536" s="3" t="str">
        <f t="shared" si="42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1"/>
        <v/>
      </c>
      <c r="V537" s="3" t="str">
        <f t="shared" si="42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1"/>
        <v/>
      </c>
      <c r="V538" s="3" t="str">
        <f t="shared" si="42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1"/>
        <v/>
      </c>
      <c r="V539" s="3" t="str">
        <f t="shared" si="42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1"/>
        <v/>
      </c>
      <c r="V540" s="3" t="str">
        <f t="shared" si="42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1"/>
        <v/>
      </c>
      <c r="V541" s="3" t="str">
        <f t="shared" si="42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1"/>
        <v/>
      </c>
      <c r="V542" s="3" t="str">
        <f t="shared" si="42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1"/>
        <v/>
      </c>
      <c r="V543" s="3" t="str">
        <f t="shared" si="42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1"/>
        <v/>
      </c>
      <c r="V544" s="3" t="str">
        <f t="shared" si="42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1"/>
        <v/>
      </c>
      <c r="V545" s="3" t="str">
        <f t="shared" si="42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1"/>
        <v/>
      </c>
      <c r="V546" s="3" t="str">
        <f t="shared" si="42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1"/>
        <v/>
      </c>
      <c r="V547" s="3" t="str">
        <f t="shared" si="42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1"/>
        <v/>
      </c>
      <c r="V548" s="3" t="str">
        <f t="shared" si="42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1"/>
        <v/>
      </c>
      <c r="V549" s="3" t="str">
        <f t="shared" si="42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1"/>
        <v/>
      </c>
      <c r="V550" s="3" t="str">
        <f t="shared" si="42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1"/>
        <v/>
      </c>
      <c r="V551" s="3" t="str">
        <f t="shared" si="42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1"/>
        <v/>
      </c>
      <c r="V552" s="3" t="str">
        <f t="shared" si="42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1"/>
        <v/>
      </c>
      <c r="V553" s="3" t="str">
        <f t="shared" si="42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1"/>
        <v/>
      </c>
      <c r="V554" s="3" t="str">
        <f t="shared" si="42"/>
        <v/>
      </c>
    </row>
    <row r="555" spans="1:22" x14ac:dyDescent="0.25">
      <c r="U555" s="3" t="str">
        <f t="shared" si="41"/>
        <v/>
      </c>
      <c r="V555" s="3" t="str">
        <f t="shared" si="42"/>
        <v/>
      </c>
    </row>
    <row r="556" spans="1:22" x14ac:dyDescent="0.25">
      <c r="U556" s="3" t="str">
        <f t="shared" si="41"/>
        <v/>
      </c>
      <c r="V556" s="3" t="str">
        <f t="shared" si="42"/>
        <v/>
      </c>
    </row>
    <row r="557" spans="1:22" x14ac:dyDescent="0.25">
      <c r="U557" s="3" t="str">
        <f t="shared" si="41"/>
        <v/>
      </c>
      <c r="V557" s="3" t="str">
        <f t="shared" si="42"/>
        <v/>
      </c>
    </row>
    <row r="558" spans="1:22" x14ac:dyDescent="0.25">
      <c r="U558" s="3" t="str">
        <f t="shared" si="41"/>
        <v/>
      </c>
      <c r="V558" s="3" t="str">
        <f t="shared" si="42"/>
        <v/>
      </c>
    </row>
    <row r="559" spans="1:22" x14ac:dyDescent="0.25">
      <c r="U559" s="3" t="str">
        <f t="shared" si="41"/>
        <v/>
      </c>
      <c r="V559" s="3" t="str">
        <f t="shared" si="42"/>
        <v/>
      </c>
    </row>
    <row r="560" spans="1:22" x14ac:dyDescent="0.25">
      <c r="U560" s="3" t="str">
        <f t="shared" si="41"/>
        <v/>
      </c>
      <c r="V560" s="3" t="str">
        <f t="shared" si="42"/>
        <v/>
      </c>
    </row>
    <row r="561" spans="21:22" x14ac:dyDescent="0.25">
      <c r="U561" s="3" t="str">
        <f t="shared" si="41"/>
        <v/>
      </c>
      <c r="V561" s="3" t="str">
        <f t="shared" si="42"/>
        <v/>
      </c>
    </row>
    <row r="562" spans="21:22" x14ac:dyDescent="0.25">
      <c r="U562" s="3" t="str">
        <f t="shared" si="41"/>
        <v/>
      </c>
      <c r="V562" s="3" t="str">
        <f t="shared" si="42"/>
        <v/>
      </c>
    </row>
    <row r="563" spans="21:22" x14ac:dyDescent="0.25">
      <c r="U563" s="3" t="str">
        <f t="shared" si="41"/>
        <v/>
      </c>
      <c r="V563" s="3" t="str">
        <f t="shared" si="42"/>
        <v/>
      </c>
    </row>
    <row r="564" spans="21:22" x14ac:dyDescent="0.25">
      <c r="U564" s="3" t="str">
        <f t="shared" si="41"/>
        <v/>
      </c>
      <c r="V564" s="3" t="str">
        <f t="shared" si="42"/>
        <v/>
      </c>
    </row>
    <row r="565" spans="21:22" x14ac:dyDescent="0.25">
      <c r="U565" s="3" t="str">
        <f t="shared" si="41"/>
        <v/>
      </c>
      <c r="V565" s="3" t="str">
        <f t="shared" si="42"/>
        <v/>
      </c>
    </row>
    <row r="566" spans="21:22" x14ac:dyDescent="0.25">
      <c r="U566" s="3" t="str">
        <f t="shared" si="41"/>
        <v/>
      </c>
      <c r="V566" s="3" t="str">
        <f t="shared" si="42"/>
        <v/>
      </c>
    </row>
    <row r="567" spans="21:22" x14ac:dyDescent="0.25">
      <c r="U567" s="3" t="str">
        <f t="shared" si="41"/>
        <v/>
      </c>
      <c r="V567" s="3" t="str">
        <f t="shared" si="42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4 N50:N100 N116:N1048576">
    <cfRule type="cellIs" dxfId="1" priority="1" operator="lessThan">
      <formula>0</formula>
    </cfRule>
  </conditionalFormatting>
  <hyperlinks>
    <hyperlink ref="C4" r:id="rId1" xr:uid="{6C4C57D9-4726-441F-9EAB-7E3358A8344E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CF79-EBAC-4D1D-BC42-EA7D209C209A}">
  <dimension ref="A1:AI569"/>
  <sheetViews>
    <sheetView zoomScale="90" zoomScaleNormal="90" workbookViewId="0">
      <selection activeCell="O3" sqref="O3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6" bestFit="1" customWidth="1"/>
    <col min="5" max="5" width="7.140625" style="4" bestFit="1" customWidth="1"/>
    <col min="6" max="6" width="8.7109375" style="4" bestFit="1" customWidth="1"/>
    <col min="7" max="7" width="10.5703125" style="4" bestFit="1" customWidth="1"/>
    <col min="8" max="8" width="18" style="4" bestFit="1" customWidth="1"/>
    <col min="9" max="9" width="7.14062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2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46198.625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F2" s="12"/>
      <c r="G2" s="13" t="s">
        <v>4</v>
      </c>
      <c r="H2" s="2">
        <f>B5/B14</f>
        <v>329091.7068889864</v>
      </c>
      <c r="I2" s="1"/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59">_xlfn.UNIQUE(V:V)</f>
        <v>0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7</v>
      </c>
      <c r="C3" s="18" t="s">
        <v>8</v>
      </c>
      <c r="D3" s="8" t="s">
        <v>9</v>
      </c>
      <c r="H3" s="4" t="s">
        <v>10</v>
      </c>
      <c r="N3" s="4"/>
      <c r="O3" s="3" cm="1">
        <f t="array" ref="O3:P104">_xll.BDH(B4, "LAST_PRICE", "01/26/2026 15:00:00", "01/26/2035 16:00:00", "BarSize=60", "BarType=T", "RecurDaily=True", "TZ=London")</f>
        <v>46048.625</v>
      </c>
      <c r="P3" s="4">
        <v>93.62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46048.625</v>
      </c>
      <c r="V3" s="3" t="str">
        <f>IF(U3&gt;$A$14,U3,"")</f>
        <v/>
      </c>
      <c r="W3" s="3" t="str">
        <v/>
      </c>
      <c r="Z3" s="3" cm="1">
        <f t="array" ref="Z3:AA293">_xll.BDH(D1, "LAST_PRICE", "05/01/2025","")</f>
        <v>45778</v>
      </c>
      <c r="AA3" s="4">
        <v>231.3922</v>
      </c>
      <c r="AB3" s="6" cm="1">
        <f t="array" ref="AB3:AC293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3" t="s">
        <v>13</v>
      </c>
      <c r="C4" s="24" t="s">
        <v>14</v>
      </c>
      <c r="D4" s="23" t="s">
        <v>15</v>
      </c>
      <c r="H4" s="6">
        <v>46100</v>
      </c>
      <c r="I4" s="4" t="s">
        <v>7</v>
      </c>
      <c r="J4" s="4">
        <v>2.3302999999999998</v>
      </c>
      <c r="N4" s="4"/>
      <c r="O4" s="3">
        <v>46049.625</v>
      </c>
      <c r="P4" s="4">
        <v>93.74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46049.625</v>
      </c>
      <c r="V4" s="3" t="str">
        <f t="shared" ref="V4:V67" si="1">IF(U4&gt;$A$14,U4,"")</f>
        <v/>
      </c>
      <c r="W4" s="3">
        <v>46114.625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6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0</v>
      </c>
    </row>
    <row r="5" spans="1:32" x14ac:dyDescent="0.25">
      <c r="A5" s="17" t="s">
        <v>17</v>
      </c>
      <c r="B5" s="25">
        <f>30*10^6</f>
        <v>30000000</v>
      </c>
      <c r="C5" s="26">
        <f>26*10^6</f>
        <v>26000000</v>
      </c>
      <c r="D5" s="25">
        <f>18.7*10^6</f>
        <v>18700000</v>
      </c>
      <c r="N5" s="4"/>
      <c r="O5" s="3">
        <v>46050.625</v>
      </c>
      <c r="P5" s="4">
        <v>93.63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46050.625</v>
      </c>
      <c r="V5" s="3" t="str">
        <f t="shared" si="1"/>
        <v/>
      </c>
      <c r="W5" s="3">
        <v>46119.625</v>
      </c>
      <c r="X5" s="3">
        <v>46045</v>
      </c>
      <c r="Y5" s="5">
        <v>263.94619999999998</v>
      </c>
      <c r="Z5" s="3">
        <v>45783</v>
      </c>
      <c r="AA5" s="4">
        <v>232.7954</v>
      </c>
      <c r="AB5" s="6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7">
        <v>0</v>
      </c>
      <c r="C6" s="28">
        <v>2.4E-2</v>
      </c>
      <c r="D6" s="29">
        <v>0.05</v>
      </c>
      <c r="N6" s="4"/>
      <c r="O6" s="3">
        <v>46051.625</v>
      </c>
      <c r="P6" s="4">
        <v>93.53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46051.625</v>
      </c>
      <c r="V6" s="3" t="str">
        <f t="shared" si="1"/>
        <v/>
      </c>
      <c r="W6" s="3">
        <v>46120.625</v>
      </c>
      <c r="X6" s="3">
        <v>46048</v>
      </c>
      <c r="Y6" s="5">
        <v>264.02949999999998</v>
      </c>
      <c r="Z6" s="3">
        <v>45784</v>
      </c>
      <c r="AA6" s="4">
        <v>232.8287</v>
      </c>
      <c r="AB6" s="6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8" cm="1">
        <f t="array" ref="B7">_xll.BDP("EURR002W INDEX","PX_LAST")/100+0.25/100</f>
        <v>2.6499999999999999E-2</v>
      </c>
      <c r="C7" s="28" cm="1">
        <f t="array" ref="C7">_xll.BDP("EURR002W INDEX","PX_LAST")/100</f>
        <v>2.4E-2</v>
      </c>
      <c r="D7" s="29">
        <v>0</v>
      </c>
      <c r="E7" s="1"/>
      <c r="H7" s="1"/>
      <c r="J7" s="1"/>
      <c r="N7" s="4"/>
      <c r="O7" s="3">
        <v>46052.625</v>
      </c>
      <c r="P7" s="4">
        <v>93.62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46052.625</v>
      </c>
      <c r="V7" s="3" t="str">
        <f t="shared" si="1"/>
        <v/>
      </c>
      <c r="W7" s="3">
        <v>46121.625</v>
      </c>
      <c r="X7" s="3">
        <v>46049</v>
      </c>
      <c r="Y7" s="5">
        <v>264.17689999999999</v>
      </c>
      <c r="Z7" s="3">
        <v>45785</v>
      </c>
      <c r="AA7" s="4">
        <v>233.9237</v>
      </c>
      <c r="AB7" s="6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46055.625</v>
      </c>
      <c r="P8" s="4">
        <v>93.64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46055.625</v>
      </c>
      <c r="V8" s="3" t="str">
        <f t="shared" si="1"/>
        <v/>
      </c>
      <c r="W8" s="3">
        <v>46122.625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6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30" cm="1">
        <f t="array" ref="B9">_xll.BDP(B4,"PX_LAST")</f>
        <v>91.16</v>
      </c>
      <c r="C9" s="30" cm="1">
        <f t="array" ref="C9">_xll.BDP(C4,"PX_LAST")</f>
        <v>99.747</v>
      </c>
      <c r="D9" s="30" cm="1">
        <f t="array" ref="D9">_xll.BDP(D4,"PX_LAST")</f>
        <v>247.30670000000001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46056.625</v>
      </c>
      <c r="P9" s="4">
        <v>93.64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46056.625</v>
      </c>
      <c r="V9" s="3" t="str">
        <f t="shared" si="1"/>
        <v/>
      </c>
      <c r="W9" s="3">
        <v>46125.625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6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31" t="s">
        <v>23</v>
      </c>
      <c r="B10" s="32"/>
      <c r="C10" s="33"/>
      <c r="D10" s="32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46057.625</v>
      </c>
      <c r="P10" s="4">
        <v>93.61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46057.625</v>
      </c>
      <c r="V10" s="3" t="str">
        <f t="shared" si="1"/>
        <v/>
      </c>
      <c r="W10" s="3">
        <v>46126.625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6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4"/>
      <c r="J11" s="1"/>
      <c r="K11" s="1"/>
      <c r="L11" s="1"/>
      <c r="M11" s="1"/>
      <c r="N11" s="1"/>
      <c r="O11" s="3">
        <v>46058.625</v>
      </c>
      <c r="P11" s="4">
        <v>93.49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46058.625</v>
      </c>
      <c r="V11" s="3" t="str">
        <f t="shared" si="1"/>
        <v/>
      </c>
      <c r="W11" s="3">
        <v>46127.625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6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5" t="s">
        <v>24</v>
      </c>
      <c r="B12" s="53" t="s">
        <v>2</v>
      </c>
      <c r="C12" s="54"/>
      <c r="D12" s="55"/>
      <c r="E12" s="56" t="s">
        <v>3</v>
      </c>
      <c r="F12" s="57"/>
      <c r="G12" s="58"/>
      <c r="H12" s="59" t="s">
        <v>3</v>
      </c>
      <c r="I12" s="60"/>
      <c r="J12" s="60"/>
      <c r="K12" s="61"/>
      <c r="L12" s="11" t="s">
        <v>25</v>
      </c>
      <c r="M12" s="35" t="s">
        <v>26</v>
      </c>
      <c r="O12" s="3">
        <v>46059.625</v>
      </c>
      <c r="P12" s="4">
        <v>93.62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46059.625</v>
      </c>
      <c r="V12" s="3" t="str">
        <f t="shared" si="1"/>
        <v/>
      </c>
      <c r="W12" s="3">
        <v>46128.625</v>
      </c>
      <c r="X12" s="3">
        <v>46056</v>
      </c>
      <c r="Y12" s="5">
        <v>264</v>
      </c>
      <c r="Z12" s="3">
        <v>45792</v>
      </c>
      <c r="AA12" s="4">
        <v>236.27610000000001</v>
      </c>
      <c r="AB12" s="6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31"/>
      <c r="B13" s="36" t="s">
        <v>27</v>
      </c>
      <c r="C13" s="37" t="s">
        <v>28</v>
      </c>
      <c r="D13" s="38" t="s">
        <v>29</v>
      </c>
      <c r="E13" s="36" t="s">
        <v>27</v>
      </c>
      <c r="F13" s="37" t="s">
        <v>28</v>
      </c>
      <c r="G13" s="38" t="s">
        <v>29</v>
      </c>
      <c r="H13" s="36" t="s">
        <v>30</v>
      </c>
      <c r="I13" s="37" t="s">
        <v>31</v>
      </c>
      <c r="J13" s="37" t="s">
        <v>32</v>
      </c>
      <c r="K13" s="38" t="s">
        <v>33</v>
      </c>
      <c r="L13" s="38"/>
      <c r="M13" s="31"/>
      <c r="O13" s="3">
        <v>46062.625</v>
      </c>
      <c r="P13" s="4">
        <v>93.76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46062.625</v>
      </c>
      <c r="V13" s="3" t="str">
        <f t="shared" si="1"/>
        <v/>
      </c>
      <c r="W13" s="3">
        <v>46129.625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6">
        <v>45793</v>
      </c>
      <c r="AC13" s="4">
        <v>301.29500000000002</v>
      </c>
      <c r="AD13" s="6">
        <f t="shared" si="2"/>
        <v>45793</v>
      </c>
    </row>
    <row r="14" spans="1:32" x14ac:dyDescent="0.25">
      <c r="A14" s="39">
        <v>46113.625</v>
      </c>
      <c r="B14" s="40">
        <f>VLOOKUP(A14,O:P,2)</f>
        <v>89.8</v>
      </c>
      <c r="C14" s="2"/>
      <c r="D14" s="18"/>
      <c r="E14" s="40">
        <f>IF(COUNTIF($W$2:W999,A14)=1,VLOOKUP(A14,Q:R,2), IF(COUNTIF($W$2:W999,A14)=0,$C$9,""))</f>
        <v>99.747</v>
      </c>
      <c r="F14" s="1"/>
      <c r="G14" s="18"/>
      <c r="H14" s="40">
        <f>IF(COUNTIF($W$2:W999,A14)=1,VLOOKUP(A14,S:T,2), IF(COUNTIF($W$2:W999,A14)=0,$D$9,""))</f>
        <v>247.30670000000001</v>
      </c>
      <c r="I14" s="41">
        <v>264.18</v>
      </c>
      <c r="J14" s="41">
        <f>IF(ISERROR(H14-2),"",I14)</f>
        <v>264.18</v>
      </c>
      <c r="K14" s="18"/>
      <c r="L14" s="18"/>
      <c r="M14" s="42">
        <v>0</v>
      </c>
      <c r="O14" s="3">
        <v>46064.625</v>
      </c>
      <c r="P14" s="4">
        <v>93.63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46064.625</v>
      </c>
      <c r="V14" s="3" t="str">
        <f t="shared" si="1"/>
        <v/>
      </c>
      <c r="W14" s="3">
        <v>46132.625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6">
        <v>45796</v>
      </c>
      <c r="AC14" s="4">
        <v>299.93799999999999</v>
      </c>
      <c r="AD14" s="6">
        <f t="shared" si="2"/>
        <v>45796</v>
      </c>
    </row>
    <row r="15" spans="1:32" x14ac:dyDescent="0.25">
      <c r="A15" s="39">
        <f t="shared" ref="A15:A78" ca="1" si="3">IF(AND(ISBLANK(W4), A14 = $W$1),NOW(),IF(ISBLANK(W4),"",W4))</f>
        <v>46114.625</v>
      </c>
      <c r="B15" s="40">
        <f ca="1">IF(COUNTIF($W$2:W1000,A15)=1,VLOOKUP(A15,O:P,2), IF(COUNTIF($W$2:W1000,A15)=0,$B$9,""))</f>
        <v>89.7</v>
      </c>
      <c r="C15" s="2">
        <f ca="1">IF(ISERROR(B15-2),"",(B15/$B$14-1)*$B$5)</f>
        <v>-480473.89205791877</v>
      </c>
      <c r="D15" s="43">
        <f ca="1">IF(ISERROR(B15-2),"",-1*(INT(A15)-INT($A$14))/360*$B$7*$B$5)</f>
        <v>-2208.3333333333335</v>
      </c>
      <c r="E15" s="40">
        <f ca="1">IF(COUNTIF($W$2:W1000,A15)=1,VLOOKUP(A15,Q:R,2), IF(COUNTIF($W$2:W1000,A15)=0,$C$9,""))</f>
        <v>99.484999999999999</v>
      </c>
      <c r="F15" s="2">
        <f ca="1">IF(ISERROR(B15-2),"",(E15-$E$14)/100*$C$5)</f>
        <v>-68120.000000000116</v>
      </c>
      <c r="G15" s="43">
        <f ca="1">IF(ISERROR(B15-2),"",(INT(A15)-INT($A$14))/360*$C$6*$C$5-(INT(A15)-INT($A$14))/360*$C$7*$C$5*$E$14/100)</f>
        <v>4.3853333333333921</v>
      </c>
      <c r="H15" s="40">
        <f ca="1">IF(COUNTIF($W$2:W1000,A15)=1,VLOOKUP(A15,S:T,2), IF(COUNTIF($W$2:W1000,A15)=0,$D$9,""))</f>
        <v>326.72000000000003</v>
      </c>
      <c r="I15" s="41">
        <f ca="1">IF(COUNTIF($X$2:X1000,INT(A15))=1,VLOOKUP(INT(A15),X:Y,2), IF(ISERROR(H15-2),"",I14*(1-$D$8*(H15-H14)*0.0001)))</f>
        <v>259.01429999999999</v>
      </c>
      <c r="J15" s="41">
        <f ca="1">IF(ISERROR(H15-2),"",I15)</f>
        <v>259.01429999999999</v>
      </c>
      <c r="K15" s="43">
        <f ca="1">IF(ISERROR(H15-2),"",(J15/$J$14-1)*$D$5)</f>
        <v>-365654.44015444181</v>
      </c>
      <c r="L15" s="43" t="str">
        <f ca="1">IF($A15="","",IF(COUNTIFS(Dividends!$G:$G,"&gt;"&amp;INT($A14),Dividends!$G:$G,"&lt;="&amp;INT($A15))=0,"",$H$2*SUMIFS(Dividends!$H:$H,Dividends!$G:$G,"&gt;"&amp;INT($A14),Dividends!$G:$G,"&lt;="&amp;INT($A15))))</f>
        <v/>
      </c>
      <c r="M15" s="44">
        <f ca="1">IF(ISERROR(B15-2),"",C15+D15-F15-G15-K15+SUM($L$14:L15))</f>
        <v>-48912.170570143498</v>
      </c>
      <c r="O15" s="3">
        <v>46065.625</v>
      </c>
      <c r="P15" s="4">
        <v>93.65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46065.625</v>
      </c>
      <c r="V15" s="3" t="str">
        <f t="shared" si="1"/>
        <v/>
      </c>
      <c r="W15" s="3">
        <v>46133.625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6">
        <v>45797</v>
      </c>
      <c r="AC15" s="4">
        <v>295.73700000000002</v>
      </c>
      <c r="AD15" s="6">
        <f t="shared" si="2"/>
        <v>45797</v>
      </c>
    </row>
    <row r="16" spans="1:32" x14ac:dyDescent="0.25">
      <c r="A16" s="39">
        <f t="shared" ca="1" si="3"/>
        <v>46119.625</v>
      </c>
      <c r="B16" s="40">
        <f ca="1">IF(COUNTIF($W$2:W1001,A16)=1,VLOOKUP(A16,O:P,2), IF(COUNTIF($W$2:W1001,A16)=0,$B$9,""))</f>
        <v>89.6</v>
      </c>
      <c r="C16" s="2">
        <f t="shared" ref="C16:C79" ca="1" si="4">IF(ISERROR(B16-2),"",(B16/$B$14-1)*$B$5)</f>
        <v>-513383.06274681946</v>
      </c>
      <c r="D16" s="43">
        <f t="shared" ref="D16:D79" ca="1" si="5">IF(ISERROR(B16-2),"",-1*(INT(A16)-INT($A$14))/360*$B$7*$B$5)</f>
        <v>-13250</v>
      </c>
      <c r="E16" s="40">
        <f ca="1">IF(COUNTIF($W$2:W1001,A16)=1,VLOOKUP(A16,Q:R,2), IF(COUNTIF($W$2:W1001,A16)=0,$C$9,""))</f>
        <v>99.212999999999994</v>
      </c>
      <c r="F16" s="2">
        <f t="shared" ref="F16:F79" ca="1" si="6">IF(ISERROR(B16-2),"",(E16-$E$14)/100*$C$5)</f>
        <v>-138840.00000000157</v>
      </c>
      <c r="G16" s="43">
        <f t="shared" ref="G16:G79" ca="1" si="7">IF(ISERROR(B16-2),"",(INT(A16)-INT($A$14))/360*$C$6*$C$5-(INT(A16)-INT($A$14))/360*$C$7*$C$5*$E$14/100)</f>
        <v>26.311999999999898</v>
      </c>
      <c r="H16" s="40">
        <f ca="1">IF(COUNTIF($W$2:W1001,A16)=1,VLOOKUP(A16,S:T,2), IF(COUNTIF($W$2:W1001,A16)=0,$D$9,""))</f>
        <v>333.96699999999998</v>
      </c>
      <c r="I16" s="41">
        <f ca="1">IF(COUNTIF($X$2:X1001,INT(A16))=1,VLOOKUP(INT(A16),X:Y,2), IF(ISERROR(H16-2),"",I15*(1-$D$8*(H16-H15)*0.0001)))</f>
        <v>258.06200000000001</v>
      </c>
      <c r="J16" s="41">
        <f t="shared" ref="J16:J79" ca="1" si="8">IF(ISERROR(H16-2),"",I16)</f>
        <v>258.06200000000001</v>
      </c>
      <c r="K16" s="43">
        <f t="shared" ref="K16:K79" ca="1" si="9">IF(ISERROR(H16-2),"",(J16/$J$14-1)*$D$5)</f>
        <v>-433063.06306306168</v>
      </c>
      <c r="L16" s="43" t="str">
        <f ca="1">IF($A16="","",IF(COUNTIFS(Dividends!$G:$G,"&gt;"&amp;INT($A15),Dividends!$G:$G,"&lt;="&amp;INT($A16))=0,"",$H$2*SUMIFS(Dividends!$H:$H,Dividends!$G:$G,"&gt;"&amp;INT($A15),Dividends!$G:$G,"&lt;="&amp;INT($A16))))</f>
        <v/>
      </c>
      <c r="M16" s="44">
        <f ca="1">IF(ISERROR(B16-2),"",C16+D16-F16-G16-K16+SUM($L$14:L16))</f>
        <v>45243.688316243817</v>
      </c>
      <c r="O16" s="3">
        <v>46066.625</v>
      </c>
      <c r="P16" s="4">
        <v>93.55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46066.625</v>
      </c>
      <c r="V16" s="3" t="str">
        <f t="shared" si="1"/>
        <v/>
      </c>
      <c r="W16" s="3">
        <v>46134.625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6">
        <v>45798</v>
      </c>
      <c r="AC16" s="4">
        <v>298.613</v>
      </c>
      <c r="AD16" s="6">
        <f t="shared" si="2"/>
        <v>45798</v>
      </c>
    </row>
    <row r="17" spans="1:30" x14ac:dyDescent="0.25">
      <c r="A17" s="39">
        <f t="shared" ca="1" si="3"/>
        <v>46120.625</v>
      </c>
      <c r="B17" s="40">
        <f ca="1">IF(COUNTIF($W$2:W1002,A17)=1,VLOOKUP(A17,O:P,2), IF(COUNTIF($W$2:W1002,A17)=0,$B$9,""))</f>
        <v>90.56</v>
      </c>
      <c r="C17" s="2">
        <f t="shared" ca="1" si="4"/>
        <v>-197455.02413339054</v>
      </c>
      <c r="D17" s="43">
        <f t="shared" ca="1" si="5"/>
        <v>-15458.333333333334</v>
      </c>
      <c r="E17" s="40">
        <f ca="1">IF(COUNTIF($W$2:W1002,A17)=1,VLOOKUP(A17,Q:R,2), IF(COUNTIF($W$2:W1002,A17)=0,$C$9,""))</f>
        <v>99.777000000000001</v>
      </c>
      <c r="F17" s="2">
        <f t="shared" ca="1" si="6"/>
        <v>7800.0000000002956</v>
      </c>
      <c r="G17" s="43">
        <f t="shared" ca="1" si="7"/>
        <v>30.697333333333518</v>
      </c>
      <c r="H17" s="40">
        <f ca="1">IF(COUNTIF($W$2:W1002,A17)=1,VLOOKUP(A17,S:T,2), IF(COUNTIF($W$2:W1002,A17)=0,$D$9,""))</f>
        <v>301.61900000000003</v>
      </c>
      <c r="I17" s="41">
        <f ca="1">IF(COUNTIF($X$2:X1002,INT(A17))=1,VLOOKUP(INT(A17),X:Y,2), IF(ISERROR(H17-2),"",I16*(1-$D$8*(H17-H16)*0.0001)))</f>
        <v>262.38350000000003</v>
      </c>
      <c r="J17" s="41">
        <f t="shared" ca="1" si="8"/>
        <v>262.38350000000003</v>
      </c>
      <c r="K17" s="43">
        <f t="shared" ca="1" si="9"/>
        <v>-127165.37966537764</v>
      </c>
      <c r="L17" s="43" t="str">
        <f ca="1">IF($A17="","",IF(COUNTIFS(Dividends!$G:$G,"&gt;"&amp;INT($A16),Dividends!$G:$G,"&lt;="&amp;INT($A17))=0,"",$H$2*SUMIFS(Dividends!$H:$H,Dividends!$G:$G,"&gt;"&amp;INT($A16),Dividends!$G:$G,"&lt;="&amp;INT($A17))))</f>
        <v/>
      </c>
      <c r="M17" s="44">
        <f ca="1">IF(ISERROR(B17-2),"",C17+D17-F17-G17-K17+SUM($L$14:L17))</f>
        <v>-93578.675134679885</v>
      </c>
      <c r="O17" s="3">
        <v>46069.625</v>
      </c>
      <c r="P17" s="4">
        <v>93.55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46069.625</v>
      </c>
      <c r="V17" s="3" t="str">
        <f t="shared" si="1"/>
        <v/>
      </c>
      <c r="W17" s="3">
        <v>46135.625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6">
        <v>45799</v>
      </c>
      <c r="AC17" s="4">
        <v>302.62099999999998</v>
      </c>
      <c r="AD17" s="6">
        <f t="shared" si="2"/>
        <v>45799</v>
      </c>
    </row>
    <row r="18" spans="1:30" x14ac:dyDescent="0.25">
      <c r="A18" s="39">
        <f t="shared" ca="1" si="3"/>
        <v>46121.625</v>
      </c>
      <c r="B18" s="40">
        <f ca="1">IF(COUNTIF($W$2:W1003,A18)=1,VLOOKUP(A18,O:P,2), IF(COUNTIF($W$2:W1003,A18)=0,$B$9,""))</f>
        <v>90.47</v>
      </c>
      <c r="C18" s="2">
        <f t="shared" ca="1" si="4"/>
        <v>-227073.27775340015</v>
      </c>
      <c r="D18" s="43">
        <f t="shared" ca="1" si="5"/>
        <v>-17666.666666666668</v>
      </c>
      <c r="E18" s="40">
        <f ca="1">IF(COUNTIF($W$2:W1003,A18)=1,VLOOKUP(A18,Q:R,2), IF(COUNTIF($W$2:W1003,A18)=0,$C$9,""))</f>
        <v>99.576999999999998</v>
      </c>
      <c r="F18" s="2">
        <f t="shared" ca="1" si="6"/>
        <v>-44200.000000000444</v>
      </c>
      <c r="G18" s="43">
        <f t="shared" ca="1" si="7"/>
        <v>35.082666666667137</v>
      </c>
      <c r="H18" s="40">
        <f ca="1">IF(COUNTIF($W$2:W1003,A18)=1,VLOOKUP(A18,S:T,2), IF(COUNTIF($W$2:W1003,A18)=0,$D$9,""))</f>
        <v>299.79199999999997</v>
      </c>
      <c r="I18" s="41">
        <f ca="1">IF(COUNTIF($X$2:X1003,INT(A18))=1,VLOOKUP(INT(A18),X:Y,2), IF(ISERROR(H18-2),"",I17*(1-$D$8*(H18-H17)*0.0001)))</f>
        <v>263.26260000000002</v>
      </c>
      <c r="J18" s="41">
        <f t="shared" ca="1" si="8"/>
        <v>263.26260000000002</v>
      </c>
      <c r="K18" s="43">
        <f t="shared" ca="1" si="9"/>
        <v>-64938.223938223447</v>
      </c>
      <c r="L18" s="43" t="str">
        <f ca="1">IF($A18="","",IF(COUNTIFS(Dividends!$G:$G,"&gt;"&amp;INT($A17),Dividends!$G:$G,"&lt;="&amp;INT($A18))=0,"",$H$2*SUMIFS(Dividends!$H:$H,Dividends!$G:$G,"&gt;"&amp;INT($A17),Dividends!$G:$G,"&lt;="&amp;INT($A18))))</f>
        <v/>
      </c>
      <c r="M18" s="44">
        <f ca="1">IF(ISERROR(B18-2),"",C18+D18-F18-G18-K18+SUM($L$14:L18))</f>
        <v>-135636.80314850959</v>
      </c>
      <c r="O18" s="3">
        <v>46070.625</v>
      </c>
      <c r="P18" s="4">
        <v>93.48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46070.625</v>
      </c>
      <c r="V18" s="3" t="str">
        <f t="shared" si="1"/>
        <v/>
      </c>
      <c r="W18" s="3">
        <v>46136.625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6">
        <v>45800</v>
      </c>
      <c r="AC18" s="4">
        <v>315.95499999999998</v>
      </c>
      <c r="AD18" s="6">
        <f t="shared" si="2"/>
        <v>45800</v>
      </c>
    </row>
    <row r="19" spans="1:30" x14ac:dyDescent="0.25">
      <c r="A19" s="39">
        <f t="shared" ca="1" si="3"/>
        <v>46122.625</v>
      </c>
      <c r="B19" s="40">
        <f ca="1">IF(COUNTIF($W$2:W1004,A19)=1,VLOOKUP(A19,O:P,2), IF(COUNTIF($W$2:W1004,A19)=0,$B$9,""))</f>
        <v>90.75</v>
      </c>
      <c r="C19" s="2">
        <f t="shared" ca="1" si="4"/>
        <v>-134927.59982448365</v>
      </c>
      <c r="D19" s="43">
        <f t="shared" ca="1" si="5"/>
        <v>-19875</v>
      </c>
      <c r="E19" s="40">
        <f ca="1">IF(COUNTIF($W$2:W1004,A19)=1,VLOOKUP(A19,Q:R,2), IF(COUNTIF($W$2:W1004,A19)=0,$C$9,""))</f>
        <v>99.55</v>
      </c>
      <c r="F19" s="2">
        <f t="shared" ca="1" si="6"/>
        <v>-51220.000000000713</v>
      </c>
      <c r="G19" s="43">
        <f t="shared" ca="1" si="7"/>
        <v>39.468000000000757</v>
      </c>
      <c r="H19" s="40">
        <f ca="1">IF(COUNTIF($W$2:W1004,A19)=1,VLOOKUP(A19,S:T,2), IF(COUNTIF($W$2:W1004,A19)=0,$D$9,""))</f>
        <v>291.34300000000002</v>
      </c>
      <c r="I19" s="41">
        <f ca="1">IF(COUNTIF($X$2:X1004,INT(A19))=1,VLOOKUP(INT(A19),X:Y,2), IF(ISERROR(H19-2),"",I18*(1-$D$8*(H19-H18)*0.0001)))</f>
        <v>263.29309999999998</v>
      </c>
      <c r="J19" s="41">
        <f t="shared" ca="1" si="8"/>
        <v>263.29309999999998</v>
      </c>
      <c r="K19" s="43">
        <f t="shared" ca="1" si="9"/>
        <v>-62779.279279281996</v>
      </c>
      <c r="L19" s="43" t="str">
        <f ca="1">IF($A19="","",IF(COUNTIFS(Dividends!$G:$G,"&gt;"&amp;INT($A18),Dividends!$G:$G,"&lt;="&amp;INT($A19))=0,"",$H$2*SUMIFS(Dividends!$H:$H,Dividends!$G:$G,"&gt;"&amp;INT($A18),Dividends!$G:$G,"&lt;="&amp;INT($A19))))</f>
        <v/>
      </c>
      <c r="M19" s="44">
        <f ca="1">IF(ISERROR(B19-2),"",C19+D19-F19-G19-K19+SUM($L$14:L19))</f>
        <v>-40842.78854520095</v>
      </c>
      <c r="O19" s="3">
        <v>46071.625</v>
      </c>
      <c r="P19" s="4">
        <v>93.67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46071.625</v>
      </c>
      <c r="V19" s="3" t="str">
        <f t="shared" si="1"/>
        <v/>
      </c>
      <c r="W19" s="3">
        <v>46139.625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6">
        <v>45804</v>
      </c>
      <c r="AC19" s="4">
        <v>300.10899999999998</v>
      </c>
      <c r="AD19" s="6">
        <f t="shared" si="2"/>
        <v>45804</v>
      </c>
    </row>
    <row r="20" spans="1:30" x14ac:dyDescent="0.25">
      <c r="A20" s="39">
        <f t="shared" ca="1" si="3"/>
        <v>46125.625</v>
      </c>
      <c r="B20" s="40">
        <f ca="1">IF(COUNTIF($W$2:W1005,A20)=1,VLOOKUP(A20,O:P,2), IF(COUNTIF($W$2:W1005,A20)=0,$B$9,""))</f>
        <v>90.46</v>
      </c>
      <c r="C20" s="2">
        <f t="shared" ca="1" si="4"/>
        <v>-230364.1948222912</v>
      </c>
      <c r="D20" s="43">
        <f t="shared" ca="1" si="5"/>
        <v>-26500</v>
      </c>
      <c r="E20" s="40">
        <f ca="1">IF(COUNTIF($W$2:W1005,A20)=1,VLOOKUP(A20,Q:R,2), IF(COUNTIF($W$2:W1005,A20)=0,$C$9,""))</f>
        <v>99.418000000000006</v>
      </c>
      <c r="F20" s="2">
        <f t="shared" ca="1" si="6"/>
        <v>-85539.999999998312</v>
      </c>
      <c r="G20" s="43">
        <f t="shared" ca="1" si="7"/>
        <v>52.623999999999796</v>
      </c>
      <c r="H20" s="40">
        <f ca="1">IF(COUNTIF($W$2:W1005,A20)=1,VLOOKUP(A20,S:T,2), IF(COUNTIF($W$2:W1005,A20)=0,$D$9,""))</f>
        <v>294.25299999999999</v>
      </c>
      <c r="I20" s="41">
        <f ca="1">IF(COUNTIF($X$2:X1005,INT(A20))=1,VLOOKUP(INT(A20),X:Y,2), IF(ISERROR(H20-2),"",I19*(1-$D$8*(H20-H19)*0.0001)))</f>
        <v>263.03910000000002</v>
      </c>
      <c r="J20" s="41">
        <f t="shared" ca="1" si="8"/>
        <v>263.03910000000002</v>
      </c>
      <c r="K20" s="43">
        <f t="shared" ca="1" si="9"/>
        <v>-80758.687258685532</v>
      </c>
      <c r="L20" s="43" t="str">
        <f ca="1">IF($A20="","",IF(COUNTIFS(Dividends!$G:$G,"&gt;"&amp;INT($A19),Dividends!$G:$G,"&lt;="&amp;INT($A20))=0,"",$H$2*SUMIFS(Dividends!$H:$H,Dividends!$G:$G,"&gt;"&amp;INT($A19),Dividends!$G:$G,"&lt;="&amp;INT($A20))))</f>
        <v/>
      </c>
      <c r="M20" s="44">
        <f ca="1">IF(ISERROR(B20-2),"",C20+D20-F20-G20-K20+SUM($L$14:L20))</f>
        <v>-90618.13156360737</v>
      </c>
      <c r="O20" s="3">
        <v>46072.625</v>
      </c>
      <c r="P20" s="4">
        <v>93.64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46072.625</v>
      </c>
      <c r="V20" s="3" t="str">
        <f t="shared" si="1"/>
        <v/>
      </c>
      <c r="W20" s="3">
        <v>46140.625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6">
        <v>45805</v>
      </c>
      <c r="AC20" s="4">
        <v>300.60399999999998</v>
      </c>
      <c r="AD20" s="6">
        <f t="shared" si="2"/>
        <v>45805</v>
      </c>
    </row>
    <row r="21" spans="1:30" x14ac:dyDescent="0.25">
      <c r="A21" s="39">
        <f t="shared" ca="1" si="3"/>
        <v>46126.625</v>
      </c>
      <c r="B21" s="40">
        <f ca="1">IF(COUNTIF($W$2:W1006,A21)=1,VLOOKUP(A21,O:P,2), IF(COUNTIF($W$2:W1006,A21)=0,$B$9,""))</f>
        <v>90.75</v>
      </c>
      <c r="C21" s="2">
        <f t="shared" ca="1" si="4"/>
        <v>-134927.59982448365</v>
      </c>
      <c r="D21" s="43">
        <f t="shared" ca="1" si="5"/>
        <v>-28708.333333333328</v>
      </c>
      <c r="E21" s="40">
        <f ca="1">IF(COUNTIF($W$2:W1006,A21)=1,VLOOKUP(A21,Q:R,2), IF(COUNTIF($W$2:W1006,A21)=0,$C$9,""))</f>
        <v>99.619</v>
      </c>
      <c r="F21" s="2">
        <f t="shared" ca="1" si="6"/>
        <v>-33280.000000000029</v>
      </c>
      <c r="G21" s="43">
        <f t="shared" ca="1" si="7"/>
        <v>57.009333333331597</v>
      </c>
      <c r="H21" s="40">
        <f ca="1">IF(COUNTIF($W$2:W1006,A21)=1,VLOOKUP(A21,S:T,2), IF(COUNTIF($W$2:W1006,A21)=0,$D$9,""))</f>
        <v>282.697</v>
      </c>
      <c r="I21" s="41">
        <f ca="1">IF(COUNTIF($X$2:X1006,INT(A21))=1,VLOOKUP(INT(A21),X:Y,2), IF(ISERROR(H21-2),"",I20*(1-$D$8*(H21-H20)*0.0001)))</f>
        <v>264.6927</v>
      </c>
      <c r="J21" s="41">
        <f t="shared" ca="1" si="8"/>
        <v>264.6927</v>
      </c>
      <c r="K21" s="43">
        <f t="shared" ca="1" si="9"/>
        <v>36291.505791503594</v>
      </c>
      <c r="L21" s="43" t="str">
        <f ca="1">IF($A21="","",IF(COUNTIFS(Dividends!$G:$G,"&gt;"&amp;INT($A20),Dividends!$G:$G,"&lt;="&amp;INT($A21))=0,"",$H$2*SUMIFS(Dividends!$H:$H,Dividends!$G:$G,"&gt;"&amp;INT($A20),Dividends!$G:$G,"&lt;="&amp;INT($A21))))</f>
        <v/>
      </c>
      <c r="M21" s="44">
        <f ca="1">IF(ISERROR(B21-2),"",C21+D21-F21-G21-K21+SUM($L$14:L21))</f>
        <v>-166704.4482826539</v>
      </c>
      <c r="O21" s="3">
        <v>46073.625</v>
      </c>
      <c r="P21" s="4">
        <v>93.75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46073.625</v>
      </c>
      <c r="V21" s="3" t="str">
        <f t="shared" si="1"/>
        <v/>
      </c>
      <c r="W21" s="3">
        <v>46141.625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6">
        <v>45806</v>
      </c>
      <c r="AC21" s="4">
        <v>300.02</v>
      </c>
      <c r="AD21" s="6">
        <f t="shared" si="2"/>
        <v>45806</v>
      </c>
    </row>
    <row r="22" spans="1:30" x14ac:dyDescent="0.25">
      <c r="A22" s="39">
        <f t="shared" ca="1" si="3"/>
        <v>46127.625</v>
      </c>
      <c r="B22" s="40">
        <f ca="1">IF(COUNTIF($W$2:W1007,A22)=1,VLOOKUP(A22,O:P,2), IF(COUNTIF($W$2:W1007,A22)=0,$B$9,""))</f>
        <v>90.88</v>
      </c>
      <c r="C22" s="2">
        <f t="shared" ca="1" si="4"/>
        <v>-92145.677928916484</v>
      </c>
      <c r="D22" s="43">
        <f t="shared" ca="1" si="5"/>
        <v>-30916.666666666668</v>
      </c>
      <c r="E22" s="40">
        <f ca="1">IF(COUNTIF($W$2:W1007,A22)=1,VLOOKUP(A22,Q:R,2), IF(COUNTIF($W$2:W1007,A22)=0,$C$9,""))</f>
        <v>99.653999999999996</v>
      </c>
      <c r="F22" s="2">
        <f t="shared" ca="1" si="6"/>
        <v>-24180.000000000917</v>
      </c>
      <c r="G22" s="43">
        <f t="shared" ca="1" si="7"/>
        <v>61.394666666667035</v>
      </c>
      <c r="H22" s="40">
        <f ca="1">IF(COUNTIF($W$2:W1007,A22)=1,VLOOKUP(A22,S:T,2), IF(COUNTIF($W$2:W1007,A22)=0,$D$9,""))</f>
        <v>282.51900000000001</v>
      </c>
      <c r="I22" s="41">
        <f ca="1">IF(COUNTIF($X$2:X1007,INT(A22))=1,VLOOKUP(INT(A22),X:Y,2), IF(ISERROR(H22-2),"",I21*(1-$D$8*(H22-H21)*0.0001)))</f>
        <v>264.62900000000002</v>
      </c>
      <c r="J22" s="41">
        <f t="shared" ca="1" si="8"/>
        <v>264.62900000000002</v>
      </c>
      <c r="K22" s="43">
        <f t="shared" ca="1" si="9"/>
        <v>31782.496782496895</v>
      </c>
      <c r="L22" s="43" t="str">
        <f ca="1">IF($A22="","",IF(COUNTIFS(Dividends!$G:$G,"&gt;"&amp;INT($A21),Dividends!$G:$G,"&lt;="&amp;INT($A22))=0,"",$H$2*SUMIFS(Dividends!$H:$H,Dividends!$G:$G,"&gt;"&amp;INT($A21),Dividends!$G:$G,"&lt;="&amp;INT($A22))))</f>
        <v/>
      </c>
      <c r="M22" s="44">
        <f ca="1">IF(ISERROR(B22-2),"",C22+D22-F22-G22-K22+SUM($L$14:L22))</f>
        <v>-130726.2360447458</v>
      </c>
      <c r="O22" s="3">
        <v>46076.625</v>
      </c>
      <c r="P22" s="4">
        <v>93.75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46076.625</v>
      </c>
      <c r="V22" s="3" t="str">
        <f t="shared" si="1"/>
        <v/>
      </c>
      <c r="W22" s="3">
        <v>46142.625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6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9">
        <f t="shared" ca="1" si="3"/>
        <v>46128.625</v>
      </c>
      <c r="B23" s="40">
        <f ca="1">IF(COUNTIF($W$2:W1008,A23)=1,VLOOKUP(A23,O:P,2), IF(COUNTIF($W$2:W1008,A23)=0,$B$9,""))</f>
        <v>90.85</v>
      </c>
      <c r="C23" s="2">
        <f t="shared" ca="1" si="4"/>
        <v>-102018.42913558634</v>
      </c>
      <c r="D23" s="43">
        <f t="shared" ca="1" si="5"/>
        <v>-33124.999999999993</v>
      </c>
      <c r="E23" s="40">
        <f ca="1">IF(COUNTIF($W$2:W1008,A23)=1,VLOOKUP(A23,Q:R,2), IF(COUNTIF($W$2:W1008,A23)=0,$C$9,""))</f>
        <v>99.677000000000007</v>
      </c>
      <c r="F23" s="2">
        <f t="shared" ca="1" si="6"/>
        <v>-18199.999999998228</v>
      </c>
      <c r="G23" s="43">
        <f t="shared" ca="1" si="7"/>
        <v>65.779999999998836</v>
      </c>
      <c r="H23" s="40">
        <f ca="1">IF(COUNTIF($W$2:W1008,A23)=1,VLOOKUP(A23,S:T,2), IF(COUNTIF($W$2:W1008,A23)=0,$D$9,""))</f>
        <v>286.733</v>
      </c>
      <c r="I23" s="41">
        <f ca="1">IF(COUNTIF($X$2:X1008,INT(A23))=1,VLOOKUP(INT(A23),X:Y,2), IF(ISERROR(H23-2),"",I22*(1-$D$8*(H23-H22)*0.0001)))</f>
        <v>264.24419999999998</v>
      </c>
      <c r="J23" s="41">
        <f t="shared" ca="1" si="8"/>
        <v>264.24419999999998</v>
      </c>
      <c r="K23" s="43">
        <f t="shared" ca="1" si="9"/>
        <v>4544.4015444009219</v>
      </c>
      <c r="L23" s="43" t="str">
        <f ca="1">IF($A23="","",IF(COUNTIFS(Dividends!$G:$G,"&gt;"&amp;INT($A22),Dividends!$G:$G,"&lt;="&amp;INT($A23))=0,"",$H$2*SUMIFS(Dividends!$H:$H,Dividends!$G:$G,"&gt;"&amp;INT($A22),Dividends!$G:$G,"&lt;="&amp;INT($A23))))</f>
        <v/>
      </c>
      <c r="M23" s="44">
        <f ca="1">IF(ISERROR(B23-2),"",C23+D23-F23-G23-K23+SUM($L$14:L23))</f>
        <v>-121553.61067998904</v>
      </c>
      <c r="O23" s="3">
        <v>46077.625</v>
      </c>
      <c r="P23" s="4">
        <v>93.71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46077.625</v>
      </c>
      <c r="V23" s="3" t="str">
        <f t="shared" si="1"/>
        <v/>
      </c>
      <c r="W23" s="3">
        <v>46147.625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6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9">
        <f t="shared" ca="1" si="3"/>
        <v>46129.625</v>
      </c>
      <c r="B24" s="40">
        <f ca="1">IF(COUNTIF($W$2:W1009,A24)=1,VLOOKUP(A24,O:P,2), IF(COUNTIF($W$2:W1009,A24)=0,$B$9,""))</f>
        <v>91.4</v>
      </c>
      <c r="C24" s="2">
        <f t="shared" ca="1" si="4"/>
        <v>78982.00965335888</v>
      </c>
      <c r="D24" s="43">
        <f t="shared" ca="1" si="5"/>
        <v>-35333.333333333336</v>
      </c>
      <c r="E24" s="40">
        <f ca="1">IF(COUNTIF($W$2:W1009,A24)=1,VLOOKUP(A24,Q:R,2), IF(COUNTIF($W$2:W1009,A24)=0,$C$9,""))</f>
        <v>99.953999999999994</v>
      </c>
      <c r="F24" s="2">
        <f t="shared" ca="1" si="6"/>
        <v>53819.999999998348</v>
      </c>
      <c r="G24" s="43">
        <f t="shared" ca="1" si="7"/>
        <v>70.165333333334274</v>
      </c>
      <c r="H24" s="40">
        <f ca="1">IF(COUNTIF($W$2:W1009,A24)=1,VLOOKUP(A24,S:T,2), IF(COUNTIF($W$2:W1009,A24)=0,$D$9,""))</f>
        <v>275.16800000000001</v>
      </c>
      <c r="I24" s="41">
        <f ca="1">IF(COUNTIF($X$2:X1009,INT(A24))=1,VLOOKUP(INT(A24),X:Y,2), IF(ISERROR(H24-2),"",I23*(1-$D$8*(H24-H23)*0.0001)))</f>
        <v>265.60180000000003</v>
      </c>
      <c r="J24" s="41">
        <f t="shared" ca="1" si="8"/>
        <v>265.60180000000003</v>
      </c>
      <c r="K24" s="43">
        <f t="shared" ca="1" si="9"/>
        <v>100642.21364221333</v>
      </c>
      <c r="L24" s="43" t="str">
        <f ca="1">IF($A24="","",IF(COUNTIFS(Dividends!$G:$G,"&gt;"&amp;INT($A23),Dividends!$G:$G,"&lt;="&amp;INT($A24))=0,"",$H$2*SUMIFS(Dividends!$H:$H,Dividends!$G:$G,"&gt;"&amp;INT($A23),Dividends!$G:$G,"&lt;="&amp;INT($A24))))</f>
        <v/>
      </c>
      <c r="M24" s="44">
        <f ca="1">IF(ISERROR(B24-2),"",C24+D24-F24-G24-K24+SUM($L$14:L24))</f>
        <v>-110883.70265551948</v>
      </c>
      <c r="O24" s="3">
        <v>46078.625</v>
      </c>
      <c r="P24" s="4">
        <v>93.78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46078.625</v>
      </c>
      <c r="V24" s="3" t="str">
        <f t="shared" si="1"/>
        <v/>
      </c>
      <c r="W24" s="3">
        <v>46148.625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6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9">
        <f t="shared" ca="1" si="3"/>
        <v>46132.625</v>
      </c>
      <c r="B25" s="40">
        <f ca="1">IF(COUNTIF($W$2:W1010,A25)=1,VLOOKUP(A25,O:P,2), IF(COUNTIF($W$2:W1010,A25)=0,$B$9,""))</f>
        <v>91.09</v>
      </c>
      <c r="C25" s="2">
        <f t="shared" ca="1" si="4"/>
        <v>-23036.419482227455</v>
      </c>
      <c r="D25" s="43">
        <f t="shared" ca="1" si="5"/>
        <v>-41958.333333333336</v>
      </c>
      <c r="E25" s="40">
        <f ca="1">IF(COUNTIF($W$2:W1010,A25)=1,VLOOKUP(A25,Q:R,2), IF(COUNTIF($W$2:W1010,A25)=0,$C$9,""))</f>
        <v>99.831000000000003</v>
      </c>
      <c r="F25" s="2">
        <f t="shared" ca="1" si="6"/>
        <v>21840.000000000826</v>
      </c>
      <c r="G25" s="43">
        <f t="shared" ca="1" si="7"/>
        <v>83.321333333333314</v>
      </c>
      <c r="H25" s="40">
        <f ca="1">IF(COUNTIF($W$2:W1010,A25)=1,VLOOKUP(A25,S:T,2), IF(COUNTIF($W$2:W1010,A25)=0,$D$9,""))</f>
        <v>280.36399999999998</v>
      </c>
      <c r="I25" s="41">
        <f ca="1">IF(COUNTIF($X$2:X1010,INT(A25))=1,VLOOKUP(INT(A25),X:Y,2), IF(ISERROR(H25-2),"",I24*(1-$D$8*(H25-H24)*0.0001)))</f>
        <v>265.2414</v>
      </c>
      <c r="J25" s="41">
        <f t="shared" ca="1" si="8"/>
        <v>265.2414</v>
      </c>
      <c r="K25" s="43">
        <f t="shared" ca="1" si="9"/>
        <v>75131.274131274666</v>
      </c>
      <c r="L25" s="43" t="str">
        <f ca="1">IF($A25="","",IF(COUNTIFS(Dividends!$G:$G,"&gt;"&amp;INT($A24),Dividends!$G:$G,"&lt;="&amp;INT($A25))=0,"",$H$2*SUMIFS(Dividends!$H:$H,Dividends!$G:$G,"&gt;"&amp;INT($A24),Dividends!$G:$G,"&lt;="&amp;INT($A25))))</f>
        <v/>
      </c>
      <c r="M25" s="44">
        <f ca="1">IF(ISERROR(B25-2),"",C25+D25-F25-G25-K25+SUM($L$14:L25))</f>
        <v>-162049.34828016962</v>
      </c>
      <c r="O25" s="3">
        <v>46079.625</v>
      </c>
      <c r="P25" s="4">
        <v>93.67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46079.625</v>
      </c>
      <c r="V25" s="3" t="str">
        <f t="shared" si="1"/>
        <v/>
      </c>
      <c r="W25" s="3">
        <v>46149.625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6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9">
        <f t="shared" ca="1" si="3"/>
        <v>46133.625</v>
      </c>
      <c r="B26" s="40">
        <f ca="1">IF(COUNTIF($W$2:W1011,A26)=1,VLOOKUP(A26,O:P,2), IF(COUNTIF($W$2:W1011,A26)=0,$B$9,""))</f>
        <v>91.01</v>
      </c>
      <c r="C26" s="2">
        <f t="shared" ca="1" si="4"/>
        <v>-49363.756033345977</v>
      </c>
      <c r="D26" s="43">
        <f t="shared" ca="1" si="5"/>
        <v>-44166.666666666664</v>
      </c>
      <c r="E26" s="40">
        <f ca="1">IF(COUNTIF($W$2:W1011,A26)=1,VLOOKUP(A26,Q:R,2), IF(COUNTIF($W$2:W1011,A26)=0,$C$9,""))</f>
        <v>99.707999999999998</v>
      </c>
      <c r="F26" s="2">
        <f t="shared" ca="1" si="6"/>
        <v>-10140.000000000384</v>
      </c>
      <c r="G26" s="43">
        <f t="shared" ca="1" si="7"/>
        <v>87.70666666667239</v>
      </c>
      <c r="H26" s="40">
        <f ca="1">IF(COUNTIF($W$2:W1011,A26)=1,VLOOKUP(A26,S:T,2), IF(COUNTIF($W$2:W1011,A26)=0,$D$9,""))</f>
        <v>285.44799999999998</v>
      </c>
      <c r="I26" s="41">
        <f ca="1">IF(COUNTIF($X$2:X1011,INT(A26))=1,VLOOKUP(INT(A26),X:Y,2), IF(ISERROR(H26-2),"",I25*(1-$D$8*(H26-H25)*0.0001)))</f>
        <v>264.60359999999997</v>
      </c>
      <c r="J26" s="41">
        <f t="shared" ca="1" si="8"/>
        <v>264.60359999999997</v>
      </c>
      <c r="K26" s="43">
        <f t="shared" ca="1" si="9"/>
        <v>29984.555984555296</v>
      </c>
      <c r="L26" s="43" t="str">
        <f ca="1">IF($A26="","",IF(COUNTIFS(Dividends!$G:$G,"&gt;"&amp;INT($A25),Dividends!$G:$G,"&lt;="&amp;INT($A26))=0,"",$H$2*SUMIFS(Dividends!$H:$H,Dividends!$G:$G,"&gt;"&amp;INT($A25),Dividends!$G:$G,"&lt;="&amp;INT($A26))))</f>
        <v/>
      </c>
      <c r="M26" s="44">
        <f ca="1">IF(ISERROR(B26-2),"",C26+D26-F26-G26-K26+SUM($L$14:L26))</f>
        <v>-113462.68535123423</v>
      </c>
      <c r="O26" s="3">
        <v>46080.625</v>
      </c>
      <c r="P26" s="4">
        <v>93.58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46080.625</v>
      </c>
      <c r="V26" s="3" t="str">
        <f t="shared" si="1"/>
        <v/>
      </c>
      <c r="W26" s="3">
        <v>46150.625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6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9">
        <f t="shared" ca="1" si="3"/>
        <v>46134.625</v>
      </c>
      <c r="B27" s="40">
        <f ca="1">IF(COUNTIF($W$2:W1012,A27)=1,VLOOKUP(A27,O:P,2), IF(COUNTIF($W$2:W1012,A27)=0,$B$9,""))</f>
        <v>90.94</v>
      </c>
      <c r="C27" s="2">
        <f t="shared" ca="1" si="4"/>
        <v>-72400.175515576761</v>
      </c>
      <c r="D27" s="43">
        <f t="shared" ca="1" si="5"/>
        <v>-46375</v>
      </c>
      <c r="E27" s="40">
        <f ca="1">IF(COUNTIF($W$2:W1012,A27)=1,VLOOKUP(A27,Q:R,2), IF(COUNTIF($W$2:W1012,A27)=0,$C$9,""))</f>
        <v>99.655000000000001</v>
      </c>
      <c r="F27" s="2">
        <f t="shared" ca="1" si="6"/>
        <v>-23919.999999999673</v>
      </c>
      <c r="G27" s="43">
        <f t="shared" ca="1" si="7"/>
        <v>92.092000000004191</v>
      </c>
      <c r="H27" s="40">
        <f ca="1">IF(COUNTIF($W$2:W1012,A27)=1,VLOOKUP(A27,S:T,2), IF(COUNTIF($W$2:W1012,A27)=0,$D$9,""))</f>
        <v>285.53500000000003</v>
      </c>
      <c r="I27" s="41">
        <f ca="1">IF(COUNTIF($X$2:X1012,INT(A27))=1,VLOOKUP(INT(A27),X:Y,2), IF(ISERROR(H27-2),"",I26*(1-$D$8*(H27-H26)*0.0001)))</f>
        <v>264.55340000000001</v>
      </c>
      <c r="J27" s="41">
        <f t="shared" ca="1" si="8"/>
        <v>264.55340000000001</v>
      </c>
      <c r="K27" s="43">
        <f t="shared" ca="1" si="9"/>
        <v>26431.145431146819</v>
      </c>
      <c r="L27" s="43" t="str">
        <f ca="1">IF($A27="","",IF(COUNTIFS(Dividends!$G:$G,"&gt;"&amp;INT($A26),Dividends!$G:$G,"&lt;="&amp;INT($A27))=0,"",$H$2*SUMIFS(Dividends!$H:$H,Dividends!$G:$G,"&gt;"&amp;INT($A26),Dividends!$G:$G,"&lt;="&amp;INT($A27))))</f>
        <v/>
      </c>
      <c r="M27" s="44">
        <f ca="1">IF(ISERROR(B27-2),"",C27+D27-F27-G27-K27+SUM($L$14:L27))</f>
        <v>-121378.4129467239</v>
      </c>
      <c r="O27" s="3">
        <v>46083.625</v>
      </c>
      <c r="P27" s="4">
        <v>93.24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46083.625</v>
      </c>
      <c r="V27" s="3" t="str">
        <f t="shared" si="1"/>
        <v/>
      </c>
      <c r="W27" s="3">
        <v>46153.625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6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9">
        <f t="shared" ca="1" si="3"/>
        <v>46135.625</v>
      </c>
      <c r="B28" s="40">
        <f ca="1">IF(COUNTIF($W$2:W1013,A28)=1,VLOOKUP(A28,O:P,2), IF(COUNTIF($W$2:W1013,A28)=0,$B$9,""))</f>
        <v>90.99</v>
      </c>
      <c r="C28" s="2">
        <f t="shared" ca="1" si="4"/>
        <v>-55945.590171128104</v>
      </c>
      <c r="D28" s="43">
        <f t="shared" ca="1" si="5"/>
        <v>-48583.333333333328</v>
      </c>
      <c r="E28" s="40">
        <f ca="1">IF(COUNTIF($W$2:W1013,A28)=1,VLOOKUP(A28,Q:R,2), IF(COUNTIF($W$2:W1013,A28)=0,$C$9,""))</f>
        <v>99.626999999999995</v>
      </c>
      <c r="F28" s="2">
        <f t="shared" ca="1" si="6"/>
        <v>-31200.000000001182</v>
      </c>
      <c r="G28" s="43">
        <f t="shared" ca="1" si="7"/>
        <v>96.477333333335991</v>
      </c>
      <c r="H28" s="40">
        <f ca="1">IF(COUNTIF($W$2:W1013,A28)=1,VLOOKUP(A28,S:T,2), IF(COUNTIF($W$2:W1013,A28)=0,$D$9,""))</f>
        <v>284.40800000000002</v>
      </c>
      <c r="I28" s="41">
        <f ca="1">IF(COUNTIF($X$2:X1013,INT(A28))=1,VLOOKUP(INT(A28),X:Y,2), IF(ISERROR(H28-2),"",I27*(1-$D$8*(H28-H27)*0.0001)))</f>
        <v>264.38159999999999</v>
      </c>
      <c r="J28" s="41">
        <f t="shared" ca="1" si="8"/>
        <v>264.38159999999999</v>
      </c>
      <c r="K28" s="43">
        <f t="shared" ca="1" si="9"/>
        <v>14270.270270269635</v>
      </c>
      <c r="L28" s="43" t="str">
        <f ca="1">IF($A28="","",IF(COUNTIFS(Dividends!$G:$G,"&gt;"&amp;INT($A27),Dividends!$G:$G,"&lt;="&amp;INT($A28))=0,"",$H$2*SUMIFS(Dividends!$H:$H,Dividends!$G:$G,"&gt;"&amp;INT($A27),Dividends!$G:$G,"&lt;="&amp;INT($A28))))</f>
        <v/>
      </c>
      <c r="M28" s="44">
        <f ca="1">IF(ISERROR(B28-2),"",C28+D28-F28-G28-K28+SUM($L$14:L28))</f>
        <v>-87695.671108063238</v>
      </c>
      <c r="O28" s="3">
        <v>46084.625</v>
      </c>
      <c r="P28" s="4">
        <v>92.69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46084.625</v>
      </c>
      <c r="V28" s="3" t="str">
        <f t="shared" si="1"/>
        <v/>
      </c>
      <c r="W28" s="3">
        <v>46154.625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6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9">
        <f t="shared" ca="1" si="3"/>
        <v>46136.625</v>
      </c>
      <c r="B29" s="40">
        <f ca="1">IF(COUNTIF($W$2:W1014,A29)=1,VLOOKUP(A29,O:P,2), IF(COUNTIF($W$2:W1014,A29)=0,$B$9,""))</f>
        <v>90.93</v>
      </c>
      <c r="C29" s="2">
        <f t="shared" ca="1" si="4"/>
        <v>-75691.092584464495</v>
      </c>
      <c r="D29" s="43">
        <f t="shared" ca="1" si="5"/>
        <v>-50791.666666666657</v>
      </c>
      <c r="E29" s="40">
        <f ca="1">IF(COUNTIF($W$2:W1014,A29)=1,VLOOKUP(A29,Q:R,2), IF(COUNTIF($W$2:W1014,A29)=0,$C$9,""))</f>
        <v>99.637</v>
      </c>
      <c r="F29" s="2">
        <f t="shared" ca="1" si="6"/>
        <v>-28599.999999999851</v>
      </c>
      <c r="G29" s="43">
        <f t="shared" ca="1" si="7"/>
        <v>100.86266666666779</v>
      </c>
      <c r="H29" s="40">
        <f ca="1">IF(COUNTIF($W$2:W1014,A29)=1,VLOOKUP(A29,S:T,2), IF(COUNTIF($W$2:W1014,A29)=0,$D$9,""))</f>
        <v>288.863</v>
      </c>
      <c r="I29" s="41">
        <f ca="1">IF(COUNTIF($X$2:X1014,INT(A29))=1,VLOOKUP(INT(A29),X:Y,2), IF(ISERROR(H29-2),"",I28*(1-$D$8*(H29-H28)*0.0001)))</f>
        <v>264.2679</v>
      </c>
      <c r="J29" s="41">
        <f t="shared" ca="1" si="8"/>
        <v>264.2679</v>
      </c>
      <c r="K29" s="43">
        <f t="shared" ca="1" si="9"/>
        <v>6222.0077220071616</v>
      </c>
      <c r="L29" s="43" t="str">
        <f ca="1">IF($A29="","",IF(COUNTIFS(Dividends!$G:$G,"&gt;"&amp;INT($A28),Dividends!$G:$G,"&lt;="&amp;INT($A29))=0,"",$H$2*SUMIFS(Dividends!$H:$H,Dividends!$G:$G,"&gt;"&amp;INT($A28),Dividends!$G:$G,"&lt;="&amp;INT($A29))))</f>
        <v/>
      </c>
      <c r="M29" s="44">
        <f ca="1">IF(ISERROR(B29-2),"",C29+D29-F29-G29-K29+SUM($L$14:L29))</f>
        <v>-104205.62963980512</v>
      </c>
      <c r="O29" s="3">
        <v>46085.625</v>
      </c>
      <c r="P29" s="4">
        <v>93.3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46085.625</v>
      </c>
      <c r="V29" s="3" t="str">
        <f t="shared" si="1"/>
        <v/>
      </c>
      <c r="W29" s="3">
        <v>46155.625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6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9">
        <f t="shared" ca="1" si="3"/>
        <v>46139.625</v>
      </c>
      <c r="B30" s="40">
        <f ca="1">IF(COUNTIF($W$2:W1015,A30)=1,VLOOKUP(A30,O:P,2), IF(COUNTIF($W$2:W1015,A30)=0,$B$9,""))</f>
        <v>90.97</v>
      </c>
      <c r="C30" s="2">
        <f t="shared" ca="1" si="4"/>
        <v>-62527.424308906899</v>
      </c>
      <c r="D30" s="43">
        <f t="shared" ca="1" si="5"/>
        <v>-57416.666666666657</v>
      </c>
      <c r="E30" s="40">
        <f ca="1">IF(COUNTIF($W$2:W1015,A30)=1,VLOOKUP(A30,Q:R,2), IF(COUNTIF($W$2:W1015,A30)=0,$C$9,""))</f>
        <v>99.608000000000004</v>
      </c>
      <c r="F30" s="2">
        <f t="shared" ca="1" si="6"/>
        <v>-36139.999999998909</v>
      </c>
      <c r="G30" s="43">
        <f t="shared" ca="1" si="7"/>
        <v>114.01866666666319</v>
      </c>
      <c r="H30" s="40">
        <f ca="1">IF(COUNTIF($W$2:W1015,A30)=1,VLOOKUP(A30,S:T,2), IF(COUNTIF($W$2:W1015,A30)=0,$D$9,""))</f>
        <v>289.209</v>
      </c>
      <c r="I30" s="41">
        <f ca="1">IF(COUNTIF($X$2:X1015,INT(A30))=1,VLOOKUP(INT(A30),X:Y,2), IF(ISERROR(H30-2),"",I29*(1-$D$8*(H30-H29)*0.0001)))</f>
        <v>264.16750000000002</v>
      </c>
      <c r="J30" s="41">
        <f t="shared" ca="1" si="8"/>
        <v>264.16750000000002</v>
      </c>
      <c r="K30" s="43">
        <f t="shared" ca="1" si="9"/>
        <v>-884.81338481186663</v>
      </c>
      <c r="L30" s="43" t="str">
        <f ca="1">IF($A30="","",IF(COUNTIFS(Dividends!$G:$G,"&gt;"&amp;INT($A29),Dividends!$G:$G,"&lt;="&amp;INT($A30))=0,"",$H$2*SUMIFS(Dividends!$H:$H,Dividends!$G:$G,"&gt;"&amp;INT($A29),Dividends!$G:$G,"&lt;="&amp;INT($A30))))</f>
        <v/>
      </c>
      <c r="M30" s="44">
        <f ca="1">IF(ISERROR(B30-2),"",C30+D30-F30-G30-K30+SUM($L$14:L30))</f>
        <v>-83033.296257429436</v>
      </c>
      <c r="O30" s="3">
        <v>46087.625</v>
      </c>
      <c r="P30" s="4">
        <v>92.48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46087.625</v>
      </c>
      <c r="V30" s="3" t="str">
        <f t="shared" si="1"/>
        <v/>
      </c>
      <c r="W30" s="3">
        <v>46156.625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6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9">
        <f t="shared" ca="1" si="3"/>
        <v>46140.625</v>
      </c>
      <c r="B31" s="40">
        <f ca="1">IF(COUNTIF($W$2:W1016,A31)=1,VLOOKUP(A31,O:P,2), IF(COUNTIF($W$2:W1016,A31)=0,$B$9,""))</f>
        <v>90.69</v>
      </c>
      <c r="C31" s="2">
        <f t="shared" ca="1" si="4"/>
        <v>-154673.10223782339</v>
      </c>
      <c r="D31" s="43">
        <f t="shared" ca="1" si="5"/>
        <v>-59624.999999999993</v>
      </c>
      <c r="E31" s="40">
        <f ca="1">IF(COUNTIF($W$2:W1016,A31)=1,VLOOKUP(A31,Q:R,2), IF(COUNTIF($W$2:W1016,A31)=0,$C$9,""))</f>
        <v>99.456000000000003</v>
      </c>
      <c r="F31" s="2">
        <f t="shared" ca="1" si="6"/>
        <v>-75659.999999999171</v>
      </c>
      <c r="G31" s="43">
        <f t="shared" ca="1" si="7"/>
        <v>118.40400000000227</v>
      </c>
      <c r="H31" s="40">
        <f ca="1">IF(COUNTIF($W$2:W1016,A31)=1,VLOOKUP(A31,S:T,2), IF(COUNTIF($W$2:W1016,A31)=0,$D$9,""))</f>
        <v>291.65699999999998</v>
      </c>
      <c r="I31" s="41">
        <f ca="1">IF(COUNTIF($X$2:X1016,INT(A31))=1,VLOOKUP(INT(A31),X:Y,2), IF(ISERROR(H31-2),"",I30*(1-$D$8*(H31-H30)*0.0001)))</f>
        <v>263.87139999999999</v>
      </c>
      <c r="J31" s="41">
        <f t="shared" ca="1" si="8"/>
        <v>263.87139999999999</v>
      </c>
      <c r="K31" s="43">
        <f t="shared" ca="1" si="9"/>
        <v>-21844.272844273248</v>
      </c>
      <c r="L31" s="43" t="str">
        <f ca="1">IF($A31="","",IF(COUNTIFS(Dividends!$G:$G,"&gt;"&amp;INT($A30),Dividends!$G:$G,"&lt;="&amp;INT($A31))=0,"",$H$2*SUMIFS(Dividends!$H:$H,Dividends!$G:$G,"&gt;"&amp;INT($A30),Dividends!$G:$G,"&lt;="&amp;INT($A31))))</f>
        <v/>
      </c>
      <c r="M31" s="44">
        <f ca="1">IF(ISERROR(B31-2),"",C31+D31-F31-G31-K31+SUM($L$14:L31))</f>
        <v>-116912.233393551</v>
      </c>
      <c r="O31" s="3">
        <v>46090.625</v>
      </c>
      <c r="P31" s="4">
        <v>92.3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46090.625</v>
      </c>
      <c r="V31" s="3" t="str">
        <f t="shared" si="1"/>
        <v/>
      </c>
      <c r="W31" s="3">
        <v>46157.625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6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9">
        <f t="shared" ca="1" si="3"/>
        <v>46141.625</v>
      </c>
      <c r="B32" s="40">
        <f ca="1">IF(COUNTIF($W$2:W1017,A32)=1,VLOOKUP(A32,O:P,2), IF(COUNTIF($W$2:W1017,A32)=0,$B$9,""))</f>
        <v>90.76</v>
      </c>
      <c r="C32" s="2">
        <f t="shared" ca="1" si="4"/>
        <v>-131636.6827555926</v>
      </c>
      <c r="D32" s="43">
        <f t="shared" ca="1" si="5"/>
        <v>-61833.333333333336</v>
      </c>
      <c r="E32" s="40">
        <f ca="1">IF(COUNTIF($W$2:W1017,A32)=1,VLOOKUP(A32,Q:R,2), IF(COUNTIF($W$2:W1017,A32)=0,$C$9,""))</f>
        <v>99.296000000000006</v>
      </c>
      <c r="F32" s="2">
        <f t="shared" ca="1" si="6"/>
        <v>-117259.99999999828</v>
      </c>
      <c r="G32" s="43">
        <f t="shared" ca="1" si="7"/>
        <v>122.78933333333407</v>
      </c>
      <c r="H32" s="40">
        <f ca="1">IF(COUNTIF($W$2:W1017,A32)=1,VLOOKUP(A32,S:T,2), IF(COUNTIF($W$2:W1017,A32)=0,$D$9,""))</f>
        <v>294.57900000000001</v>
      </c>
      <c r="I32" s="41">
        <f ca="1">IF(COUNTIF($X$2:X1017,INT(A32))=1,VLOOKUP(INT(A32),X:Y,2), IF(ISERROR(H32-2),"",I31*(1-$D$8*(H32-H31)*0.0001)))</f>
        <v>263.29599999999999</v>
      </c>
      <c r="J32" s="41">
        <f t="shared" ca="1" si="8"/>
        <v>263.29599999999999</v>
      </c>
      <c r="K32" s="43">
        <f t="shared" ca="1" si="9"/>
        <v>-62574.002574003418</v>
      </c>
      <c r="L32" s="43" t="str">
        <f ca="1">IF($A32="","",IF(COUNTIFS(Dividends!$G:$G,"&gt;"&amp;INT($A31),Dividends!$G:$G,"&lt;="&amp;INT($A32))=0,"",$H$2*SUMIFS(Dividends!$H:$H,Dividends!$G:$G,"&gt;"&amp;INT($A31),Dividends!$G:$G,"&lt;="&amp;INT($A32))))</f>
        <v/>
      </c>
      <c r="M32" s="44">
        <f ca="1">IF(ISERROR(B32-2),"",C32+D32-F32-G32-K32+SUM($L$14:L32))</f>
        <v>-13758.802848257576</v>
      </c>
      <c r="O32" s="3">
        <v>46091.625</v>
      </c>
      <c r="P32" s="4">
        <v>92.84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46091.625</v>
      </c>
      <c r="V32" s="3" t="str">
        <f t="shared" si="1"/>
        <v/>
      </c>
      <c r="W32" s="3">
        <v>46160.625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6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9">
        <f t="shared" ca="1" si="3"/>
        <v>46142.625</v>
      </c>
      <c r="B33" s="40">
        <f ca="1">IF(COUNTIF($W$2:W1018,A33)=1,VLOOKUP(A33,O:P,2), IF(COUNTIF($W$2:W1018,A33)=0,$B$9,""))</f>
        <v>90.81</v>
      </c>
      <c r="C33" s="2">
        <f t="shared" ca="1" si="4"/>
        <v>-115182.09741114394</v>
      </c>
      <c r="D33" s="43">
        <f t="shared" ca="1" si="5"/>
        <v>-64041.666666666672</v>
      </c>
      <c r="E33" s="40">
        <f ca="1">IF(COUNTIF($W$2:W1018,A33)=1,VLOOKUP(A33,Q:R,2), IF(COUNTIF($W$2:W1018,A33)=0,$C$9,""))</f>
        <v>99.435000000000002</v>
      </c>
      <c r="F33" s="2">
        <f t="shared" ca="1" si="6"/>
        <v>-81119.999999999374</v>
      </c>
      <c r="G33" s="43">
        <f t="shared" ca="1" si="7"/>
        <v>127.17466666667315</v>
      </c>
      <c r="H33" s="40">
        <f ca="1">IF(COUNTIF($W$2:W1018,A33)=1,VLOOKUP(A33,S:T,2), IF(COUNTIF($W$2:W1018,A33)=0,$D$9,""))</f>
        <v>292.42099999999999</v>
      </c>
      <c r="I33" s="41">
        <f ca="1">IF(COUNTIF($X$2:X1018,INT(A33))=1,VLOOKUP(INT(A33),X:Y,2), IF(ISERROR(H33-2),"",I32*(1-$D$8*(H33-H32)*0.0001)))</f>
        <v>263.72019999999998</v>
      </c>
      <c r="J33" s="41">
        <f t="shared" ca="1" si="8"/>
        <v>263.72019999999998</v>
      </c>
      <c r="K33" s="43">
        <f t="shared" ca="1" si="9"/>
        <v>-32546.975546977552</v>
      </c>
      <c r="L33" s="43" t="str">
        <f ca="1">IF($A33="","",IF(COUNTIFS(Dividends!$G:$G,"&gt;"&amp;INT($A32),Dividends!$G:$G,"&lt;="&amp;INT($A33))=0,"",$H$2*SUMIFS(Dividends!$H:$H,Dividends!$G:$G,"&gt;"&amp;INT($A32),Dividends!$G:$G,"&lt;="&amp;INT($A33))))</f>
        <v/>
      </c>
      <c r="M33" s="44">
        <f ca="1">IF(ISERROR(B33-2),"",C33+D33-F33-G33-K33+SUM($L$14:L33))</f>
        <v>-65683.963197500372</v>
      </c>
      <c r="O33" s="3">
        <v>46092.625</v>
      </c>
      <c r="P33" s="4">
        <v>92.41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>
        <f t="shared" si="0"/>
        <v>46092.625</v>
      </c>
      <c r="V33" s="3" t="str">
        <f t="shared" si="1"/>
        <v/>
      </c>
      <c r="W33" s="3">
        <v>46161.625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6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9">
        <f t="shared" ca="1" si="3"/>
        <v>46147.625</v>
      </c>
      <c r="B34" s="40">
        <f ca="1">IF(COUNTIF($W$2:W1019,A34)=1,VLOOKUP(A34,O:P,2), IF(COUNTIF($W$2:W1019,A34)=0,$B$9,""))</f>
        <v>90.89</v>
      </c>
      <c r="C34" s="2">
        <f t="shared" ca="1" si="4"/>
        <v>-88854.760860025417</v>
      </c>
      <c r="D34" s="43">
        <f t="shared" ca="1" si="5"/>
        <v>-75083.333333333328</v>
      </c>
      <c r="E34" s="40">
        <f ca="1">IF(COUNTIF($W$2:W1019,A34)=1,VLOOKUP(A34,Q:R,2), IF(COUNTIF($W$2:W1019,A34)=0,$C$9,""))</f>
        <v>99.343000000000004</v>
      </c>
      <c r="F34" s="2">
        <f t="shared" ca="1" si="6"/>
        <v>-105039.99999999905</v>
      </c>
      <c r="G34" s="43">
        <f t="shared" ca="1" si="7"/>
        <v>149.10133333333215</v>
      </c>
      <c r="H34" s="40">
        <f ca="1">IF(COUNTIF($W$2:W1019,A34)=1,VLOOKUP(A34,S:T,2), IF(COUNTIF($W$2:W1019,A34)=0,$D$9,""))</f>
        <v>287.88900000000001</v>
      </c>
      <c r="I34" s="41">
        <f ca="1">IF(COUNTIF($X$2:X1019,INT(A34))=1,VLOOKUP(INT(A34),X:Y,2), IF(ISERROR(H34-2),"",I33*(1-$D$8*(H34-H33)*0.0001)))</f>
        <v>264.5573</v>
      </c>
      <c r="J34" s="41">
        <f t="shared" ca="1" si="8"/>
        <v>264.5573</v>
      </c>
      <c r="K34" s="43">
        <f t="shared" ca="1" si="9"/>
        <v>26707.207207207604</v>
      </c>
      <c r="L34" s="43" t="str">
        <f ca="1">IF($A34="","",IF(COUNTIFS(Dividends!$G:$G,"&gt;"&amp;INT($A33),Dividends!$G:$G,"&lt;="&amp;INT($A34))=0,"",$H$2*SUMIFS(Dividends!$H:$H,Dividends!$G:$G,"&gt;"&amp;INT($A33),Dividends!$G:$G,"&lt;="&amp;INT($A34))))</f>
        <v/>
      </c>
      <c r="M34" s="44">
        <f ca="1">IF(ISERROR(B34-2),"",C34+D34-F34-G34-K34+SUM($L$14:L34))</f>
        <v>-85754.402733900613</v>
      </c>
      <c r="O34" s="3">
        <v>46093.625</v>
      </c>
      <c r="P34" s="4">
        <v>92.08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46093.625</v>
      </c>
      <c r="V34" s="3" t="str">
        <f t="shared" si="1"/>
        <v/>
      </c>
      <c r="W34" s="3">
        <v>46162.625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6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9">
        <f t="shared" ca="1" si="3"/>
        <v>46148.625</v>
      </c>
      <c r="B35" s="40">
        <f ca="1">IF(COUNTIF($W$2:W1020,A35)=1,VLOOKUP(A35,O:P,2), IF(COUNTIF($W$2:W1020,A35)=0,$B$9,""))</f>
        <v>91.41</v>
      </c>
      <c r="C35" s="2">
        <f t="shared" ca="1" si="4"/>
        <v>82272.926722246615</v>
      </c>
      <c r="D35" s="43">
        <f t="shared" ca="1" si="5"/>
        <v>-77291.666666666672</v>
      </c>
      <c r="E35" s="40">
        <f ca="1">IF(COUNTIF($W$2:W1020,A35)=1,VLOOKUP(A35,Q:R,2), IF(COUNTIF($W$2:W1020,A35)=0,$C$9,""))</f>
        <v>99.63</v>
      </c>
      <c r="F35" s="2">
        <f t="shared" ca="1" si="6"/>
        <v>-30420.00000000115</v>
      </c>
      <c r="G35" s="43">
        <f t="shared" ca="1" si="7"/>
        <v>153.48666666666395</v>
      </c>
      <c r="H35" s="40">
        <f ca="1">IF(COUNTIF($W$2:W1020,A35)=1,VLOOKUP(A35,S:T,2), IF(COUNTIF($W$2:W1020,A35)=0,$D$9,""))</f>
        <v>275.09699999999998</v>
      </c>
      <c r="I35" s="41">
        <f ca="1">IF(COUNTIF($X$2:X1020,INT(A35))=1,VLOOKUP(INT(A35),X:Y,2), IF(ISERROR(H35-2),"",I34*(1-$D$8*(H35-H34)*0.0001)))</f>
        <v>266.11750000000001</v>
      </c>
      <c r="J35" s="41">
        <f t="shared" ca="1" si="8"/>
        <v>266.11750000000001</v>
      </c>
      <c r="K35" s="43">
        <f t="shared" ca="1" si="9"/>
        <v>137146.07464607395</v>
      </c>
      <c r="L35" s="43" t="str">
        <f ca="1">IF($A35="","",IF(COUNTIFS(Dividends!$G:$G,"&gt;"&amp;INT($A34),Dividends!$G:$G,"&lt;="&amp;INT($A35))=0,"",$H$2*SUMIFS(Dividends!$H:$H,Dividends!$G:$G,"&gt;"&amp;INT($A34),Dividends!$G:$G,"&lt;="&amp;INT($A35))))</f>
        <v/>
      </c>
      <c r="M35" s="44">
        <f ca="1">IF(ISERROR(B35-2),"",C35+D35-F35-G35-K35+SUM($L$14:L35))</f>
        <v>-101898.30125715952</v>
      </c>
      <c r="O35" s="3">
        <v>46094.625</v>
      </c>
      <c r="P35" s="4">
        <v>91.86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46094.625</v>
      </c>
      <c r="V35" s="3" t="str">
        <f t="shared" si="1"/>
        <v/>
      </c>
      <c r="W35" s="3">
        <v>46163.625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6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9">
        <f t="shared" ca="1" si="3"/>
        <v>46149.625</v>
      </c>
      <c r="B36" s="40">
        <f ca="1">IF(COUNTIF($W$2:W1021,A36)=1,VLOOKUP(A36,O:P,2), IF(COUNTIF($W$2:W1021,A36)=0,$B$9,""))</f>
        <v>91.39</v>
      </c>
      <c r="C36" s="2">
        <f t="shared" ca="1" si="4"/>
        <v>75691.09258447116</v>
      </c>
      <c r="D36" s="43">
        <f t="shared" ca="1" si="5"/>
        <v>-79500</v>
      </c>
      <c r="E36" s="40">
        <f ca="1">IF(COUNTIF($W$2:W1021,A36)=1,VLOOKUP(A36,Q:R,2), IF(COUNTIF($W$2:W1021,A36)=0,$C$9,""))</f>
        <v>99.650999999999996</v>
      </c>
      <c r="F36" s="2">
        <f t="shared" ca="1" si="6"/>
        <v>-24960.000000000946</v>
      </c>
      <c r="G36" s="43">
        <f t="shared" ca="1" si="7"/>
        <v>157.87200000000303</v>
      </c>
      <c r="H36" s="40">
        <f ca="1">IF(COUNTIF($W$2:W1021,A36)=1,VLOOKUP(A36,S:T,2), IF(COUNTIF($W$2:W1021,A36)=0,$D$9,""))</f>
        <v>275.04599999999999</v>
      </c>
      <c r="I36" s="41">
        <f ca="1">IF(COUNTIF($X$2:X1021,INT(A36))=1,VLOOKUP(INT(A36),X:Y,2), IF(ISERROR(H36-2),"",I35*(1-$D$8*(H36-H35)*0.0001)))</f>
        <v>265.79050000000001</v>
      </c>
      <c r="J36" s="41">
        <f t="shared" ca="1" si="8"/>
        <v>265.79050000000001</v>
      </c>
      <c r="K36" s="43">
        <f t="shared" ca="1" si="9"/>
        <v>113999.35649935532</v>
      </c>
      <c r="L36" s="43" t="str">
        <f ca="1">IF($A36="","",IF(COUNTIFS(Dividends!$G:$G,"&gt;"&amp;INT($A35),Dividends!$G:$G,"&lt;="&amp;INT($A36))=0,"",$H$2*SUMIFS(Dividends!$H:$H,Dividends!$G:$G,"&gt;"&amp;INT($A35),Dividends!$G:$G,"&lt;="&amp;INT($A36))))</f>
        <v/>
      </c>
      <c r="M36" s="44">
        <f ca="1">IF(ISERROR(B36-2),"",C36+D36-F36-G36-K36+SUM($L$14:L36))</f>
        <v>-93006.135914883213</v>
      </c>
      <c r="O36" s="3">
        <v>46097.625</v>
      </c>
      <c r="P36" s="4">
        <v>91.95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46097.625</v>
      </c>
      <c r="V36" s="3" t="str">
        <f t="shared" si="1"/>
        <v/>
      </c>
      <c r="W36" s="3">
        <v>46164.625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6">
        <v>45827</v>
      </c>
      <c r="AC36" s="4">
        <v>313.43900000000002</v>
      </c>
      <c r="AD36" s="6">
        <f t="shared" si="2"/>
        <v>45827</v>
      </c>
    </row>
    <row r="37" spans="1:30" x14ac:dyDescent="0.25">
      <c r="A37" s="39">
        <f t="shared" ca="1" si="3"/>
        <v>46150.625</v>
      </c>
      <c r="B37" s="40">
        <f ca="1">IF(COUNTIF($W$2:W1022,A37)=1,VLOOKUP(A37,O:P,2), IF(COUNTIF($W$2:W1022,A37)=0,$B$9,""))</f>
        <v>91.4</v>
      </c>
      <c r="C37" s="2">
        <f t="shared" ca="1" si="4"/>
        <v>78982.00965335888</v>
      </c>
      <c r="D37" s="43">
        <f t="shared" ca="1" si="5"/>
        <v>-81708.333333333328</v>
      </c>
      <c r="E37" s="40">
        <f ca="1">IF(COUNTIF($W$2:W1022,A37)=1,VLOOKUP(A37,Q:R,2), IF(COUNTIF($W$2:W1022,A37)=0,$C$9,""))</f>
        <v>99.58</v>
      </c>
      <c r="F37" s="2">
        <f t="shared" ca="1" si="6"/>
        <v>-43420.000000000415</v>
      </c>
      <c r="G37" s="43">
        <f t="shared" ca="1" si="7"/>
        <v>162.25733333333483</v>
      </c>
      <c r="H37" s="40">
        <f ca="1">IF(COUNTIF($W$2:W1022,A37)=1,VLOOKUP(A37,S:T,2), IF(COUNTIF($W$2:W1022,A37)=0,$D$9,""))</f>
        <v>277.74599999999998</v>
      </c>
      <c r="I37" s="41">
        <f ca="1">IF(COUNTIF($X$2:X1022,INT(A37))=1,VLOOKUP(INT(A37),X:Y,2), IF(ISERROR(H37-2),"",I36*(1-$D$8*(H37-H36)*0.0001)))</f>
        <v>265.83870000000002</v>
      </c>
      <c r="J37" s="41">
        <f t="shared" ca="1" si="8"/>
        <v>265.83870000000002</v>
      </c>
      <c r="K37" s="43">
        <f t="shared" ca="1" si="9"/>
        <v>117411.19691119937</v>
      </c>
      <c r="L37" s="43" t="str">
        <f ca="1">IF($A37="","",IF(COUNTIFS(Dividends!$G:$G,"&gt;"&amp;INT($A36),Dividends!$G:$G,"&lt;="&amp;INT($A37))=0,"",$H$2*SUMIFS(Dividends!$H:$H,Dividends!$G:$G,"&gt;"&amp;INT($A36),Dividends!$G:$G,"&lt;="&amp;INT($A37))))</f>
        <v/>
      </c>
      <c r="M37" s="44">
        <f ca="1">IF(ISERROR(B37-2),"",C37+D37-F37-G37-K37+SUM($L$14:L37))</f>
        <v>-76879.777924506736</v>
      </c>
      <c r="O37" s="3">
        <v>46098.625</v>
      </c>
      <c r="P37" s="4">
        <v>92.21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46098.625</v>
      </c>
      <c r="V37" s="3" t="str">
        <f t="shared" si="1"/>
        <v/>
      </c>
      <c r="W37" s="3">
        <v>46168.625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6">
        <v>45828</v>
      </c>
      <c r="AC37" s="4">
        <v>304.02</v>
      </c>
      <c r="AD37" s="6">
        <f t="shared" si="2"/>
        <v>45828</v>
      </c>
    </row>
    <row r="38" spans="1:30" x14ac:dyDescent="0.25">
      <c r="A38" s="39">
        <f t="shared" ca="1" si="3"/>
        <v>46153.625</v>
      </c>
      <c r="B38" s="40">
        <f ca="1">IF(COUNTIF($W$2:W1023,A38)=1,VLOOKUP(A38,O:P,2), IF(COUNTIF($W$2:W1023,A38)=0,$B$9,""))</f>
        <v>91.44</v>
      </c>
      <c r="C38" s="2">
        <f t="shared" ca="1" si="4"/>
        <v>92145.677928916484</v>
      </c>
      <c r="D38" s="43">
        <f t="shared" ca="1" si="5"/>
        <v>-88333.333333333328</v>
      </c>
      <c r="E38" s="40">
        <f ca="1">IF(COUNTIF($W$2:W1023,A38)=1,VLOOKUP(A38,Q:R,2), IF(COUNTIF($W$2:W1023,A38)=0,$C$9,""))</f>
        <v>99.436999999999998</v>
      </c>
      <c r="F38" s="2">
        <f t="shared" ca="1" si="6"/>
        <v>-80600.000000000597</v>
      </c>
      <c r="G38" s="43">
        <f t="shared" ca="1" si="7"/>
        <v>175.41333333334478</v>
      </c>
      <c r="H38" s="40">
        <f ca="1">IF(COUNTIF($W$2:W1023,A38)=1,VLOOKUP(A38,S:T,2), IF(COUNTIF($W$2:W1023,A38)=0,$D$9,""))</f>
        <v>277.33600000000001</v>
      </c>
      <c r="I38" s="41">
        <f ca="1">IF(COUNTIF($X$2:X1023,INT(A38))=1,VLOOKUP(INT(A38),X:Y,2), IF(ISERROR(H38-2),"",I37*(1-$D$8*(H38-H37)*0.0001)))</f>
        <v>266.14510000000001</v>
      </c>
      <c r="J38" s="41">
        <f t="shared" ca="1" si="8"/>
        <v>266.14510000000001</v>
      </c>
      <c r="K38" s="43">
        <f t="shared" ca="1" si="9"/>
        <v>139099.74259974511</v>
      </c>
      <c r="L38" s="43" t="str">
        <f ca="1">IF($A38="","",IF(COUNTIFS(Dividends!$G:$G,"&gt;"&amp;INT($A37),Dividends!$G:$G,"&lt;="&amp;INT($A38))=0,"",$H$2*SUMIFS(Dividends!$H:$H,Dividends!$G:$G,"&gt;"&amp;INT($A37),Dividends!$G:$G,"&lt;="&amp;INT($A38))))</f>
        <v/>
      </c>
      <c r="M38" s="44">
        <f ca="1">IF(ISERROR(B38-2),"",C38+D38-F38-G38-K38+SUM($L$14:L38))</f>
        <v>-54862.811337494699</v>
      </c>
      <c r="O38" s="3">
        <v>46099.625</v>
      </c>
      <c r="P38" s="4">
        <v>92.17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46099.625</v>
      </c>
      <c r="V38" s="3" t="str">
        <f t="shared" si="1"/>
        <v/>
      </c>
      <c r="W38" s="3">
        <v>46169.625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6">
        <v>45831</v>
      </c>
      <c r="AC38" s="4">
        <v>307.142</v>
      </c>
      <c r="AD38" s="6">
        <f t="shared" si="2"/>
        <v>45831</v>
      </c>
    </row>
    <row r="39" spans="1:30" x14ac:dyDescent="0.25">
      <c r="A39" s="39">
        <f t="shared" ca="1" si="3"/>
        <v>46154.625</v>
      </c>
      <c r="B39" s="40">
        <f ca="1">IF(COUNTIF($W$2:W1024,A39)=1,VLOOKUP(A39,O:P,2), IF(COUNTIF($W$2:W1024,A39)=0,$B$9,""))</f>
        <v>91.28</v>
      </c>
      <c r="C39" s="2">
        <f t="shared" ca="1" si="4"/>
        <v>39491.00482667944</v>
      </c>
      <c r="D39" s="43">
        <f t="shared" ca="1" si="5"/>
        <v>-90541.666666666672</v>
      </c>
      <c r="E39" s="40">
        <f ca="1">IF(COUNTIF($W$2:W1024,A39)=1,VLOOKUP(A39,Q:R,2), IF(COUNTIF($W$2:W1024,A39)=0,$C$9,""))</f>
        <v>99.322999999999993</v>
      </c>
      <c r="F39" s="2">
        <f t="shared" ca="1" si="6"/>
        <v>-110240.00000000172</v>
      </c>
      <c r="G39" s="43">
        <f t="shared" ca="1" si="7"/>
        <v>179.79866666666931</v>
      </c>
      <c r="H39" s="40">
        <f ca="1">IF(COUNTIF($W$2:W1024,A39)=1,VLOOKUP(A39,S:T,2), IF(COUNTIF($W$2:W1024,A39)=0,$D$9,""))</f>
        <v>283.721</v>
      </c>
      <c r="I39" s="41">
        <f ca="1">IF(COUNTIF($X$2:X1024,INT(A39))=1,VLOOKUP(INT(A39),X:Y,2), IF(ISERROR(H39-2),"",I38*(1-$D$8*(H39-H38)*0.0001)))</f>
        <v>265.19240000000002</v>
      </c>
      <c r="J39" s="41">
        <f t="shared" ca="1" si="8"/>
        <v>265.19240000000002</v>
      </c>
      <c r="K39" s="43">
        <f t="shared" ca="1" si="9"/>
        <v>71662.805662807339</v>
      </c>
      <c r="L39" s="43" t="str">
        <f ca="1">IF($A39="","",IF(COUNTIFS(Dividends!$G:$G,"&gt;"&amp;INT($A38),Dividends!$G:$G,"&lt;="&amp;INT($A39))=0,"",$H$2*SUMIFS(Dividends!$H:$H,Dividends!$G:$G,"&gt;"&amp;INT($A38),Dividends!$G:$G,"&lt;="&amp;INT($A39))))</f>
        <v/>
      </c>
      <c r="M39" s="44">
        <f ca="1">IF(ISERROR(B39-2),"",C39+D39-F39-G39-K39+SUM($L$14:L39))</f>
        <v>-12653.266169459523</v>
      </c>
      <c r="O39" s="3">
        <v>46100.625</v>
      </c>
      <c r="P39" s="4">
        <v>89.42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46100.625</v>
      </c>
      <c r="V39" s="3" t="str">
        <f t="shared" si="1"/>
        <v/>
      </c>
      <c r="W39" s="3">
        <v>46170.625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6">
        <v>45832</v>
      </c>
      <c r="AC39" s="4">
        <v>291.75099999999998</v>
      </c>
      <c r="AD39" s="6">
        <f t="shared" si="2"/>
        <v>45832</v>
      </c>
    </row>
    <row r="40" spans="1:30" x14ac:dyDescent="0.25">
      <c r="A40" s="39">
        <f t="shared" ca="1" si="3"/>
        <v>46155.625</v>
      </c>
      <c r="B40" s="40">
        <f ca="1">IF(COUNTIF($W$2:W1025,A40)=1,VLOOKUP(A40,O:P,2), IF(COUNTIF($W$2:W1025,A40)=0,$B$9,""))</f>
        <v>91.31</v>
      </c>
      <c r="C40" s="2">
        <f t="shared" ca="1" si="4"/>
        <v>49363.756033349302</v>
      </c>
      <c r="D40" s="43">
        <f t="shared" ca="1" si="5"/>
        <v>-92750</v>
      </c>
      <c r="E40" s="40">
        <f ca="1">IF(COUNTIF($W$2:W1025,A40)=1,VLOOKUP(A40,Q:R,2), IF(COUNTIF($W$2:W1025,A40)=0,$C$9,""))</f>
        <v>99.292000000000002</v>
      </c>
      <c r="F40" s="2">
        <f t="shared" ca="1" si="6"/>
        <v>-118299.99999999955</v>
      </c>
      <c r="G40" s="43">
        <f t="shared" ca="1" si="7"/>
        <v>184.18400000000838</v>
      </c>
      <c r="H40" s="40">
        <f ca="1">IF(COUNTIF($W$2:W1025,A40)=1,VLOOKUP(A40,S:T,2), IF(COUNTIF($W$2:W1025,A40)=0,$D$9,""))</f>
        <v>280.03899999999999</v>
      </c>
      <c r="I40" s="41">
        <f ca="1">IF(COUNTIF($X$2:X1025,INT(A40))=1,VLOOKUP(INT(A40),X:Y,2), IF(ISERROR(H40-2),"",I39*(1-$D$8*(H40-H39)*0.0001)))</f>
        <v>265.76659999999998</v>
      </c>
      <c r="J40" s="41">
        <f t="shared" ca="1" si="8"/>
        <v>265.76659999999998</v>
      </c>
      <c r="K40" s="43">
        <f t="shared" ca="1" si="9"/>
        <v>112307.59330759221</v>
      </c>
      <c r="L40" s="43" t="str">
        <f ca="1">IF($A40="","",IF(COUNTIFS(Dividends!$G:$G,"&gt;"&amp;INT($A39),Dividends!$G:$G,"&lt;="&amp;INT($A40))=0,"",$H$2*SUMIFS(Dividends!$H:$H,Dividends!$G:$G,"&gt;"&amp;INT($A39),Dividends!$G:$G,"&lt;="&amp;INT($A40))))</f>
        <v/>
      </c>
      <c r="M40" s="44">
        <f ca="1">IF(ISERROR(B40-2),"",C40+D40-F40-G40-K40+SUM($L$14:L40))</f>
        <v>-37578.021274243365</v>
      </c>
      <c r="O40" s="3">
        <v>46101.625</v>
      </c>
      <c r="P40" s="4">
        <v>89.08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46101.625</v>
      </c>
      <c r="V40" s="3" t="str">
        <f t="shared" si="1"/>
        <v/>
      </c>
      <c r="W40" s="3">
        <v>46171.625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6">
        <v>45833</v>
      </c>
      <c r="AC40" s="4">
        <v>292.76</v>
      </c>
      <c r="AD40" s="6">
        <f t="shared" si="2"/>
        <v>45833</v>
      </c>
    </row>
    <row r="41" spans="1:30" x14ac:dyDescent="0.25">
      <c r="A41" s="39">
        <f t="shared" ca="1" si="3"/>
        <v>46156.625</v>
      </c>
      <c r="B41" s="40">
        <f ca="1">IF(COUNTIF($W$2:W1026,A41)=1,VLOOKUP(A41,O:P,2), IF(COUNTIF($W$2:W1026,A41)=0,$B$9,""))</f>
        <v>91.4</v>
      </c>
      <c r="C41" s="2">
        <f t="shared" ca="1" si="4"/>
        <v>78982.00965335888</v>
      </c>
      <c r="D41" s="43">
        <f t="shared" ca="1" si="5"/>
        <v>-94958.333333333328</v>
      </c>
      <c r="E41" s="40">
        <f ca="1">IF(COUNTIF($W$2:W1026,A41)=1,VLOOKUP(A41,Q:R,2), IF(COUNTIF($W$2:W1026,A41)=0,$C$9,""))</f>
        <v>99.430999999999997</v>
      </c>
      <c r="F41" s="2">
        <f t="shared" ca="1" si="6"/>
        <v>-82160.000000000655</v>
      </c>
      <c r="G41" s="43">
        <f t="shared" ca="1" si="7"/>
        <v>188.56933333333291</v>
      </c>
      <c r="H41" s="40">
        <f ca="1">IF(COUNTIF($W$2:W1026,A41)=1,VLOOKUP(A41,S:T,2), IF(COUNTIF($W$2:W1026,A41)=0,$D$9,""))</f>
        <v>274.584</v>
      </c>
      <c r="I41" s="41">
        <f ca="1">IF(COUNTIF($X$2:X1026,INT(A41))=1,VLOOKUP(INT(A41),X:Y,2), IF(ISERROR(H41-2),"",I40*(1-$D$8*(H41-H40)*0.0001)))</f>
        <v>266.41410000000002</v>
      </c>
      <c r="J41" s="41">
        <f t="shared" ca="1" si="8"/>
        <v>266.41410000000002</v>
      </c>
      <c r="K41" s="43">
        <f t="shared" ca="1" si="9"/>
        <v>158140.92664092954</v>
      </c>
      <c r="L41" s="43" t="str">
        <f ca="1">IF($A41="","",IF(COUNTIFS(Dividends!$G:$G,"&gt;"&amp;INT($A40),Dividends!$G:$G,"&lt;="&amp;INT($A41))=0,"",$H$2*SUMIFS(Dividends!$H:$H,Dividends!$G:$G,"&gt;"&amp;INT($A40),Dividends!$G:$G,"&lt;="&amp;INT($A41))))</f>
        <v/>
      </c>
      <c r="M41" s="44">
        <f ca="1">IF(ISERROR(B41-2),"",C41+D41-F41-G41-K41+SUM($L$14:L41))</f>
        <v>-92145.819654236664</v>
      </c>
      <c r="O41" s="3">
        <v>46104.625</v>
      </c>
      <c r="P41" s="4">
        <v>89.33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46104.625</v>
      </c>
      <c r="V41" s="3" t="str">
        <f t="shared" si="1"/>
        <v/>
      </c>
      <c r="W41" s="3">
        <v>46174.625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6">
        <v>45834</v>
      </c>
      <c r="AC41" s="4">
        <v>290.53100000000001</v>
      </c>
      <c r="AD41" s="6">
        <f t="shared" si="2"/>
        <v>45834</v>
      </c>
    </row>
    <row r="42" spans="1:30" x14ac:dyDescent="0.25">
      <c r="A42" s="39">
        <f t="shared" ca="1" si="3"/>
        <v>46157.625</v>
      </c>
      <c r="B42" s="40">
        <f ca="1">IF(COUNTIF($W$2:W1027,A42)=1,VLOOKUP(A42,O:P,2), IF(COUNTIF($W$2:W1027,A42)=0,$B$9,""))</f>
        <v>91.28</v>
      </c>
      <c r="C42" s="2">
        <f t="shared" ca="1" si="4"/>
        <v>39491.00482667944</v>
      </c>
      <c r="D42" s="43">
        <f t="shared" ca="1" si="5"/>
        <v>-97166.666666666657</v>
      </c>
      <c r="E42" s="40">
        <f ca="1">IF(COUNTIF($W$2:W1027,A42)=1,VLOOKUP(A42,Q:R,2), IF(COUNTIF($W$2:W1027,A42)=0,$C$9,""))</f>
        <v>99.259</v>
      </c>
      <c r="F42" s="2">
        <f t="shared" ca="1" si="6"/>
        <v>-126879.99999999988</v>
      </c>
      <c r="G42" s="43">
        <f t="shared" ca="1" si="7"/>
        <v>192.95466666667198</v>
      </c>
      <c r="H42" s="40">
        <f ca="1">IF(COUNTIF($W$2:W1027,A42)=1,VLOOKUP(A42,S:T,2), IF(COUNTIF($W$2:W1027,A42)=0,$D$9,""))</f>
        <v>280.37200000000001</v>
      </c>
      <c r="I42" s="41">
        <f ca="1">IF(COUNTIF($X$2:X1027,INT(A42))=1,VLOOKUP(INT(A42),X:Y,2), IF(ISERROR(H42-2),"",I41*(1-$D$8*(H42-H41)*0.0001)))</f>
        <v>265.51639999999998</v>
      </c>
      <c r="J42" s="41">
        <f t="shared" ca="1" si="8"/>
        <v>265.51639999999998</v>
      </c>
      <c r="K42" s="43">
        <f t="shared" ca="1" si="9"/>
        <v>94597.168597164811</v>
      </c>
      <c r="L42" s="43" t="str">
        <f ca="1">IF($A42="","",IF(COUNTIFS(Dividends!$G:$G,"&gt;"&amp;INT($A41),Dividends!$G:$G,"&lt;="&amp;INT($A42))=0,"",$H$2*SUMIFS(Dividends!$H:$H,Dividends!$G:$G,"&gt;"&amp;INT($A41),Dividends!$G:$G,"&lt;="&amp;INT($A42))))</f>
        <v/>
      </c>
      <c r="M42" s="44">
        <f ca="1">IF(ISERROR(B42-2),"",C42+D42-F42-G42-K42+SUM($L$14:L42))</f>
        <v>-25585.785103818809</v>
      </c>
      <c r="O42" s="3">
        <v>46105.625</v>
      </c>
      <c r="P42" s="4">
        <v>89.26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46105.625</v>
      </c>
      <c r="V42" s="3" t="str">
        <f t="shared" si="1"/>
        <v/>
      </c>
      <c r="W42" s="3">
        <v>46175.625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6">
        <v>45835</v>
      </c>
      <c r="AC42" s="4">
        <v>284.21499999999997</v>
      </c>
      <c r="AD42" s="6">
        <f t="shared" si="2"/>
        <v>45835</v>
      </c>
    </row>
    <row r="43" spans="1:30" x14ac:dyDescent="0.25">
      <c r="A43" s="39">
        <f t="shared" ca="1" si="3"/>
        <v>46160.625</v>
      </c>
      <c r="B43" s="40">
        <f ca="1">IF(COUNTIF($W$2:W1028,A43)=1,VLOOKUP(A43,O:P,2), IF(COUNTIF($W$2:W1028,A43)=0,$B$9,""))</f>
        <v>91.22</v>
      </c>
      <c r="C43" s="2">
        <f t="shared" ca="1" si="4"/>
        <v>19745.50241333972</v>
      </c>
      <c r="D43" s="43">
        <f t="shared" ca="1" si="5"/>
        <v>-103791.66666666667</v>
      </c>
      <c r="E43" s="40">
        <f ca="1">IF(COUNTIF($W$2:W1028,A43)=1,VLOOKUP(A43,Q:R,2), IF(COUNTIF($W$2:W1028,A43)=0,$C$9,""))</f>
        <v>99.296000000000006</v>
      </c>
      <c r="F43" s="2">
        <f t="shared" ca="1" si="6"/>
        <v>-117259.99999999828</v>
      </c>
      <c r="G43" s="43">
        <f t="shared" ca="1" si="7"/>
        <v>206.11066666666011</v>
      </c>
      <c r="H43" s="40">
        <f ca="1">IF(COUNTIF($W$2:W1028,A43)=1,VLOOKUP(A43,S:T,2), IF(COUNTIF($W$2:W1028,A43)=0,$D$9,""))</f>
        <v>279.00200000000001</v>
      </c>
      <c r="I43" s="41">
        <f ca="1">IF(COUNTIF($X$2:X1028,INT(A43))=1,VLOOKUP(INT(A43),X:Y,2), IF(ISERROR(H43-2),"",I42*(1-$D$8*(H43-H42)*0.0001)))</f>
        <v>265.6705</v>
      </c>
      <c r="J43" s="41">
        <f t="shared" ca="1" si="8"/>
        <v>265.6705</v>
      </c>
      <c r="K43" s="43">
        <f t="shared" ca="1" si="9"/>
        <v>105505.14800514976</v>
      </c>
      <c r="L43" s="43" t="str">
        <f ca="1">IF($A43="","",IF(COUNTIFS(Dividends!$G:$G,"&gt;"&amp;INT($A42),Dividends!$G:$G,"&lt;="&amp;INT($A43))=0,"",$H$2*SUMIFS(Dividends!$H:$H,Dividends!$G:$G,"&gt;"&amp;INT($A42),Dividends!$G:$G,"&lt;="&amp;INT($A43))))</f>
        <v/>
      </c>
      <c r="M43" s="44">
        <f ca="1">IF(ISERROR(B43-2),"",C43+D43-F43-G43-K43+SUM($L$14:L43))</f>
        <v>-72497.422925145089</v>
      </c>
      <c r="O43" s="3">
        <v>46106.625</v>
      </c>
      <c r="P43" s="4">
        <v>89.54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46106.625</v>
      </c>
      <c r="V43" s="3" t="str">
        <f t="shared" si="1"/>
        <v/>
      </c>
      <c r="W43" s="3">
        <v>46176.625</v>
      </c>
      <c r="X43" s="3">
        <v>46099</v>
      </c>
      <c r="Y43" s="5">
        <v>258.3931</v>
      </c>
      <c r="Z43" s="3">
        <v>45838</v>
      </c>
      <c r="AA43" s="4">
        <v>239.3235</v>
      </c>
      <c r="AB43" s="6">
        <v>45838</v>
      </c>
      <c r="AC43" s="4">
        <v>282.54000000000002</v>
      </c>
      <c r="AD43" s="6">
        <f t="shared" si="2"/>
        <v>45838</v>
      </c>
    </row>
    <row r="44" spans="1:30" x14ac:dyDescent="0.25">
      <c r="A44" s="39">
        <f t="shared" ca="1" si="3"/>
        <v>46161.625</v>
      </c>
      <c r="B44" s="40">
        <f ca="1">IF(COUNTIF($W$2:W1029,A44)=1,VLOOKUP(A44,O:P,2), IF(COUNTIF($W$2:W1029,A44)=0,$B$9,""))</f>
        <v>90.83</v>
      </c>
      <c r="C44" s="2">
        <f t="shared" ca="1" si="4"/>
        <v>-108600.26327336514</v>
      </c>
      <c r="D44" s="43">
        <f t="shared" ca="1" si="5"/>
        <v>-106000</v>
      </c>
      <c r="E44" s="40">
        <f ca="1">IF(COUNTIF($W$2:W1029,A44)=1,VLOOKUP(A44,Q:R,2), IF(COUNTIF($W$2:W1029,A44)=0,$C$9,""))</f>
        <v>99.180999999999997</v>
      </c>
      <c r="F44" s="2">
        <f t="shared" ca="1" si="6"/>
        <v>-147160.00000000067</v>
      </c>
      <c r="G44" s="43">
        <f t="shared" ca="1" si="7"/>
        <v>210.49599999999919</v>
      </c>
      <c r="H44" s="40">
        <f ca="1">IF(COUNTIF($W$2:W1029,A44)=1,VLOOKUP(A44,S:T,2), IF(COUNTIF($W$2:W1029,A44)=0,$D$9,""))</f>
        <v>285.488</v>
      </c>
      <c r="I44" s="41">
        <f ca="1">IF(COUNTIF($X$2:X1029,INT(A44))=1,VLOOKUP(INT(A44),X:Y,2), IF(ISERROR(H44-2),"",I43*(1-$D$8*(H44-H43)*0.0001)))</f>
        <v>265.08920000000001</v>
      </c>
      <c r="J44" s="41">
        <f t="shared" ca="1" si="8"/>
        <v>265.08920000000001</v>
      </c>
      <c r="K44" s="43">
        <f t="shared" ca="1" si="9"/>
        <v>64357.786357786084</v>
      </c>
      <c r="L44" s="43" t="str">
        <f ca="1">IF($A44="","",IF(COUNTIFS(Dividends!$G:$G,"&gt;"&amp;INT($A43),Dividends!$G:$G,"&lt;="&amp;INT($A44))=0,"",$H$2*SUMIFS(Dividends!$H:$H,Dividends!$G:$G,"&gt;"&amp;INT($A43),Dividends!$G:$G,"&lt;="&amp;INT($A44))))</f>
        <v/>
      </c>
      <c r="M44" s="44">
        <f ca="1">IF(ISERROR(B44-2),"",C44+D44-F44-G44-K44+SUM($L$14:L44))</f>
        <v>-132008.54563115057</v>
      </c>
      <c r="O44" s="3">
        <v>46107.625</v>
      </c>
      <c r="P44" s="4">
        <v>89.29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>
        <f t="shared" si="0"/>
        <v>46107.625</v>
      </c>
      <c r="V44" s="3" t="str">
        <f t="shared" si="1"/>
        <v/>
      </c>
      <c r="W44" s="3">
        <v>46177.625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6">
        <v>45839</v>
      </c>
      <c r="AC44" s="4">
        <v>282.95999999999998</v>
      </c>
      <c r="AD44" s="6">
        <f t="shared" si="2"/>
        <v>45839</v>
      </c>
    </row>
    <row r="45" spans="1:30" x14ac:dyDescent="0.25">
      <c r="A45" s="39">
        <f t="shared" ca="1" si="3"/>
        <v>46162.625</v>
      </c>
      <c r="B45" s="40">
        <f ca="1">IF(COUNTIF($W$2:W1030,A45)=1,VLOOKUP(A45,O:P,2), IF(COUNTIF($W$2:W1030,A45)=0,$B$9,""))</f>
        <v>91.06</v>
      </c>
      <c r="C45" s="2">
        <f t="shared" ca="1" si="4"/>
        <v>-32909.170688897313</v>
      </c>
      <c r="D45" s="43">
        <f t="shared" ca="1" si="5"/>
        <v>-108208.33333333331</v>
      </c>
      <c r="E45" s="40">
        <f ca="1">IF(COUNTIF($W$2:W1030,A45)=1,VLOOKUP(A45,Q:R,2), IF(COUNTIF($W$2:W1030,A45)=0,$C$9,""))</f>
        <v>99.39</v>
      </c>
      <c r="F45" s="2">
        <f t="shared" ca="1" si="6"/>
        <v>-92819.999999999825</v>
      </c>
      <c r="G45" s="43">
        <f t="shared" ca="1" si="7"/>
        <v>214.88133333333826</v>
      </c>
      <c r="H45" s="40">
        <f ca="1">IF(COUNTIF($W$2:W1030,A45)=1,VLOOKUP(A45,S:T,2), IF(COUNTIF($W$2:W1030,A45)=0,$D$9,""))</f>
        <v>278.315</v>
      </c>
      <c r="I45" s="41">
        <f ca="1">IF(COUNTIF($X$2:X1030,INT(A45))=1,VLOOKUP(INT(A45),X:Y,2), IF(ISERROR(H45-2),"",I44*(1-$D$8*(H45-H44)*0.0001)))</f>
        <v>266.18329999999997</v>
      </c>
      <c r="J45" s="41">
        <f t="shared" ca="1" si="8"/>
        <v>266.18329999999997</v>
      </c>
      <c r="K45" s="43">
        <f t="shared" ca="1" si="9"/>
        <v>141803.73230372972</v>
      </c>
      <c r="L45" s="43" t="str">
        <f ca="1">IF($A45="","",IF(COUNTIFS(Dividends!$G:$G,"&gt;"&amp;INT($A44),Dividends!$G:$G,"&lt;="&amp;INT($A45))=0,"",$H$2*SUMIFS(Dividends!$H:$H,Dividends!$G:$G,"&gt;"&amp;INT($A44),Dividends!$G:$G,"&lt;="&amp;INT($A45))))</f>
        <v/>
      </c>
      <c r="M45" s="44">
        <f ca="1">IF(ISERROR(B45-2),"",C45+D45-F45-G45-K45+SUM($L$14:L45))</f>
        <v>-190316.11765929387</v>
      </c>
      <c r="O45" s="3">
        <v>46108.625</v>
      </c>
      <c r="P45" s="4">
        <v>88.99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46108.625</v>
      </c>
      <c r="V45" s="3" t="str">
        <f t="shared" si="1"/>
        <v/>
      </c>
      <c r="W45" s="3">
        <v>46178.625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6">
        <v>45840</v>
      </c>
      <c r="AC45" s="4">
        <v>283.459</v>
      </c>
      <c r="AD45" s="6">
        <f t="shared" si="2"/>
        <v>45840</v>
      </c>
    </row>
    <row r="46" spans="1:30" x14ac:dyDescent="0.25">
      <c r="A46" s="39">
        <f t="shared" ca="1" si="3"/>
        <v>46163.625</v>
      </c>
      <c r="B46" s="40">
        <f ca="1">IF(COUNTIF($W$2:W1031,A46)=1,VLOOKUP(A46,O:P,2), IF(COUNTIF($W$2:W1031,A46)=0,$B$9,""))</f>
        <v>91.15</v>
      </c>
      <c r="C46" s="2">
        <f t="shared" ca="1" si="4"/>
        <v>-3290.917068887733</v>
      </c>
      <c r="D46" s="43">
        <f t="shared" ca="1" si="5"/>
        <v>-110416.66666666666</v>
      </c>
      <c r="E46" s="40">
        <f ca="1">IF(COUNTIF($W$2:W1031,A46)=1,VLOOKUP(A46,Q:R,2), IF(COUNTIF($W$2:W1031,A46)=0,$C$9,""))</f>
        <v>99.37</v>
      </c>
      <c r="F46" s="2">
        <f t="shared" ca="1" si="6"/>
        <v>-98019.999999998792</v>
      </c>
      <c r="G46" s="43">
        <f t="shared" ca="1" si="7"/>
        <v>219.26666666667734</v>
      </c>
      <c r="H46" s="40">
        <f ca="1">IF(COUNTIF($W$2:W1031,A46)=1,VLOOKUP(A46,S:T,2), IF(COUNTIF($W$2:W1031,A46)=0,$D$9,""))</f>
        <v>279.541</v>
      </c>
      <c r="I46" s="41">
        <f ca="1">IF(COUNTIF($X$2:X1031,INT(A46))=1,VLOOKUP(INT(A46),X:Y,2), IF(ISERROR(H46-2),"",I45*(1-$D$8*(H46-H45)*0.0001)))</f>
        <v>265.81610000000001</v>
      </c>
      <c r="J46" s="41">
        <f t="shared" ca="1" si="8"/>
        <v>265.81610000000001</v>
      </c>
      <c r="K46" s="43">
        <f t="shared" ca="1" si="9"/>
        <v>115811.45431145377</v>
      </c>
      <c r="L46" s="43" t="str">
        <f ca="1">IF($A46="","",IF(COUNTIFS(Dividends!$G:$G,"&gt;"&amp;INT($A45),Dividends!$G:$G,"&lt;="&amp;INT($A46))=0,"",$H$2*SUMIFS(Dividends!$H:$H,Dividends!$G:$G,"&gt;"&amp;INT($A45),Dividends!$G:$G,"&lt;="&amp;INT($A46))))</f>
        <v/>
      </c>
      <c r="M46" s="44">
        <f ca="1">IF(ISERROR(B46-2),"",C46+D46-F46-G46-K46+SUM($L$14:L46))</f>
        <v>-131718.30471367604</v>
      </c>
      <c r="O46" s="3">
        <v>46111.625</v>
      </c>
      <c r="P46" s="4">
        <v>88.85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46111.625</v>
      </c>
      <c r="V46" s="3" t="str">
        <f t="shared" si="1"/>
        <v/>
      </c>
      <c r="W46" s="3">
        <v>46181.625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6">
        <v>45841</v>
      </c>
      <c r="AC46" s="4">
        <v>278.322</v>
      </c>
      <c r="AD46" s="6">
        <f t="shared" si="2"/>
        <v>45841</v>
      </c>
    </row>
    <row r="47" spans="1:30" x14ac:dyDescent="0.25">
      <c r="A47" s="39">
        <f t="shared" ca="1" si="3"/>
        <v>46164.625</v>
      </c>
      <c r="B47" s="40">
        <f ca="1">IF(COUNTIF($W$2:W1032,A47)=1,VLOOKUP(A47,O:P,2), IF(COUNTIF($W$2:W1032,A47)=0,$B$9,""))</f>
        <v>91.28</v>
      </c>
      <c r="C47" s="2">
        <f t="shared" ca="1" si="4"/>
        <v>39491.00482667944</v>
      </c>
      <c r="D47" s="43">
        <f t="shared" ca="1" si="5"/>
        <v>-112625</v>
      </c>
      <c r="E47" s="40">
        <f ca="1">IF(COUNTIF($W$2:W1032,A47)=1,VLOOKUP(A47,Q:R,2), IF(COUNTIF($W$2:W1032,A47)=0,$C$9,""))</f>
        <v>99.453999999999994</v>
      </c>
      <c r="F47" s="2">
        <f t="shared" ca="1" si="6"/>
        <v>-76180.000000001659</v>
      </c>
      <c r="G47" s="43">
        <f t="shared" ca="1" si="7"/>
        <v>223.65199999998731</v>
      </c>
      <c r="H47" s="40">
        <f ca="1">IF(COUNTIF($W$2:W1032,A47)=1,VLOOKUP(A47,S:T,2), IF(COUNTIF($W$2:W1032,A47)=0,$D$9,""))</f>
        <v>273.86200000000002</v>
      </c>
      <c r="I47" s="41">
        <f ca="1">IF(COUNTIF($X$2:X1032,INT(A47))=1,VLOOKUP(INT(A47),X:Y,2), IF(ISERROR(H47-2),"",I46*(1-$D$8*(H47-H46)*0.0001)))</f>
        <v>266.66180000000003</v>
      </c>
      <c r="J47" s="41">
        <f t="shared" ca="1" si="8"/>
        <v>266.66180000000003</v>
      </c>
      <c r="K47" s="43">
        <f t="shared" ca="1" si="9"/>
        <v>175674.38867439001</v>
      </c>
      <c r="L47" s="43" t="str">
        <f ca="1">IF($A47="","",IF(COUNTIFS(Dividends!$G:$G,"&gt;"&amp;INT($A46),Dividends!$G:$G,"&lt;="&amp;INT($A47))=0,"",$H$2*SUMIFS(Dividends!$H:$H,Dividends!$G:$G,"&gt;"&amp;INT($A46),Dividends!$G:$G,"&lt;="&amp;INT($A47))))</f>
        <v/>
      </c>
      <c r="M47" s="44">
        <f ca="1">IF(ISERROR(B47-2),"",C47+D47-F47-G47-K47+SUM($L$14:L47))</f>
        <v>-172852.03584770887</v>
      </c>
      <c r="O47" s="3">
        <v>46112.625</v>
      </c>
      <c r="P47" s="4">
        <v>89.12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46112.625</v>
      </c>
      <c r="V47" s="3" t="str">
        <f t="shared" si="1"/>
        <v/>
      </c>
      <c r="W47" s="3">
        <v>46182.625</v>
      </c>
      <c r="X47" s="3">
        <v>46105</v>
      </c>
      <c r="Y47" s="5">
        <v>256.9957</v>
      </c>
      <c r="Z47" s="3">
        <v>45842</v>
      </c>
      <c r="AA47" s="4">
        <v>239.0291</v>
      </c>
      <c r="AB47" s="6">
        <v>45842</v>
      </c>
      <c r="AC47" s="4">
        <v>286.32499999999999</v>
      </c>
      <c r="AD47" s="6">
        <f t="shared" si="2"/>
        <v>45842</v>
      </c>
    </row>
    <row r="48" spans="1:30" x14ac:dyDescent="0.25">
      <c r="A48" s="39">
        <f t="shared" ca="1" si="3"/>
        <v>46168.625</v>
      </c>
      <c r="B48" s="40">
        <f ca="1">IF(COUNTIF($W$2:W1033,A48)=1,VLOOKUP(A48,O:P,2), IF(COUNTIF($W$2:W1033,A48)=0,$B$9,""))</f>
        <v>91.51</v>
      </c>
      <c r="C48" s="2">
        <f t="shared" ca="1" si="4"/>
        <v>115182.09741115059</v>
      </c>
      <c r="D48" s="43">
        <f t="shared" ca="1" si="5"/>
        <v>-121458.33333333334</v>
      </c>
      <c r="E48" s="40">
        <f ca="1">IF(COUNTIF($W$2:W1033,A48)=1,VLOOKUP(A48,Q:R,2), IF(COUNTIF($W$2:W1033,A48)=0,$C$9,""))</f>
        <v>99.56</v>
      </c>
      <c r="F48" s="2">
        <f t="shared" ca="1" si="6"/>
        <v>-48619.999999999374</v>
      </c>
      <c r="G48" s="43">
        <f t="shared" ca="1" si="7"/>
        <v>241.19333333332906</v>
      </c>
      <c r="H48" s="40">
        <f ca="1">IF(COUNTIF($W$2:W1033,A48)=1,VLOOKUP(A48,S:T,2), IF(COUNTIF($W$2:W1033,A48)=0,$D$9,""))</f>
        <v>268.83499999999998</v>
      </c>
      <c r="I48" s="41">
        <f ca="1">IF(COUNTIF($X$2:X1033,INT(A48))=1,VLOOKUP(INT(A48),X:Y,2), IF(ISERROR(H48-2),"",I47*(1-$D$8*(H48-H47)*0.0001)))</f>
        <v>267.40750000000003</v>
      </c>
      <c r="J48" s="41">
        <f t="shared" ca="1" si="8"/>
        <v>267.40750000000003</v>
      </c>
      <c r="K48" s="43">
        <f t="shared" ca="1" si="9"/>
        <v>228458.81595881886</v>
      </c>
      <c r="L48" s="43" t="str">
        <f ca="1">IF($A48="","",IF(COUNTIFS(Dividends!$G:$G,"&gt;"&amp;INT($A47),Dividends!$G:$G,"&lt;="&amp;INT($A48))=0,"",$H$2*SUMIFS(Dividends!$H:$H,Dividends!$G:$G,"&gt;"&amp;INT($A47),Dividends!$G:$G,"&lt;="&amp;INT($A48))))</f>
        <v/>
      </c>
      <c r="M48" s="44">
        <f ca="1">IF(ISERROR(B48-2),"",C48+D48-F48-G48-K48+SUM($L$14:L48))</f>
        <v>-186356.24521433556</v>
      </c>
      <c r="O48" s="3">
        <v>46113.625</v>
      </c>
      <c r="P48" s="4">
        <v>89.8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46113.625</v>
      </c>
      <c r="V48" s="3" t="str">
        <f t="shared" si="1"/>
        <v/>
      </c>
      <c r="W48" s="3">
        <v>46183.625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6">
        <v>45845</v>
      </c>
      <c r="AC48" s="4">
        <v>282.00400000000002</v>
      </c>
      <c r="AD48" s="6">
        <f t="shared" si="2"/>
        <v>45845</v>
      </c>
    </row>
    <row r="49" spans="1:35" x14ac:dyDescent="0.25">
      <c r="A49" s="39">
        <f t="shared" ca="1" si="3"/>
        <v>46169.625</v>
      </c>
      <c r="B49" s="40">
        <f ca="1">IF(COUNTIF($W$2:W1034,A49)=1,VLOOKUP(A49,O:P,2), IF(COUNTIF($W$2:W1034,A49)=0,$B$9,""))</f>
        <v>91.58</v>
      </c>
      <c r="C49" s="2">
        <f t="shared" ca="1" si="4"/>
        <v>138218.51689337805</v>
      </c>
      <c r="D49" s="43">
        <f t="shared" ca="1" si="5"/>
        <v>-123666.66666666667</v>
      </c>
      <c r="E49" s="40">
        <f ca="1">IF(COUNTIF($W$2:W1034,A49)=1,VLOOKUP(A49,Q:R,2), IF(COUNTIF($W$2:W1034,A49)=0,$C$9,""))</f>
        <v>99.588999999999999</v>
      </c>
      <c r="F49" s="2">
        <f t="shared" ca="1" si="6"/>
        <v>-41080.000000000327</v>
      </c>
      <c r="G49" s="43">
        <f t="shared" ca="1" si="7"/>
        <v>245.57866666666814</v>
      </c>
      <c r="H49" s="40">
        <f ca="1">IF(COUNTIF($W$2:W1034,A49)=1,VLOOKUP(A49,S:T,2), IF(COUNTIF($W$2:W1034,A49)=0,$D$9,""))</f>
        <v>266.55900000000003</v>
      </c>
      <c r="I49" s="41">
        <f ca="1">IF(COUNTIF($X$2:X1034,INT(A49))=1,VLOOKUP(INT(A49),X:Y,2), IF(ISERROR(H49-2),"",I48*(1-$D$8*(H49-H48)*0.0001)))</f>
        <v>267.66390000000001</v>
      </c>
      <c r="J49" s="41">
        <f t="shared" ca="1" si="8"/>
        <v>267.66390000000001</v>
      </c>
      <c r="K49" s="43">
        <f t="shared" ca="1" si="9"/>
        <v>246608.10810810883</v>
      </c>
      <c r="L49" s="43" t="str">
        <f ca="1">IF($A49="","",IF(COUNTIFS(Dividends!$G:$G,"&gt;"&amp;INT($A48),Dividends!$G:$G,"&lt;="&amp;INT($A49))=0,"",$H$2*SUMIFS(Dividends!$H:$H,Dividends!$G:$G,"&gt;"&amp;INT($A48),Dividends!$G:$G,"&lt;="&amp;INT($A49))))</f>
        <v/>
      </c>
      <c r="M49" s="44">
        <f ca="1">IF(ISERROR(B49-2),"",C49+D49-F49-G49-K49+SUM($L$14:L49))</f>
        <v>-191221.83654806379</v>
      </c>
      <c r="O49" s="3">
        <v>46114.625</v>
      </c>
      <c r="P49" s="4">
        <v>89.7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46114.625</v>
      </c>
      <c r="V49" s="3">
        <f t="shared" si="1"/>
        <v>46114.625</v>
      </c>
      <c r="W49" s="3">
        <v>46184.625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6">
        <v>45846</v>
      </c>
      <c r="AC49" s="4">
        <v>282.16399999999999</v>
      </c>
      <c r="AD49" s="6">
        <f t="shared" si="2"/>
        <v>45846</v>
      </c>
    </row>
    <row r="50" spans="1:35" x14ac:dyDescent="0.25">
      <c r="A50" s="39">
        <f t="shared" ca="1" si="3"/>
        <v>46170.625</v>
      </c>
      <c r="B50" s="40">
        <f ca="1">IF(COUNTIF($W$2:W1035,A50)=1,VLOOKUP(A50,O:P,2), IF(COUNTIF($W$2:W1035,A50)=0,$B$9,""))</f>
        <v>91.7</v>
      </c>
      <c r="C50" s="2">
        <f t="shared" ca="1" si="4"/>
        <v>177709.5217200575</v>
      </c>
      <c r="D50" s="43">
        <f t="shared" ca="1" si="5"/>
        <v>-125874.99999999999</v>
      </c>
      <c r="E50" s="40">
        <f ca="1">IF(COUNTIF($W$2:W1035,A50)=1,VLOOKUP(A50,Q:R,2), IF(COUNTIF($W$2:W1035,A50)=0,$C$9,""))</f>
        <v>99.653999999999996</v>
      </c>
      <c r="F50" s="2">
        <f t="shared" ca="1" si="6"/>
        <v>-24180.000000000917</v>
      </c>
      <c r="G50" s="43">
        <f t="shared" ca="1" si="7"/>
        <v>249.96400000000722</v>
      </c>
      <c r="H50" s="40">
        <f ca="1">IF(COUNTIF($W$2:W1035,A50)=1,VLOOKUP(A50,S:T,2), IF(COUNTIF($W$2:W1035,A50)=0,$D$9,""))</f>
        <v>264.23200000000003</v>
      </c>
      <c r="I50" s="41">
        <f ca="1">IF(COUNTIF($X$2:X1035,INT(A50))=1,VLOOKUP(INT(A50),X:Y,2), IF(ISERROR(H50-2),"",I49*(1-$D$8*(H50-H49)*0.0001)))</f>
        <v>268.21620000000001</v>
      </c>
      <c r="J50" s="41">
        <f t="shared" ca="1" si="8"/>
        <v>268.21620000000001</v>
      </c>
      <c r="K50" s="43">
        <f t="shared" ca="1" si="9"/>
        <v>285702.7027027033</v>
      </c>
      <c r="L50" s="43" t="str">
        <f ca="1">IF($A50="","",IF(COUNTIFS(Dividends!$G:$G,"&gt;"&amp;INT($A49),Dividends!$G:$G,"&lt;="&amp;INT($A50))=0,"",$H$2*SUMIFS(Dividends!$H:$H,Dividends!$G:$G,"&gt;"&amp;INT($A49),Dividends!$G:$G,"&lt;="&amp;INT($A50))))</f>
        <v/>
      </c>
      <c r="M50" s="44">
        <f ca="1">IF(ISERROR(B50-2),"",C50+D50-F50-G50-K50+SUM($L$14:L50))</f>
        <v>-209938.14498264488</v>
      </c>
      <c r="O50" s="3">
        <v>46119.625</v>
      </c>
      <c r="P50" s="4">
        <v>89.6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46119.625</v>
      </c>
      <c r="V50" s="3">
        <f t="shared" si="1"/>
        <v>46119.625</v>
      </c>
      <c r="W50" s="3">
        <v>46185.625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6">
        <v>45847</v>
      </c>
      <c r="AC50" s="4">
        <v>278.887</v>
      </c>
      <c r="AD50" s="6">
        <f t="shared" si="2"/>
        <v>45847</v>
      </c>
    </row>
    <row r="51" spans="1:35" x14ac:dyDescent="0.25">
      <c r="A51" s="39">
        <f t="shared" ca="1" si="3"/>
        <v>46171.625</v>
      </c>
      <c r="B51" s="40">
        <f ca="1">IF(COUNTIF($W$2:W1036,A51)=1,VLOOKUP(A51,O:P,2), IF(COUNTIF($W$2:W1036,A51)=0,$B$9,""))</f>
        <v>91.85</v>
      </c>
      <c r="C51" s="2">
        <f t="shared" ca="1" si="4"/>
        <v>227073.27775340015</v>
      </c>
      <c r="D51" s="43">
        <f t="shared" ca="1" si="5"/>
        <v>-128083.33333333334</v>
      </c>
      <c r="E51" s="40">
        <f ca="1">IF(COUNTIF($W$2:W1036,A51)=1,VLOOKUP(A51,Q:R,2), IF(COUNTIF($W$2:W1036,A51)=0,$C$9,""))</f>
        <v>99.679000000000002</v>
      </c>
      <c r="F51" s="2">
        <f t="shared" ca="1" si="6"/>
        <v>-17679.999999999436</v>
      </c>
      <c r="G51" s="43">
        <f t="shared" ca="1" si="7"/>
        <v>254.34933333334629</v>
      </c>
      <c r="H51" s="40">
        <f ca="1">IF(COUNTIF($W$2:W1036,A51)=1,VLOOKUP(A51,S:T,2), IF(COUNTIF($W$2:W1036,A51)=0,$D$9,""))</f>
        <v>258.70600000000002</v>
      </c>
      <c r="I51" s="41">
        <f ca="1">IF(COUNTIF($X$2:X1036,INT(A51))=1,VLOOKUP(INT(A51),X:Y,2), IF(ISERROR(H51-2),"",I50*(1-$D$8*(H51-H50)*0.0001)))</f>
        <v>268.76229999999998</v>
      </c>
      <c r="J51" s="41">
        <f t="shared" ca="1" si="8"/>
        <v>268.76229999999998</v>
      </c>
      <c r="K51" s="43">
        <f t="shared" ca="1" si="9"/>
        <v>324358.42985842697</v>
      </c>
      <c r="L51" s="43" t="str">
        <f ca="1">IF($A51="","",IF(COUNTIFS(Dividends!$G:$G,"&gt;"&amp;INT($A50),Dividends!$G:$G,"&lt;="&amp;INT($A51))=0,"",$H$2*SUMIFS(Dividends!$H:$H,Dividends!$G:$G,"&gt;"&amp;INT($A50),Dividends!$G:$G,"&lt;="&amp;INT($A51))))</f>
        <v/>
      </c>
      <c r="M51" s="44">
        <f ca="1">IF(ISERROR(B51-2),"",C51+D51-F51-G51-K51+SUM($L$14:L51))</f>
        <v>-207942.83477169409</v>
      </c>
      <c r="O51" s="3">
        <v>46120.625</v>
      </c>
      <c r="P51" s="4">
        <v>90.56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46120.625</v>
      </c>
      <c r="V51" s="3">
        <f t="shared" si="1"/>
        <v>46120.625</v>
      </c>
      <c r="W51" s="3">
        <v>46188.625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6">
        <v>45848</v>
      </c>
      <c r="AC51" s="4">
        <v>277.661</v>
      </c>
      <c r="AD51" s="6">
        <f t="shared" si="2"/>
        <v>45848</v>
      </c>
    </row>
    <row r="52" spans="1:35" x14ac:dyDescent="0.25">
      <c r="A52" s="39">
        <f t="shared" ca="1" si="3"/>
        <v>46174.625</v>
      </c>
      <c r="B52" s="40">
        <f ca="1">IF(COUNTIF($W$2:W1037,A52)=1,VLOOKUP(A52,O:P,2), IF(COUNTIF($W$2:W1037,A52)=0,$B$9,""))</f>
        <v>91.65</v>
      </c>
      <c r="C52" s="2">
        <f t="shared" ca="1" si="4"/>
        <v>161254.9363756055</v>
      </c>
      <c r="D52" s="43">
        <f t="shared" ca="1" si="5"/>
        <v>-134708.33333333334</v>
      </c>
      <c r="E52" s="40">
        <f ca="1">IF(COUNTIF($W$2:W1037,A52)=1,VLOOKUP(A52,Q:R,2), IF(COUNTIF($W$2:W1037,A52)=0,$C$9,""))</f>
        <v>99.450999999999993</v>
      </c>
      <c r="F52" s="2">
        <f t="shared" ca="1" si="6"/>
        <v>-76960.000000001688</v>
      </c>
      <c r="G52" s="43">
        <f t="shared" ca="1" si="7"/>
        <v>267.50533333333442</v>
      </c>
      <c r="H52" s="40">
        <f ca="1">IF(COUNTIF($W$2:W1037,A52)=1,VLOOKUP(A52,S:T,2), IF(COUNTIF($W$2:W1037,A52)=0,$D$9,""))</f>
        <v>265.43599999999998</v>
      </c>
      <c r="I52" s="41">
        <f ca="1">IF(COUNTIF($X$2:X1037,INT(A52))=1,VLOOKUP(INT(A52),X:Y,2), IF(ISERROR(H52-2),"",I51*(1-$D$8*(H52-H51)*0.0001)))</f>
        <v>268.39839999999998</v>
      </c>
      <c r="J52" s="41">
        <f t="shared" ca="1" si="8"/>
        <v>268.39839999999998</v>
      </c>
      <c r="K52" s="43">
        <f t="shared" ca="1" si="9"/>
        <v>298599.74259974121</v>
      </c>
      <c r="L52" s="43" t="str">
        <f ca="1">IF($A52="","",IF(COUNTIFS(Dividends!$G:$G,"&gt;"&amp;INT($A51),Dividends!$G:$G,"&lt;="&amp;INT($A52))=0,"",$H$2*SUMIFS(Dividends!$H:$H,Dividends!$G:$G,"&gt;"&amp;INT($A51),Dividends!$G:$G,"&lt;="&amp;INT($A52))))</f>
        <v/>
      </c>
      <c r="M52" s="44">
        <f ca="1">IF(ISERROR(B52-2),"",C52+D52-F52-G52-K52+SUM($L$14:L52))</f>
        <v>-195360.6448908007</v>
      </c>
      <c r="O52" s="3">
        <v>46121.625</v>
      </c>
      <c r="P52" s="4">
        <v>90.47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46121.625</v>
      </c>
      <c r="V52" s="3">
        <f t="shared" si="1"/>
        <v>46121.625</v>
      </c>
      <c r="W52" s="3">
        <v>46189.625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6">
        <v>45849</v>
      </c>
      <c r="AC52" s="4">
        <v>281.73500000000001</v>
      </c>
      <c r="AD52" s="6">
        <f t="shared" si="2"/>
        <v>45849</v>
      </c>
    </row>
    <row r="53" spans="1:35" x14ac:dyDescent="0.25">
      <c r="A53" s="39">
        <f t="shared" ca="1" si="3"/>
        <v>46175.625</v>
      </c>
      <c r="B53" s="40">
        <f ca="1">IF(COUNTIF($W$2:W1038,A53)=1,VLOOKUP(A53,O:P,2), IF(COUNTIF($W$2:W1038,A53)=0,$B$9,""))</f>
        <v>91.88</v>
      </c>
      <c r="C53" s="2">
        <f t="shared" ca="1" si="4"/>
        <v>236946.02896006999</v>
      </c>
      <c r="D53" s="43">
        <f t="shared" ca="1" si="5"/>
        <v>-136916.66666666666</v>
      </c>
      <c r="E53" s="40">
        <f ca="1">IF(COUNTIF($W$2:W1038,A53)=1,VLOOKUP(A53,Q:R,2), IF(COUNTIF($W$2:W1038,A53)=0,$C$9,""))</f>
        <v>99.534999999999997</v>
      </c>
      <c r="F53" s="2">
        <f t="shared" ca="1" si="6"/>
        <v>-55120.000000000859</v>
      </c>
      <c r="G53" s="43">
        <f t="shared" ca="1" si="7"/>
        <v>271.8906666666735</v>
      </c>
      <c r="H53" s="40">
        <f ca="1">IF(COUNTIF($W$2:W1038,A53)=1,VLOOKUP(A53,S:T,2), IF(COUNTIF($W$2:W1038,A53)=0,$D$9,""))</f>
        <v>258.46100000000001</v>
      </c>
      <c r="I53" s="41">
        <f ca="1">IF(COUNTIF($X$2:X1038,INT(A53))=1,VLOOKUP(INT(A53),X:Y,2), IF(ISERROR(H53-2),"",I52*(1-$D$8*(H53-H52)*0.0001)))</f>
        <v>268.89879999999999</v>
      </c>
      <c r="J53" s="41">
        <f t="shared" ca="1" si="8"/>
        <v>268.89879999999999</v>
      </c>
      <c r="K53" s="43">
        <f t="shared" ca="1" si="9"/>
        <v>334020.5920205919</v>
      </c>
      <c r="L53" s="43" t="str">
        <f ca="1">IF($A53="","",IF(COUNTIFS(Dividends!$G:$G,"&gt;"&amp;INT($A52),Dividends!$G:$G,"&lt;="&amp;INT($A53))=0,"",$H$2*SUMIFS(Dividends!$H:$H,Dividends!$G:$G,"&gt;"&amp;INT($A52),Dividends!$G:$G,"&lt;="&amp;INT($A53))))</f>
        <v/>
      </c>
      <c r="M53" s="44">
        <f ca="1">IF(ISERROR(B53-2),"",C53+D53-F53-G53-K53+SUM($L$14:L53))</f>
        <v>-179143.12039385439</v>
      </c>
      <c r="O53" s="3">
        <v>46122.625</v>
      </c>
      <c r="P53" s="4">
        <v>90.75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46122.625</v>
      </c>
      <c r="V53" s="3">
        <f t="shared" si="1"/>
        <v>46122.625</v>
      </c>
      <c r="W53" s="3">
        <v>46190.625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6">
        <v>45852</v>
      </c>
      <c r="AC53" s="4">
        <v>282.80599999999998</v>
      </c>
      <c r="AD53" s="6">
        <f t="shared" si="2"/>
        <v>45852</v>
      </c>
    </row>
    <row r="54" spans="1:35" x14ac:dyDescent="0.25">
      <c r="A54" s="39">
        <f t="shared" ca="1" si="3"/>
        <v>46176.625</v>
      </c>
      <c r="B54" s="40">
        <f ca="1">IF(COUNTIF($W$2:W1039,A54)=1,VLOOKUP(A54,O:P,2), IF(COUNTIF($W$2:W1039,A54)=0,$B$9,""))</f>
        <v>91.75</v>
      </c>
      <c r="C54" s="2">
        <f t="shared" ca="1" si="4"/>
        <v>194164.10706450281</v>
      </c>
      <c r="D54" s="43">
        <f t="shared" ca="1" si="5"/>
        <v>-139124.99999999997</v>
      </c>
      <c r="E54" s="40">
        <f ca="1">IF(COUNTIF($W$2:W1039,A54)=1,VLOOKUP(A54,Q:R,2), IF(COUNTIF($W$2:W1039,A54)=0,$C$9,""))</f>
        <v>99.421999999999997</v>
      </c>
      <c r="F54" s="2">
        <f t="shared" ca="1" si="6"/>
        <v>-84500.000000000742</v>
      </c>
      <c r="G54" s="43">
        <f t="shared" ca="1" si="7"/>
        <v>276.27599999999802</v>
      </c>
      <c r="H54" s="40">
        <f ca="1">IF(COUNTIF($W$2:W1039,A54)=1,VLOOKUP(A54,S:T,2), IF(COUNTIF($W$2:W1039,A54)=0,$D$9,""))</f>
        <v>261.79599999999999</v>
      </c>
      <c r="I54" s="41">
        <f ca="1">IF(COUNTIF($X$2:X1039,INT(A54))=1,VLOOKUP(INT(A54),X:Y,2), IF(ISERROR(H54-2),"",I53*(1-$D$8*(H54-H53)*0.0001)))</f>
        <v>268.40789999999998</v>
      </c>
      <c r="J54" s="41">
        <f t="shared" ca="1" si="8"/>
        <v>268.40789999999998</v>
      </c>
      <c r="K54" s="43">
        <f t="shared" ca="1" si="9"/>
        <v>299272.20077219815</v>
      </c>
      <c r="L54" s="43" t="str">
        <f ca="1">IF($A54="","",IF(COUNTIFS(Dividends!$G:$G,"&gt;"&amp;INT($A53),Dividends!$G:$G,"&lt;="&amp;INT($A54))=0,"",$H$2*SUMIFS(Dividends!$H:$H,Dividends!$G:$G,"&gt;"&amp;INT($A53),Dividends!$G:$G,"&lt;="&amp;INT($A54))))</f>
        <v/>
      </c>
      <c r="M54" s="44">
        <f ca="1">IF(ISERROR(B54-2),"",C54+D54-F54-G54-K54+SUM($L$14:L54))</f>
        <v>-160009.36970769457</v>
      </c>
      <c r="O54" s="3">
        <v>46125.625</v>
      </c>
      <c r="P54" s="4">
        <v>90.46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46125.625</v>
      </c>
      <c r="V54" s="3">
        <f t="shared" si="1"/>
        <v>46125.625</v>
      </c>
      <c r="W54" s="3">
        <v>46191.625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6">
        <v>45853</v>
      </c>
      <c r="AC54" s="4">
        <v>282.98599999999999</v>
      </c>
      <c r="AD54" s="6">
        <f t="shared" si="2"/>
        <v>45853</v>
      </c>
    </row>
    <row r="55" spans="1:35" x14ac:dyDescent="0.25">
      <c r="A55" s="39">
        <f t="shared" ca="1" si="3"/>
        <v>46177.625</v>
      </c>
      <c r="B55" s="40">
        <f ca="1">IF(COUNTIF($W$2:W1040,A55)=1,VLOOKUP(A55,O:P,2), IF(COUNTIF($W$2:W1040,A55)=0,$B$9,""))</f>
        <v>91.74</v>
      </c>
      <c r="C55" s="2">
        <f t="shared" ca="1" si="4"/>
        <v>190873.18999560844</v>
      </c>
      <c r="D55" s="43">
        <f t="shared" ca="1" si="5"/>
        <v>-141333.33333333334</v>
      </c>
      <c r="E55" s="40">
        <f ca="1">IF(COUNTIF($W$2:W1040,A55)=1,VLOOKUP(A55,Q:R,2), IF(COUNTIF($W$2:W1040,A55)=0,$C$9,""))</f>
        <v>99.430999999999997</v>
      </c>
      <c r="F55" s="2">
        <f t="shared" ca="1" si="6"/>
        <v>-82160.000000000655</v>
      </c>
      <c r="G55" s="43">
        <f t="shared" ca="1" si="7"/>
        <v>280.6613333333371</v>
      </c>
      <c r="H55" s="40">
        <f ca="1">IF(COUNTIF($W$2:W1040,A55)=1,VLOOKUP(A55,S:T,2), IF(COUNTIF($W$2:W1040,A55)=0,$D$9,""))</f>
        <v>261.392</v>
      </c>
      <c r="I55" s="41">
        <f ca="1">IF(COUNTIF($X$2:X1040,INT(A55))=1,VLOOKUP(INT(A55),X:Y,2), IF(ISERROR(H55-2),"",I54*(1-$D$8*(H55-H54)*0.0001)))</f>
        <v>268.64510000000001</v>
      </c>
      <c r="J55" s="41">
        <f t="shared" ca="1" si="8"/>
        <v>268.64510000000001</v>
      </c>
      <c r="K55" s="43">
        <f t="shared" ca="1" si="9"/>
        <v>316062.41956242156</v>
      </c>
      <c r="L55" s="43" t="str">
        <f ca="1">IF($A55="","",IF(COUNTIFS(Dividends!$G:$G,"&gt;"&amp;INT($A54),Dividends!$G:$G,"&lt;="&amp;INT($A55))=0,"",$H$2*SUMIFS(Dividends!$H:$H,Dividends!$G:$G,"&gt;"&amp;INT($A54),Dividends!$G:$G,"&lt;="&amp;INT($A55))))</f>
        <v/>
      </c>
      <c r="M55" s="44">
        <f ca="1">IF(ISERROR(B55-2),"",C55+D55-F55-G55-K55+SUM($L$14:L55))</f>
        <v>-184643.22423347918</v>
      </c>
      <c r="O55" s="3">
        <v>46126.625</v>
      </c>
      <c r="P55" s="4">
        <v>90.75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46126.625</v>
      </c>
      <c r="V55" s="3">
        <f t="shared" si="1"/>
        <v>46126.625</v>
      </c>
      <c r="W55" s="3">
        <v>46192.625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6">
        <v>45854</v>
      </c>
      <c r="AC55" s="4">
        <v>285.26100000000002</v>
      </c>
      <c r="AD55" s="6">
        <f t="shared" si="2"/>
        <v>45854</v>
      </c>
    </row>
    <row r="56" spans="1:35" x14ac:dyDescent="0.25">
      <c r="A56" s="39">
        <f t="shared" ca="1" si="3"/>
        <v>46178.625</v>
      </c>
      <c r="B56" s="40">
        <f ca="1">IF(COUNTIF($W$2:W1041,A56)=1,VLOOKUP(A56,O:P,2), IF(COUNTIF($W$2:W1041,A56)=0,$B$9,""))</f>
        <v>91.71</v>
      </c>
      <c r="C56" s="2">
        <f t="shared" ca="1" si="4"/>
        <v>181000.43878893857</v>
      </c>
      <c r="D56" s="43">
        <f t="shared" ca="1" si="5"/>
        <v>-143541.66666666666</v>
      </c>
      <c r="E56" s="40">
        <f ca="1">IF(COUNTIF($W$2:W1041,A56)=1,VLOOKUP(A56,Q:R,2), IF(COUNTIF($W$2:W1041,A56)=0,$C$9,""))</f>
        <v>99.38</v>
      </c>
      <c r="F56" s="2">
        <f t="shared" ca="1" si="6"/>
        <v>-95420.00000000115</v>
      </c>
      <c r="G56" s="43">
        <f t="shared" ca="1" si="7"/>
        <v>285.04666666667617</v>
      </c>
      <c r="H56" s="40">
        <f ca="1">IF(COUNTIF($W$2:W1041,A56)=1,VLOOKUP(A56,S:T,2), IF(COUNTIF($W$2:W1041,A56)=0,$D$9,""))</f>
        <v>261.88600000000002</v>
      </c>
      <c r="I56" s="41">
        <f ca="1">IF(COUNTIF($X$2:X1041,INT(A56))=1,VLOOKUP(INT(A56),X:Y,2), IF(ISERROR(H56-2),"",I55*(1-$D$8*(H56-H55)*0.0001)))</f>
        <v>268.35000000000002</v>
      </c>
      <c r="J56" s="41">
        <f t="shared" ca="1" si="8"/>
        <v>268.35000000000002</v>
      </c>
      <c r="K56" s="43">
        <f t="shared" ca="1" si="9"/>
        <v>295173.74517374445</v>
      </c>
      <c r="L56" s="43" t="str">
        <f ca="1">IF($A56="","",IF(COUNTIFS(Dividends!$G:$G,"&gt;"&amp;INT($A55),Dividends!$G:$G,"&lt;="&amp;INT($A56))=0,"",$H$2*SUMIFS(Dividends!$H:$H,Dividends!$G:$G,"&gt;"&amp;INT($A55),Dividends!$G:$G,"&lt;="&amp;INT($A56))))</f>
        <v/>
      </c>
      <c r="M56" s="44">
        <f ca="1">IF(ISERROR(B56-2),"",C56+D56-F56-G56-K56+SUM($L$14:L56))</f>
        <v>-162580.01971813809</v>
      </c>
      <c r="O56" s="3">
        <v>46127.625</v>
      </c>
      <c r="P56" s="4">
        <v>90.88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>
        <f t="shared" si="0"/>
        <v>46127.625</v>
      </c>
      <c r="V56" s="3">
        <f t="shared" si="1"/>
        <v>46127.625</v>
      </c>
      <c r="W56" s="3">
        <v>46195.625</v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6">
        <v>45855</v>
      </c>
      <c r="AC56" s="4">
        <v>278.76799999999997</v>
      </c>
      <c r="AD56" s="6">
        <f t="shared" si="2"/>
        <v>45855</v>
      </c>
    </row>
    <row r="57" spans="1:35" x14ac:dyDescent="0.25">
      <c r="A57" s="39">
        <f t="shared" ca="1" si="3"/>
        <v>46181.625</v>
      </c>
      <c r="B57" s="40">
        <f ca="1">IF(COUNTIF($W$2:W1042,A57)=1,VLOOKUP(A57,O:P,2), IF(COUNTIF($W$2:W1042,A57)=0,$B$9,""))</f>
        <v>91.65</v>
      </c>
      <c r="C57" s="2">
        <f t="shared" ca="1" si="4"/>
        <v>161254.9363756055</v>
      </c>
      <c r="D57" s="43">
        <f t="shared" ca="1" si="5"/>
        <v>-150166.66666666666</v>
      </c>
      <c r="E57" s="40">
        <f ca="1">IF(COUNTIF($W$2:W1042,A57)=1,VLOOKUP(A57,Q:R,2), IF(COUNTIF($W$2:W1042,A57)=0,$C$9,""))</f>
        <v>99.350999999999999</v>
      </c>
      <c r="F57" s="2">
        <f t="shared" ca="1" si="6"/>
        <v>-102960.0000000002</v>
      </c>
      <c r="G57" s="43">
        <f t="shared" ca="1" si="7"/>
        <v>298.2026666666643</v>
      </c>
      <c r="H57" s="40">
        <f ca="1">IF(COUNTIF($W$2:W1042,A57)=1,VLOOKUP(A57,S:T,2), IF(COUNTIF($W$2:W1042,A57)=0,$D$9,""))</f>
        <v>263.755</v>
      </c>
      <c r="I57" s="41">
        <f ca="1">IF(COUNTIF($X$2:X1042,INT(A57))=1,VLOOKUP(INT(A57),X:Y,2), IF(ISERROR(H57-2),"",I56*(1-$D$8*(H57-H56)*0.0001)))</f>
        <v>268.29649999999998</v>
      </c>
      <c r="J57" s="41">
        <f t="shared" ca="1" si="8"/>
        <v>268.29649999999998</v>
      </c>
      <c r="K57" s="43">
        <f t="shared" ca="1" si="9"/>
        <v>291386.74388674163</v>
      </c>
      <c r="L57" s="43" t="str">
        <f ca="1">IF($A57="","",IF(COUNTIFS(Dividends!$G:$G,"&gt;"&amp;INT($A56),Dividends!$G:$G,"&lt;="&amp;INT($A57))=0,"",$H$2*SUMIFS(Dividends!$H:$H,Dividends!$G:$G,"&gt;"&amp;INT($A56),Dividends!$G:$G,"&lt;="&amp;INT($A57))))</f>
        <v/>
      </c>
      <c r="M57" s="44">
        <f ca="1">IF(ISERROR(B57-2),"",C57+D57-F57-G57-K57+SUM($L$14:L57))</f>
        <v>-177636.67684446927</v>
      </c>
      <c r="O57" s="3">
        <v>46128.625</v>
      </c>
      <c r="P57" s="4">
        <v>90.85</v>
      </c>
      <c r="Q57" s="3">
        <v>46126.625</v>
      </c>
      <c r="R57" s="4">
        <v>99.619</v>
      </c>
      <c r="S57" s="3">
        <v>46126.625</v>
      </c>
      <c r="T57" s="4">
        <v>282.697</v>
      </c>
      <c r="U57" s="3">
        <f t="shared" si="0"/>
        <v>46128.625</v>
      </c>
      <c r="V57" s="3">
        <f t="shared" si="1"/>
        <v>46128.625</v>
      </c>
      <c r="W57" s="3">
        <v>46196.625</v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6">
        <v>45856</v>
      </c>
      <c r="AC57" s="4">
        <v>277.18599999999998</v>
      </c>
      <c r="AD57" s="6">
        <f t="shared" si="2"/>
        <v>45856</v>
      </c>
    </row>
    <row r="58" spans="1:35" x14ac:dyDescent="0.25">
      <c r="A58" s="39">
        <f t="shared" ca="1" si="3"/>
        <v>46182.625</v>
      </c>
      <c r="B58" s="40">
        <f ca="1">IF(COUNTIF($W$2:W1043,A58)=1,VLOOKUP(A58,O:P,2), IF(COUNTIF($W$2:W1043,A58)=0,$B$9,""))</f>
        <v>91.63</v>
      </c>
      <c r="C58" s="2">
        <f t="shared" ca="1" si="4"/>
        <v>154673.10223782339</v>
      </c>
      <c r="D58" s="43">
        <f t="shared" ca="1" si="5"/>
        <v>-152375</v>
      </c>
      <c r="E58" s="40">
        <f ca="1">IF(COUNTIF($W$2:W1043,A58)=1,VLOOKUP(A58,Q:R,2), IF(COUNTIF($W$2:W1043,A58)=0,$C$9,""))</f>
        <v>99.396000000000001</v>
      </c>
      <c r="F58" s="2">
        <f t="shared" ca="1" si="6"/>
        <v>-91259.999999999767</v>
      </c>
      <c r="G58" s="43">
        <f t="shared" ca="1" si="7"/>
        <v>302.58800000000338</v>
      </c>
      <c r="H58" s="40">
        <f ca="1">IF(COUNTIF($W$2:W1043,A58)=1,VLOOKUP(A58,S:T,2), IF(COUNTIF($W$2:W1043,A58)=0,$D$9,""))</f>
        <v>261.05</v>
      </c>
      <c r="I58" s="41">
        <f ca="1">IF(COUNTIF($X$2:X1043,INT(A58))=1,VLOOKUP(INT(A58),X:Y,2), IF(ISERROR(H58-2),"",I57*(1-$D$8*(H58-H57)*0.0001)))</f>
        <v>268.3329</v>
      </c>
      <c r="J58" s="41">
        <f t="shared" ca="1" si="8"/>
        <v>268.3329</v>
      </c>
      <c r="K58" s="43">
        <f t="shared" ca="1" si="9"/>
        <v>293963.32046331867</v>
      </c>
      <c r="L58" s="43" t="str">
        <f ca="1">IF($A58="","",IF(COUNTIFS(Dividends!$G:$G,"&gt;"&amp;INT($A57),Dividends!$G:$G,"&lt;="&amp;INT($A58))=0,"",$H$2*SUMIFS(Dividends!$H:$H,Dividends!$G:$G,"&gt;"&amp;INT($A57),Dividends!$G:$G,"&lt;="&amp;INT($A58))))</f>
        <v/>
      </c>
      <c r="M58" s="44">
        <f ca="1">IF(ISERROR(B58-2),"",C58+D58-F58-G58-K58+SUM($L$14:L58))</f>
        <v>-200707.80622549553</v>
      </c>
      <c r="O58" s="3">
        <v>46129.625</v>
      </c>
      <c r="P58" s="4">
        <v>91.4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>
        <f t="shared" si="0"/>
        <v>46129.625</v>
      </c>
      <c r="V58" s="3">
        <f t="shared" si="1"/>
        <v>46129.625</v>
      </c>
      <c r="W58" s="3">
        <v>46197.625</v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6">
        <v>45859</v>
      </c>
      <c r="AC58" s="4">
        <v>277.45800000000003</v>
      </c>
      <c r="AD58" s="6">
        <f t="shared" si="2"/>
        <v>45859</v>
      </c>
    </row>
    <row r="59" spans="1:35" x14ac:dyDescent="0.25">
      <c r="A59" s="39">
        <f t="shared" ca="1" si="3"/>
        <v>46183.625</v>
      </c>
      <c r="B59" s="40">
        <f ca="1">IF(COUNTIF($W$2:W1044,A59)=1,VLOOKUP(A59,O:P,2), IF(COUNTIF($W$2:W1044,A59)=0,$B$9,""))</f>
        <v>91.62</v>
      </c>
      <c r="C59" s="2">
        <f t="shared" ca="1" si="4"/>
        <v>151382.18516893566</v>
      </c>
      <c r="D59" s="43">
        <f t="shared" ca="1" si="5"/>
        <v>-154583.33333333334</v>
      </c>
      <c r="E59" s="40">
        <f ca="1">IF(COUNTIF($W$2:W1044,A59)=1,VLOOKUP(A59,Q:R,2), IF(COUNTIF($W$2:W1044,A59)=0,$C$9,""))</f>
        <v>99.337999999999994</v>
      </c>
      <c r="F59" s="2">
        <f t="shared" ca="1" si="6"/>
        <v>-106340.00000000157</v>
      </c>
      <c r="G59" s="43">
        <f t="shared" ca="1" si="7"/>
        <v>306.9733333333279</v>
      </c>
      <c r="H59" s="40">
        <f ca="1">IF(COUNTIF($W$2:W1044,A59)=1,VLOOKUP(A59,S:T,2), IF(COUNTIF($W$2:W1044,A59)=0,$D$9,""))</f>
        <v>264.82</v>
      </c>
      <c r="I59" s="41">
        <f ca="1">IF(COUNTIF($X$2:X1044,INT(A59))=1,VLOOKUP(INT(A59),X:Y,2), IF(ISERROR(H59-2),"",I58*(1-$D$8*(H59-H58)*0.0001)))</f>
        <v>268.03980000000001</v>
      </c>
      <c r="J59" s="41">
        <f t="shared" ca="1" si="8"/>
        <v>268.03980000000001</v>
      </c>
      <c r="K59" s="43">
        <f t="shared" ca="1" si="9"/>
        <v>273216.21621621842</v>
      </c>
      <c r="L59" s="43" t="str">
        <f ca="1">IF($A59="","",IF(COUNTIFS(Dividends!$G:$G,"&gt;"&amp;INT($A58),Dividends!$G:$G,"&lt;="&amp;INT($A59))=0,"",$H$2*SUMIFS(Dividends!$H:$H,Dividends!$G:$G,"&gt;"&amp;INT($A58),Dividends!$G:$G,"&lt;="&amp;INT($A59))))</f>
        <v/>
      </c>
      <c r="M59" s="44">
        <f ca="1">IF(ISERROR(B59-2),"",C59+D59-F59-G59-K59+SUM($L$14:L59))</f>
        <v>-170384.33771394787</v>
      </c>
      <c r="O59" s="3">
        <v>46132.625</v>
      </c>
      <c r="P59" s="4">
        <v>91.09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>
        <f t="shared" si="0"/>
        <v>46132.625</v>
      </c>
      <c r="V59" s="3">
        <f t="shared" si="1"/>
        <v>46132.625</v>
      </c>
      <c r="W59" s="3">
        <v>46198.625</v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6">
        <v>45860</v>
      </c>
      <c r="AC59" s="4">
        <v>279.55700000000002</v>
      </c>
      <c r="AD59" s="6">
        <f t="shared" si="2"/>
        <v>45860</v>
      </c>
    </row>
    <row r="60" spans="1:35" x14ac:dyDescent="0.25">
      <c r="A60" s="39">
        <f t="shared" ca="1" si="3"/>
        <v>46184.625</v>
      </c>
      <c r="B60" s="40">
        <f ca="1">IF(COUNTIF($W$2:W1045,A60)=1,VLOOKUP(A60,O:P,2), IF(COUNTIF($W$2:W1045,A60)=0,$B$9,""))</f>
        <v>91.65</v>
      </c>
      <c r="C60" s="2">
        <f t="shared" ca="1" si="4"/>
        <v>161254.9363756055</v>
      </c>
      <c r="D60" s="43">
        <f t="shared" ca="1" si="5"/>
        <v>-156791.66666666666</v>
      </c>
      <c r="E60" s="40">
        <f ca="1">IF(COUNTIF($W$2:W1045,A60)=1,VLOOKUP(A60,Q:R,2), IF(COUNTIF($W$2:W1045,A60)=0,$C$9,""))</f>
        <v>99.400999999999996</v>
      </c>
      <c r="F60" s="2">
        <f t="shared" ca="1" si="6"/>
        <v>-89960.000000000946</v>
      </c>
      <c r="G60" s="43">
        <f t="shared" ca="1" si="7"/>
        <v>311.35866666666698</v>
      </c>
      <c r="H60" s="40">
        <f ca="1">IF(COUNTIF($W$2:W1045,A60)=1,VLOOKUP(A60,S:T,2), IF(COUNTIF($W$2:W1045,A60)=0,$D$9,""))</f>
        <v>263.56900000000002</v>
      </c>
      <c r="I60" s="41">
        <f ca="1">IF(COUNTIF($X$2:X1045,INT(A60))=1,VLOOKUP(INT(A60),X:Y,2), IF(ISERROR(H60-2),"",I59*(1-$D$8*(H60-H59)*0.0001)))</f>
        <v>268.44299999999998</v>
      </c>
      <c r="J60" s="41">
        <f t="shared" ca="1" si="8"/>
        <v>268.44299999999998</v>
      </c>
      <c r="K60" s="43">
        <f t="shared" ca="1" si="9"/>
        <v>301756.75675675354</v>
      </c>
      <c r="L60" s="43" t="str">
        <f ca="1">IF($A60="","",IF(COUNTIFS(Dividends!$G:$G,"&gt;"&amp;INT($A59),Dividends!$G:$G,"&lt;="&amp;INT($A60))=0,"",$H$2*SUMIFS(Dividends!$H:$H,Dividends!$G:$G,"&gt;"&amp;INT($A59),Dividends!$G:$G,"&lt;="&amp;INT($A60))))</f>
        <v/>
      </c>
      <c r="M60" s="44">
        <f ca="1">IF(ISERROR(B60-2),"",C60+D60-F60-G60-K60+SUM($L$14:L60))</f>
        <v>-207644.84571448044</v>
      </c>
      <c r="O60" s="3">
        <v>46133.625</v>
      </c>
      <c r="P60" s="4">
        <v>91.01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>
        <f t="shared" si="0"/>
        <v>46133.625</v>
      </c>
      <c r="V60" s="3">
        <f t="shared" si="1"/>
        <v>46133.625</v>
      </c>
      <c r="X60" s="3">
        <v>46126</v>
      </c>
      <c r="Y60" s="5">
        <v>264.6927</v>
      </c>
      <c r="Z60" s="3">
        <v>45861</v>
      </c>
      <c r="AA60" s="4">
        <v>240.6497</v>
      </c>
      <c r="AB60" s="6">
        <v>45861</v>
      </c>
      <c r="AC60" s="4">
        <v>273.14100000000002</v>
      </c>
      <c r="AD60" s="6">
        <f t="shared" si="2"/>
        <v>45861</v>
      </c>
    </row>
    <row r="61" spans="1:35" x14ac:dyDescent="0.25">
      <c r="A61" s="39">
        <f t="shared" ca="1" si="3"/>
        <v>46185.625</v>
      </c>
      <c r="B61" s="40">
        <f ca="1">IF(COUNTIF($W$2:W1046,A61)=1,VLOOKUP(A61,O:P,2), IF(COUNTIF($W$2:W1046,A61)=0,$B$9,""))</f>
        <v>91.87</v>
      </c>
      <c r="C61" s="2">
        <f t="shared" ca="1" si="4"/>
        <v>233655.11189118226</v>
      </c>
      <c r="D61" s="43">
        <f t="shared" ca="1" si="5"/>
        <v>-159000</v>
      </c>
      <c r="E61" s="40">
        <f ca="1">IF(COUNTIF($W$2:W1046,A61)=1,VLOOKUP(A61,Q:R,2), IF(COUNTIF($W$2:W1046,A61)=0,$C$9,""))</f>
        <v>99.512</v>
      </c>
      <c r="F61" s="2">
        <f t="shared" ca="1" si="6"/>
        <v>-61099.999999999854</v>
      </c>
      <c r="G61" s="43">
        <f t="shared" ca="1" si="7"/>
        <v>315.74400000000605</v>
      </c>
      <c r="H61" s="40">
        <f ca="1">IF(COUNTIF($W$2:W1046,A61)=1,VLOOKUP(A61,S:T,2), IF(COUNTIF($W$2:W1046,A61)=0,$D$9,""))</f>
        <v>253.16399999999999</v>
      </c>
      <c r="I61" s="41">
        <f ca="1">IF(COUNTIF($X$2:X1046,INT(A61))=1,VLOOKUP(INT(A61),X:Y,2), IF(ISERROR(H61-2),"",I60*(1-$D$8*(H61-H60)*0.0001)))</f>
        <v>269.7552</v>
      </c>
      <c r="J61" s="41">
        <f t="shared" ca="1" si="8"/>
        <v>269.7552</v>
      </c>
      <c r="K61" s="43">
        <f t="shared" ca="1" si="9"/>
        <v>394640.92664092622</v>
      </c>
      <c r="L61" s="43" t="str">
        <f ca="1">IF($A61="","",IF(COUNTIFS(Dividends!$G:$G,"&gt;"&amp;INT($A60),Dividends!$G:$G,"&lt;="&amp;INT($A61))=0,"",$H$2*SUMIFS(Dividends!$H:$H,Dividends!$G:$G,"&gt;"&amp;INT($A60),Dividends!$G:$G,"&lt;="&amp;INT($A61))))</f>
        <v/>
      </c>
      <c r="M61" s="44">
        <f ca="1">IF(ISERROR(B61-2),"",C61+D61-F61-G61-K61+SUM($L$14:L61))</f>
        <v>-259201.55874974412</v>
      </c>
      <c r="O61" s="3">
        <v>46134.625</v>
      </c>
      <c r="P61" s="4">
        <v>90.94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>
        <f t="shared" si="0"/>
        <v>46134.625</v>
      </c>
      <c r="V61" s="3">
        <f t="shared" si="1"/>
        <v>46134.625</v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6">
        <v>45862</v>
      </c>
      <c r="AC61" s="4">
        <v>270.69799999999998</v>
      </c>
      <c r="AD61" s="6">
        <f t="shared" si="2"/>
        <v>45862</v>
      </c>
    </row>
    <row r="62" spans="1:35" x14ac:dyDescent="0.25">
      <c r="A62" s="39">
        <f t="shared" ca="1" si="3"/>
        <v>46188.625</v>
      </c>
      <c r="B62" s="40">
        <f ca="1">IF(COUNTIF($W$2:W1047,A62)=1,VLOOKUP(A62,O:P,2), IF(COUNTIF($W$2:W1047,A62)=0,$B$9,""))</f>
        <v>92.18</v>
      </c>
      <c r="C62" s="2">
        <f t="shared" ca="1" si="4"/>
        <v>335673.54102676862</v>
      </c>
      <c r="D62" s="43">
        <f t="shared" ca="1" si="5"/>
        <v>-165625</v>
      </c>
      <c r="E62" s="40">
        <f ca="1">IF(COUNTIF($W$2:W1047,A62)=1,VLOOKUP(A62,Q:R,2), IF(COUNTIF($W$2:W1047,A62)=0,$C$9,""))</f>
        <v>99.631</v>
      </c>
      <c r="F62" s="2">
        <f t="shared" ca="1" si="6"/>
        <v>-30159.999999999909</v>
      </c>
      <c r="G62" s="43">
        <f t="shared" ca="1" si="7"/>
        <v>328.89999999999418</v>
      </c>
      <c r="H62" s="40">
        <f ca="1">IF(COUNTIF($W$2:W1047,A62)=1,VLOOKUP(A62,S:T,2), IF(COUNTIF($W$2:W1047,A62)=0,$D$9,""))</f>
        <v>248.518</v>
      </c>
      <c r="I62" s="41">
        <f ca="1">IF(COUNTIF($X$2:X1047,INT(A62))=1,VLOOKUP(INT(A62),X:Y,2), IF(ISERROR(H62-2),"",I61*(1-$D$8*(H62-H61)*0.0001)))</f>
        <v>270.47059999999999</v>
      </c>
      <c r="J62" s="41">
        <f t="shared" ca="1" si="8"/>
        <v>270.47059999999999</v>
      </c>
      <c r="K62" s="43">
        <f t="shared" ca="1" si="9"/>
        <v>445280.56628056424</v>
      </c>
      <c r="L62" s="43" t="str">
        <f ca="1">IF($A62="","",IF(COUNTIFS(Dividends!$G:$G,"&gt;"&amp;INT($A61),Dividends!$G:$G,"&lt;="&amp;INT($A62))=0,"",$H$2*SUMIFS(Dividends!$H:$H,Dividends!$G:$G,"&gt;"&amp;INT($A61),Dividends!$G:$G,"&lt;="&amp;INT($A62))))</f>
        <v/>
      </c>
      <c r="M62" s="44">
        <f ca="1">IF(ISERROR(B62-2),"",C62+D62-F62-G62-K62+SUM($L$14:L62))</f>
        <v>-245400.92525379569</v>
      </c>
      <c r="O62" s="3">
        <v>46135.625</v>
      </c>
      <c r="P62" s="4">
        <v>90.99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>
        <f t="shared" si="0"/>
        <v>46135.625</v>
      </c>
      <c r="V62" s="3">
        <f t="shared" si="1"/>
        <v>46135.625</v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6">
        <v>45863</v>
      </c>
      <c r="AC62" s="4">
        <v>269.24400000000003</v>
      </c>
      <c r="AD62" s="6">
        <f t="shared" si="2"/>
        <v>45863</v>
      </c>
    </row>
    <row r="63" spans="1:35" x14ac:dyDescent="0.25">
      <c r="A63" s="39">
        <f t="shared" ca="1" si="3"/>
        <v>46189.625</v>
      </c>
      <c r="B63" s="40">
        <f ca="1">IF(COUNTIF($W$2:W1048,A63)=1,VLOOKUP(A63,O:P,2), IF(COUNTIF($W$2:W1048,A63)=0,$B$9,""))</f>
        <v>92.15</v>
      </c>
      <c r="C63" s="2">
        <f t="shared" ca="1" si="4"/>
        <v>325800.78982009873</v>
      </c>
      <c r="D63" s="43">
        <f t="shared" ca="1" si="5"/>
        <v>-167833.33333333334</v>
      </c>
      <c r="E63" s="40">
        <f ca="1">IF(COUNTIF($W$2:W1048,A63)=1,VLOOKUP(A63,Q:R,2), IF(COUNTIF($W$2:W1048,A63)=0,$C$9,""))</f>
        <v>99.625</v>
      </c>
      <c r="F63" s="2">
        <f t="shared" ca="1" si="6"/>
        <v>-31719.999999999971</v>
      </c>
      <c r="G63" s="43">
        <f t="shared" ca="1" si="7"/>
        <v>333.28533333333326</v>
      </c>
      <c r="H63" s="40">
        <f ca="1">IF(COUNTIF($W$2:W1048,A63)=1,VLOOKUP(A63,S:T,2), IF(COUNTIF($W$2:W1048,A63)=0,$D$9,""))</f>
        <v>249.79400000000001</v>
      </c>
      <c r="I63" s="41">
        <f ca="1">IF(COUNTIF($X$2:X1048,INT(A63))=1,VLOOKUP(INT(A63),X:Y,2), IF(ISERROR(H63-2),"",I62*(1-$D$8*(H63-H62)*0.0001)))</f>
        <v>270.3356</v>
      </c>
      <c r="J63" s="41">
        <f t="shared" ca="1" si="8"/>
        <v>270.3356</v>
      </c>
      <c r="K63" s="43">
        <f t="shared" ca="1" si="9"/>
        <v>435724.58172458195</v>
      </c>
      <c r="L63" s="43" t="str">
        <f ca="1">IF($A63="","",IF(COUNTIFS(Dividends!$G:$G,"&gt;"&amp;INT($A62),Dividends!$G:$G,"&lt;="&amp;INT($A63))=0,"",$H$2*SUMIFS(Dividends!$H:$H,Dividends!$G:$G,"&gt;"&amp;INT($A62),Dividends!$G:$G,"&lt;="&amp;INT($A63))))</f>
        <v/>
      </c>
      <c r="M63" s="44">
        <f ca="1">IF(ISERROR(B63-2),"",C63+D63-F63-G63-K63+SUM($L$14:L63))</f>
        <v>-246370.41057114993</v>
      </c>
      <c r="O63" s="3">
        <v>46136.625</v>
      </c>
      <c r="P63" s="4">
        <v>90.93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>
        <f t="shared" si="0"/>
        <v>46136.625</v>
      </c>
      <c r="V63" s="3">
        <f t="shared" si="1"/>
        <v>46136.625</v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6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9">
        <f t="shared" ca="1" si="3"/>
        <v>46190.625</v>
      </c>
      <c r="B64" s="40">
        <f ca="1">IF(COUNTIF($W$2:W1049,A64)=1,VLOOKUP(A64,O:P,2), IF(COUNTIF($W$2:W1049,A64)=0,$B$9,""))</f>
        <v>92.16</v>
      </c>
      <c r="C64" s="2">
        <f t="shared" ca="1" si="4"/>
        <v>329091.70688898646</v>
      </c>
      <c r="D64" s="43">
        <f t="shared" ca="1" si="5"/>
        <v>-170041.66666666666</v>
      </c>
      <c r="E64" s="40">
        <f ca="1">IF(COUNTIF($W$2:W1049,A64)=1,VLOOKUP(A64,Q:R,2), IF(COUNTIF($W$2:W1049,A64)=0,$C$9,""))</f>
        <v>99.600999999999999</v>
      </c>
      <c r="F64" s="2">
        <f t="shared" ca="1" si="6"/>
        <v>-37960.000000000204</v>
      </c>
      <c r="G64" s="43">
        <f t="shared" ca="1" si="7"/>
        <v>337.67066666667233</v>
      </c>
      <c r="H64" s="40">
        <f ca="1">IF(COUNTIF($W$2:W1049,A64)=1,VLOOKUP(A64,S:T,2), IF(COUNTIF($W$2:W1049,A64)=0,$D$9,""))</f>
        <v>252.459</v>
      </c>
      <c r="I64" s="41">
        <f ca="1">IF(COUNTIF($X$2:X1049,INT(A64))=1,VLOOKUP(INT(A64),X:Y,2), IF(ISERROR(H64-2),"",I63*(1-$D$8*(H64-H63)*0.0001)))</f>
        <v>270.1644</v>
      </c>
      <c r="J64" s="41">
        <f t="shared" ca="1" si="8"/>
        <v>270.1644</v>
      </c>
      <c r="K64" s="43">
        <f t="shared" ca="1" si="9"/>
        <v>423606.17760617536</v>
      </c>
      <c r="L64" s="43" t="str">
        <f ca="1">IF($A64="","",IF(COUNTIFS(Dividends!$G:$G,"&gt;"&amp;INT($A63),Dividends!$G:$G,"&lt;="&amp;INT($A64))=0,"",$H$2*SUMIFS(Dividends!$H:$H,Dividends!$G:$G,"&gt;"&amp;INT($A63),Dividends!$G:$G,"&lt;="&amp;INT($A64))))</f>
        <v/>
      </c>
      <c r="M64" s="44">
        <f ca="1">IF(ISERROR(B64-2),"",C64+D64-F64-G64-K64+SUM($L$14:L64))</f>
        <v>-226933.80805052203</v>
      </c>
      <c r="O64" s="3">
        <v>46139.625</v>
      </c>
      <c r="P64" s="4">
        <v>90.97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>
        <f t="shared" si="0"/>
        <v>46139.625</v>
      </c>
      <c r="V64" s="3">
        <f t="shared" si="1"/>
        <v>46139.625</v>
      </c>
      <c r="X64" s="3">
        <v>46132</v>
      </c>
      <c r="Y64" s="5">
        <v>265.2414</v>
      </c>
      <c r="Z64" s="3">
        <v>45867</v>
      </c>
      <c r="AA64" s="19">
        <v>241.9485</v>
      </c>
      <c r="AB64" s="20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5"/>
      <c r="AI64" s="7"/>
    </row>
    <row r="65" spans="1:35" x14ac:dyDescent="0.25">
      <c r="A65" s="39">
        <f t="shared" ca="1" si="3"/>
        <v>46191.625</v>
      </c>
      <c r="B65" s="40">
        <f ca="1">IF(COUNTIF($W$2:W1050,A65)=1,VLOOKUP(A65,O:P,2), IF(COUNTIF($W$2:W1050,A65)=0,$B$9,""))</f>
        <v>91.01</v>
      </c>
      <c r="C65" s="2">
        <f t="shared" ca="1" si="4"/>
        <v>-49363.756033345977</v>
      </c>
      <c r="D65" s="43">
        <f t="shared" ca="1" si="5"/>
        <v>-172250</v>
      </c>
      <c r="E65" s="40">
        <f ca="1">IF(COUNTIF($W$2:W1050,A65)=1,VLOOKUP(A65,Q:R,2), IF(COUNTIF($W$2:W1050,A65)=0,$C$9,""))</f>
        <v>99.582999999999998</v>
      </c>
      <c r="F65" s="2">
        <f t="shared" ca="1" si="6"/>
        <v>-42640.000000000386</v>
      </c>
      <c r="G65" s="43">
        <f t="shared" ca="1" si="7"/>
        <v>342.05600000001141</v>
      </c>
      <c r="H65" s="40">
        <f ca="1">IF(COUNTIF($W$2:W1050,A65)=1,VLOOKUP(A65,S:T,2), IF(COUNTIF($W$2:W1050,A65)=0,$D$9,""))</f>
        <v>249.42099999999999</v>
      </c>
      <c r="I65" s="41">
        <f ca="1">IF(COUNTIF($X$2:X1050,INT(A65))=1,VLOOKUP(INT(A65),X:Y,2), IF(ISERROR(H65-2),"",I64*(1-$D$8*(H65-H64)*0.0001)))</f>
        <v>270.5043</v>
      </c>
      <c r="J65" s="41">
        <f t="shared" ca="1" si="8"/>
        <v>270.5043</v>
      </c>
      <c r="K65" s="43">
        <f t="shared" ca="1" si="9"/>
        <v>447666.02316602162</v>
      </c>
      <c r="L65" s="43">
        <f ca="1">IF($A65="","",IF(COUNTIFS(Dividends!$G:$G,"&gt;"&amp;INT($A64),Dividends!$G:$G,"&lt;="&amp;INT($A65))=0,"",$H$2*SUMIFS(Dividends!$H:$H,Dividends!$G:$G,"&gt;"&amp;INT($A64),Dividends!$G:$G,"&lt;="&amp;INT($A65))))</f>
        <v>383260.20184291358</v>
      </c>
      <c r="M65" s="44">
        <f ca="1">IF(ISERROR(B65-2),"",C65+D65-F65-G65-K65+SUM($L$14:L65))</f>
        <v>-243721.63335645368</v>
      </c>
      <c r="O65" s="3">
        <v>46140.625</v>
      </c>
      <c r="P65" s="4">
        <v>90.69</v>
      </c>
      <c r="Q65" s="3">
        <v>46136.625</v>
      </c>
      <c r="R65" s="4">
        <v>99.637</v>
      </c>
      <c r="S65" s="3">
        <v>46136.625</v>
      </c>
      <c r="T65" s="4">
        <v>288.863</v>
      </c>
      <c r="U65" s="3">
        <f t="shared" si="0"/>
        <v>46140.625</v>
      </c>
      <c r="V65" s="3">
        <f t="shared" si="1"/>
        <v>46140.625</v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21">
        <v>45868</v>
      </c>
      <c r="AC65" s="22">
        <v>266.43200000000002</v>
      </c>
      <c r="AD65" s="6">
        <f t="shared" si="2"/>
        <v>45868</v>
      </c>
      <c r="AE65" s="22"/>
      <c r="AF65" s="22"/>
      <c r="AG65" s="22"/>
      <c r="AH65" s="22"/>
      <c r="AI65" s="7"/>
    </row>
    <row r="66" spans="1:35" x14ac:dyDescent="0.25">
      <c r="A66" s="39">
        <f t="shared" ca="1" si="3"/>
        <v>46192.625</v>
      </c>
      <c r="B66" s="40">
        <f ca="1">IF(COUNTIF($W$2:W1051,A66)=1,VLOOKUP(A66,O:P,2), IF(COUNTIF($W$2:W1051,A66)=0,$B$9,""))</f>
        <v>91.05</v>
      </c>
      <c r="C66" s="2">
        <f t="shared" ca="1" si="4"/>
        <v>-36200.08775778838</v>
      </c>
      <c r="D66" s="43">
        <f t="shared" ca="1" si="5"/>
        <v>-174458.33333333334</v>
      </c>
      <c r="E66" s="40">
        <f ca="1">IF(COUNTIF($W$2:W1051,A66)=1,VLOOKUP(A66,Q:R,2), IF(COUNTIF($W$2:W1051,A66)=0,$C$9,""))</f>
        <v>99.489000000000004</v>
      </c>
      <c r="F66" s="2">
        <f t="shared" ca="1" si="6"/>
        <v>-67079.99999999885</v>
      </c>
      <c r="G66" s="43">
        <f t="shared" ca="1" si="7"/>
        <v>346.44133333332138</v>
      </c>
      <c r="H66" s="40">
        <f ca="1">IF(COUNTIF($W$2:W1051,A66)=1,VLOOKUP(A66,S:T,2), IF(COUNTIF($W$2:W1051,A66)=0,$D$9,""))</f>
        <v>249.20599999999999</v>
      </c>
      <c r="I66" s="41">
        <f ca="1">IF(COUNTIF($X$2:X1051,INT(A66))=1,VLOOKUP(INT(A66),X:Y,2), IF(ISERROR(H66-2),"",I65*(1-$D$8*(H66-H65)*0.0001)))</f>
        <v>270.44040000000001</v>
      </c>
      <c r="J66" s="41">
        <f t="shared" ca="1" si="8"/>
        <v>270.44040000000001</v>
      </c>
      <c r="K66" s="43">
        <f t="shared" ca="1" si="9"/>
        <v>443142.85714285803</v>
      </c>
      <c r="L66" s="43" t="str">
        <f ca="1">IF($A66="","",IF(COUNTIFS(Dividends!$G:$G,"&gt;"&amp;INT($A65),Dividends!$G:$G,"&lt;="&amp;INT($A66))=0,"",$H$2*SUMIFS(Dividends!$H:$H,Dividends!$G:$G,"&gt;"&amp;INT($A65),Dividends!$G:$G,"&lt;="&amp;INT($A66))))</f>
        <v/>
      </c>
      <c r="M66" s="44">
        <f ca="1">IF(ISERROR(B66-2),"",C66+D66-F66-G66-K66+SUM($L$14:L66))</f>
        <v>-203807.51772440068</v>
      </c>
      <c r="O66" s="3">
        <v>46141.625</v>
      </c>
      <c r="P66" s="4">
        <v>90.76</v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>
        <f t="shared" si="0"/>
        <v>46141.625</v>
      </c>
      <c r="V66" s="3">
        <f t="shared" si="1"/>
        <v>46141.625</v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21">
        <v>45869</v>
      </c>
      <c r="AC66" s="22">
        <v>268.46899999999999</v>
      </c>
      <c r="AD66" s="6">
        <f t="shared" si="2"/>
        <v>45869</v>
      </c>
      <c r="AE66" s="22"/>
      <c r="AF66" s="22"/>
      <c r="AG66" s="22"/>
      <c r="AH66" s="22"/>
      <c r="AI66" s="7"/>
    </row>
    <row r="67" spans="1:35" x14ac:dyDescent="0.25">
      <c r="A67" s="39">
        <f t="shared" ca="1" si="3"/>
        <v>46195.625</v>
      </c>
      <c r="B67" s="40">
        <f ca="1">IF(COUNTIF($W$2:W1052,A67)=1,VLOOKUP(A67,O:P,2), IF(COUNTIF($W$2:W1052,A67)=0,$B$9,""))</f>
        <v>91.17</v>
      </c>
      <c r="C67" s="2">
        <f t="shared" ca="1" si="4"/>
        <v>3290.9170688943946</v>
      </c>
      <c r="D67" s="43">
        <f t="shared" ca="1" si="5"/>
        <v>-181083.33333333334</v>
      </c>
      <c r="E67" s="40">
        <f ca="1">IF(COUNTIF($W$2:W1052,A67)=1,VLOOKUP(A67,Q:R,2), IF(COUNTIF($W$2:W1052,A67)=0,$C$9,""))</f>
        <v>99.591999999999999</v>
      </c>
      <c r="F67" s="2">
        <f t="shared" ca="1" si="6"/>
        <v>-40300.000000000298</v>
      </c>
      <c r="G67" s="43">
        <f t="shared" ca="1" si="7"/>
        <v>359.59733333333861</v>
      </c>
      <c r="H67" s="40">
        <f ca="1">IF(COUNTIF($W$2:W1052,A67)=1,VLOOKUP(A67,S:T,2), IF(COUNTIF($W$2:W1052,A67)=0,$D$9,""))</f>
        <v>246.90199999999999</v>
      </c>
      <c r="I67" s="41">
        <f ca="1">IF(COUNTIF($X$2:X1052,INT(A67))=1,VLOOKUP(INT(A67),X:Y,2), IF(ISERROR(H67-2),"",I66*(1-$D$8*(H67-H66)*0.0001)))</f>
        <v>270.85840000000002</v>
      </c>
      <c r="J67" s="41">
        <f t="shared" ca="1" si="8"/>
        <v>270.85840000000002</v>
      </c>
      <c r="K67" s="43">
        <f t="shared" ca="1" si="9"/>
        <v>472731.01673101721</v>
      </c>
      <c r="L67" s="43" t="str">
        <f ca="1">IF($A67="","",IF(COUNTIFS(Dividends!$G:$G,"&gt;"&amp;INT($A66),Dividends!$G:$G,"&lt;="&amp;INT($A67))=0,"",$H$2*SUMIFS(Dividends!$H:$H,Dividends!$G:$G,"&gt;"&amp;INT($A66),Dividends!$G:$G,"&lt;="&amp;INT($A67))))</f>
        <v/>
      </c>
      <c r="M67" s="44">
        <f ca="1">IF(ISERROR(B67-2),"",C67+D67-F67-G67-K67+SUM($L$14:L67))</f>
        <v>-227322.82848587568</v>
      </c>
      <c r="O67" s="3">
        <v>46142.625</v>
      </c>
      <c r="P67" s="4">
        <v>90.81</v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>
        <f t="shared" si="0"/>
        <v>46142.625</v>
      </c>
      <c r="V67" s="3">
        <f t="shared" si="1"/>
        <v>46142.625</v>
      </c>
      <c r="X67" s="3">
        <v>46135</v>
      </c>
      <c r="Y67" s="5">
        <v>264.38159999999999</v>
      </c>
      <c r="Z67" s="3">
        <v>45870</v>
      </c>
      <c r="AA67" s="19">
        <v>240.1619</v>
      </c>
      <c r="AB67" s="21">
        <v>45870</v>
      </c>
      <c r="AC67" s="22">
        <v>279.928</v>
      </c>
      <c r="AD67" s="6">
        <f t="shared" si="2"/>
        <v>45870</v>
      </c>
      <c r="AE67" s="22"/>
      <c r="AF67" s="22"/>
      <c r="AG67" s="22"/>
      <c r="AH67" s="22"/>
      <c r="AI67" s="7"/>
    </row>
    <row r="68" spans="1:35" x14ac:dyDescent="0.25">
      <c r="A68" s="39">
        <f t="shared" ca="1" si="3"/>
        <v>46196.625</v>
      </c>
      <c r="B68" s="40">
        <f ca="1">IF(COUNTIF($W$2:W1053,A68)=1,VLOOKUP(A68,O:P,2), IF(COUNTIF($W$2:W1053,A68)=0,$B$9,""))</f>
        <v>91.08</v>
      </c>
      <c r="C68" s="2">
        <f t="shared" ca="1" si="4"/>
        <v>-26327.336551118518</v>
      </c>
      <c r="D68" s="43">
        <f t="shared" ca="1" si="5"/>
        <v>-183291.66666666666</v>
      </c>
      <c r="E68" s="40">
        <f ca="1">IF(COUNTIF($W$2:W1053,A68)=1,VLOOKUP(A68,Q:R,2), IF(COUNTIF($W$2:W1053,A68)=0,$C$9,""))</f>
        <v>99.66</v>
      </c>
      <c r="F68" s="2">
        <f t="shared" ca="1" si="6"/>
        <v>-22620.000000000859</v>
      </c>
      <c r="G68" s="43">
        <f t="shared" ca="1" si="7"/>
        <v>363.98266666667769</v>
      </c>
      <c r="H68" s="40">
        <f ca="1">IF(COUNTIF($W$2:W1053,A68)=1,VLOOKUP(A68,S:T,2), IF(COUNTIF($W$2:W1053,A68)=0,$D$9,""))</f>
        <v>248.29</v>
      </c>
      <c r="I68" s="41">
        <f ca="1">IF(COUNTIF($X$2:X1053,INT(A68))=1,VLOOKUP(INT(A68),X:Y,2), IF(ISERROR(H68-2),"",I67*(1-$D$8*(H68-H67)*0.0001)))</f>
        <v>270.70330000000001</v>
      </c>
      <c r="J68" s="41">
        <f t="shared" ca="1" si="8"/>
        <v>270.70330000000001</v>
      </c>
      <c r="K68" s="43">
        <f t="shared" ca="1" si="9"/>
        <v>461752.25225225213</v>
      </c>
      <c r="L68" s="43" t="str">
        <f ca="1">IF($A68="","",IF(COUNTIFS(Dividends!$G:$G,"&gt;"&amp;INT($A67),Dividends!$G:$G,"&lt;="&amp;INT($A68))=0,"",$H$2*SUMIFS(Dividends!$H:$H,Dividends!$G:$G,"&gt;"&amp;INT($A67),Dividends!$G:$G,"&lt;="&amp;INT($A68))))</f>
        <v/>
      </c>
      <c r="M68" s="44">
        <f ca="1">IF(ISERROR(B68-2),"",C68+D68-F68-G68-K68+SUM($L$14:L68))</f>
        <v>-265855.03629378957</v>
      </c>
      <c r="O68" s="3">
        <v>46147.625</v>
      </c>
      <c r="P68" s="4">
        <v>90.89</v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>
        <f t="shared" ref="U68:U131" si="10">IF(COUNTIF(Q:Q,O68)*COUNTIF(S:S,O68),O68,"")</f>
        <v>46147.625</v>
      </c>
      <c r="V68" s="3">
        <f t="shared" ref="V68:V131" si="11">IF(U68&gt;$A$14,U68,"")</f>
        <v>46147.625</v>
      </c>
      <c r="X68" s="3">
        <v>46136</v>
      </c>
      <c r="Y68" s="5">
        <v>264.2679</v>
      </c>
      <c r="Z68" s="3">
        <v>45873</v>
      </c>
      <c r="AA68" s="19">
        <v>240.82929999999999</v>
      </c>
      <c r="AB68" s="21">
        <v>45873</v>
      </c>
      <c r="AC68" s="22">
        <v>275.71300000000002</v>
      </c>
      <c r="AD68" s="6">
        <f t="shared" ref="AD68:AD131" si="12">IF(COUNTIF(AB:AB,Z68),Z68,"")</f>
        <v>45873</v>
      </c>
      <c r="AE68" s="22"/>
      <c r="AF68" s="22"/>
      <c r="AG68" s="22"/>
      <c r="AH68" s="22"/>
      <c r="AI68" s="7"/>
    </row>
    <row r="69" spans="1:35" x14ac:dyDescent="0.25">
      <c r="A69" s="39">
        <f t="shared" ca="1" si="3"/>
        <v>46197.625</v>
      </c>
      <c r="B69" s="40">
        <f ca="1">IF(COUNTIF($W$2:W1054,A69)=1,VLOOKUP(A69,O:P,2), IF(COUNTIF($W$2:W1054,A69)=0,$B$9,""))</f>
        <v>91.03</v>
      </c>
      <c r="C69" s="2">
        <f t="shared" ca="1" si="4"/>
        <v>-42781.921895567175</v>
      </c>
      <c r="D69" s="43">
        <f t="shared" ca="1" si="5"/>
        <v>-185500</v>
      </c>
      <c r="E69" s="40">
        <f ca="1">IF(COUNTIF($W$2:W1054,A69)=1,VLOOKUP(A69,Q:R,2), IF(COUNTIF($W$2:W1054,A69)=0,$C$9,""))</f>
        <v>99.724999999999994</v>
      </c>
      <c r="F69" s="2">
        <f t="shared" ca="1" si="6"/>
        <v>-5720.0000000014488</v>
      </c>
      <c r="G69" s="43">
        <f t="shared" ca="1" si="7"/>
        <v>368.36800000001676</v>
      </c>
      <c r="H69" s="40">
        <f ca="1">IF(COUNTIF($W$2:W1054,A69)=1,VLOOKUP(A69,S:T,2), IF(COUNTIF($W$2:W1054,A69)=0,$D$9,""))</f>
        <v>247.875</v>
      </c>
      <c r="I69" s="41">
        <f ca="1">IF(COUNTIF($X$2:X1054,INT(A69))=1,VLOOKUP(INT(A69),X:Y,2), IF(ISERROR(H69-2),"",I68*(1-$D$8*(H69-H68)*0.0001)))</f>
        <v>270.80290000000002</v>
      </c>
      <c r="J69" s="41">
        <f t="shared" ca="1" si="8"/>
        <v>270.80290000000002</v>
      </c>
      <c r="K69" s="43">
        <f t="shared" ca="1" si="9"/>
        <v>468802.44530244579</v>
      </c>
      <c r="L69" s="43" t="str">
        <f ca="1">IF($A69="","",IF(COUNTIFS(Dividends!$G:$G,"&gt;"&amp;INT($A68),Dividends!$G:$G,"&lt;="&amp;INT($A69))=0,"",$H$2*SUMIFS(Dividends!$H:$H,Dividends!$G:$G,"&gt;"&amp;INT($A68),Dividends!$G:$G,"&lt;="&amp;INT($A69))))</f>
        <v/>
      </c>
      <c r="M69" s="44">
        <f ca="1">IF(ISERROR(B69-2),"",C69+D69-F69-G69-K69+SUM($L$14:L69))</f>
        <v>-308472.53335509793</v>
      </c>
      <c r="O69" s="3">
        <v>46148.625</v>
      </c>
      <c r="P69" s="4">
        <v>91.41</v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>
        <f t="shared" si="10"/>
        <v>46148.625</v>
      </c>
      <c r="V69" s="3">
        <f t="shared" si="11"/>
        <v>46148.625</v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21">
        <v>45874</v>
      </c>
      <c r="AC69" s="22">
        <v>275.75200000000001</v>
      </c>
      <c r="AD69" s="6">
        <f t="shared" si="12"/>
        <v>45874</v>
      </c>
      <c r="AE69" s="22"/>
      <c r="AF69" s="22"/>
      <c r="AG69" s="22"/>
      <c r="AH69" s="22"/>
      <c r="AI69" s="7"/>
    </row>
    <row r="70" spans="1:35" x14ac:dyDescent="0.25">
      <c r="A70" s="39">
        <f t="shared" ca="1" si="3"/>
        <v>46198.625</v>
      </c>
      <c r="B70" s="40">
        <f ca="1">IF(COUNTIF($W$2:W1055,A70)=1,VLOOKUP(A70,O:P,2), IF(COUNTIF($W$2:W1055,A70)=0,$B$9,""))</f>
        <v>91.17</v>
      </c>
      <c r="C70" s="2">
        <f t="shared" ca="1" si="4"/>
        <v>3290.9170688943946</v>
      </c>
      <c r="D70" s="43">
        <f t="shared" ca="1" si="5"/>
        <v>-187708.33333333334</v>
      </c>
      <c r="E70" s="40">
        <f ca="1">IF(COUNTIF($W$2:W1055,A70)=1,VLOOKUP(A70,Q:R,2), IF(COUNTIF($W$2:W1055,A70)=0,$C$9,""))</f>
        <v>99.748999999999995</v>
      </c>
      <c r="F70" s="2">
        <f t="shared" ca="1" si="6"/>
        <v>519.9999999987881</v>
      </c>
      <c r="G70" s="43">
        <f t="shared" ca="1" si="7"/>
        <v>372.75333333332674</v>
      </c>
      <c r="H70" s="40">
        <f ca="1">IF(COUNTIF($W$2:W1055,A70)=1,VLOOKUP(A70,S:T,2), IF(COUNTIF($W$2:W1055,A70)=0,$D$9,""))</f>
        <v>246.71700000000001</v>
      </c>
      <c r="I70" s="41">
        <f ca="1">IF(COUNTIF($X$2:X1055,INT(A70))=1,VLOOKUP(INT(A70),X:Y,2), IF(ISERROR(H70-2),"",I69*(1-$D$8*(H70-H69)*0.0001)))</f>
        <v>270.97930000000002</v>
      </c>
      <c r="J70" s="41">
        <f t="shared" ca="1" si="8"/>
        <v>270.97930000000002</v>
      </c>
      <c r="K70" s="43">
        <f t="shared" ca="1" si="9"/>
        <v>481288.93178893486</v>
      </c>
      <c r="L70" s="43" t="str">
        <f ca="1">IF($A70="","",IF(COUNTIFS(Dividends!$G:$G,"&gt;"&amp;INT($A69),Dividends!$G:$G,"&lt;="&amp;INT($A70))=0,"",$H$2*SUMIFS(Dividends!$H:$H,Dividends!$G:$G,"&gt;"&amp;INT($A69),Dividends!$G:$G,"&lt;="&amp;INT($A70))))</f>
        <v/>
      </c>
      <c r="M70" s="44">
        <f ca="1">IF(ISERROR(B70-2),"",C70+D70-F70-G70-K70+SUM($L$14:L70))</f>
        <v>-283338.8995437923</v>
      </c>
      <c r="O70" s="3">
        <v>46149.625</v>
      </c>
      <c r="P70" s="4">
        <v>91.39</v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>
        <f t="shared" si="10"/>
        <v>46149.625</v>
      </c>
      <c r="V70" s="3">
        <f t="shared" si="11"/>
        <v>46149.625</v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6">
        <v>45875</v>
      </c>
      <c r="AC70" s="4">
        <v>275.17599999999999</v>
      </c>
      <c r="AD70" s="6">
        <f t="shared" si="12"/>
        <v>45875</v>
      </c>
      <c r="AI70" s="7"/>
    </row>
    <row r="71" spans="1:35" x14ac:dyDescent="0.25">
      <c r="A71" s="39">
        <f t="shared" ca="1" si="3"/>
        <v>46198.782064814812</v>
      </c>
      <c r="B71" s="40">
        <f ca="1">IF(COUNTIF($W$2:W1056,A71)=1,VLOOKUP(A71,O:P,2), IF(COUNTIF($W$2:W1056,A71)=0,$B$9,""))</f>
        <v>91.16</v>
      </c>
      <c r="C71" s="2">
        <f t="shared" ca="1" si="4"/>
        <v>0</v>
      </c>
      <c r="D71" s="43">
        <f t="shared" ca="1" si="5"/>
        <v>-187708.33333333334</v>
      </c>
      <c r="E71" s="40">
        <f ca="1">IF(COUNTIF($W$2:W1056,A71)=1,VLOOKUP(A71,Q:R,2), IF(COUNTIF($W$2:W1056,A71)=0,$C$9,""))</f>
        <v>99.747</v>
      </c>
      <c r="F71" s="2">
        <f t="shared" ca="1" si="6"/>
        <v>0</v>
      </c>
      <c r="G71" s="43">
        <f t="shared" ca="1" si="7"/>
        <v>372.75333333332674</v>
      </c>
      <c r="H71" s="40">
        <f ca="1">IF(COUNTIF($W$2:W1056,A71)=1,VLOOKUP(A71,S:T,2), IF(COUNTIF($W$2:W1056,A71)=0,$D$9,""))</f>
        <v>247.30670000000001</v>
      </c>
      <c r="I71" s="41">
        <f ca="1">IF(COUNTIF($X$2:X1056,INT(A71))=1,VLOOKUP(INT(A71),X:Y,2), IF(ISERROR(H71-2),"",I70*(1-$D$8*(H71-H70)*0.0001)))</f>
        <v>270.97930000000002</v>
      </c>
      <c r="J71" s="41">
        <f t="shared" ca="1" si="8"/>
        <v>270.97930000000002</v>
      </c>
      <c r="K71" s="43">
        <f t="shared" ca="1" si="9"/>
        <v>481288.93178893486</v>
      </c>
      <c r="L71" s="43" t="str">
        <f ca="1">IF($A71="","",IF(COUNTIFS(Dividends!$G:$G,"&gt;"&amp;INT($A70),Dividends!$G:$G,"&lt;="&amp;INT($A71))=0,"",$H$2*SUMIFS(Dividends!$H:$H,Dividends!$G:$G,"&gt;"&amp;INT($A70),Dividends!$G:$G,"&lt;="&amp;INT($A71))))</f>
        <v/>
      </c>
      <c r="M71" s="44">
        <f ca="1">IF(ISERROR(B71-2),"",C71+D71-F71-G71-K71+SUM($L$14:L71))</f>
        <v>-286109.81661268795</v>
      </c>
      <c r="O71" s="3">
        <v>46150.625</v>
      </c>
      <c r="P71" s="4">
        <v>91.4</v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>
        <f t="shared" si="10"/>
        <v>46150.625</v>
      </c>
      <c r="V71" s="3">
        <f t="shared" si="11"/>
        <v>46150.625</v>
      </c>
      <c r="X71" s="3">
        <v>46141</v>
      </c>
      <c r="Y71" s="5">
        <v>263.29599999999999</v>
      </c>
      <c r="Z71" s="3">
        <v>45876</v>
      </c>
      <c r="AA71" s="4">
        <v>241.5027</v>
      </c>
      <c r="AB71" s="6">
        <v>45876</v>
      </c>
      <c r="AC71" s="4">
        <v>270.50400000000002</v>
      </c>
      <c r="AD71" s="6">
        <f t="shared" si="12"/>
        <v>45876</v>
      </c>
      <c r="AI71" s="7"/>
    </row>
    <row r="72" spans="1:35" x14ac:dyDescent="0.25">
      <c r="A72" s="39" t="str">
        <f t="shared" ca="1" si="3"/>
        <v/>
      </c>
      <c r="B72" s="40" t="str">
        <f ca="1">IF(COUNTIF($W$2:W1057,A72)=1,VLOOKUP(A72,O:P,2), IF(COUNTIF($W$2:W1057,A72)=0,$B$9,""))</f>
        <v/>
      </c>
      <c r="C72" s="2" t="str">
        <f t="shared" ca="1" si="4"/>
        <v/>
      </c>
      <c r="D72" s="43" t="str">
        <f t="shared" ca="1" si="5"/>
        <v/>
      </c>
      <c r="E72" s="40" t="str">
        <f ca="1">IF(COUNTIF($W$2:W1057,A72)=1,VLOOKUP(A72,Q:R,2), IF(COUNTIF($W$2:W1057,A72)=0,$C$9,""))</f>
        <v/>
      </c>
      <c r="F72" s="2" t="str">
        <f t="shared" ca="1" si="6"/>
        <v/>
      </c>
      <c r="G72" s="43" t="str">
        <f t="shared" ca="1" si="7"/>
        <v/>
      </c>
      <c r="H72" s="40" t="str">
        <f ca="1">IF(COUNTIF($W$2:W1057,A72)=1,VLOOKUP(A72,S:T,2), IF(COUNTIF($W$2:W1057,A72)=0,$D$9,""))</f>
        <v/>
      </c>
      <c r="I72" s="41" t="str">
        <f ca="1">IF(COUNTIF($X$2:X1057,INT(A72))=1,VLOOKUP(INT(A72),X:Y,2), IF(ISERROR(H72-2),"",I71*(1-$D$8*(H72-H71)*0.0001)))</f>
        <v/>
      </c>
      <c r="J72" s="41" t="str">
        <f t="shared" ca="1" si="8"/>
        <v/>
      </c>
      <c r="K72" s="43" t="str">
        <f t="shared" ca="1" si="9"/>
        <v/>
      </c>
      <c r="L72" s="43" t="str">
        <f ca="1">IF($A72="","",IF(COUNTIFS(Dividends!$G:$G,"&gt;"&amp;INT($A71),Dividends!$G:$G,"&lt;="&amp;INT($A72))=0,"",$H$2*SUMIFS(Dividends!$H:$H,Dividends!$G:$G,"&gt;"&amp;INT($A71),Dividends!$G:$G,"&lt;="&amp;INT($A72))))</f>
        <v/>
      </c>
      <c r="M72" s="44" t="str">
        <f ca="1">IF(ISERROR(B72-2),"",C72+D72-F72-G72-K72+SUM($L$14:L72))</f>
        <v/>
      </c>
      <c r="O72" s="3">
        <v>46153.625</v>
      </c>
      <c r="P72" s="4">
        <v>91.44</v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>
        <f t="shared" si="10"/>
        <v>46153.625</v>
      </c>
      <c r="V72" s="3">
        <f t="shared" si="11"/>
        <v>46153.625</v>
      </c>
      <c r="X72" s="3">
        <v>46142</v>
      </c>
      <c r="Y72" s="5">
        <v>263.72019999999998</v>
      </c>
      <c r="Z72" s="3">
        <v>45877</v>
      </c>
      <c r="AA72" s="4">
        <v>241.9376</v>
      </c>
      <c r="AB72" s="6">
        <v>45877</v>
      </c>
      <c r="AC72" s="4">
        <v>266.57299999999998</v>
      </c>
      <c r="AD72" s="6">
        <f t="shared" si="12"/>
        <v>45877</v>
      </c>
      <c r="AI72" s="7"/>
    </row>
    <row r="73" spans="1:35" x14ac:dyDescent="0.25">
      <c r="A73" s="39" t="str">
        <f t="shared" ca="1" si="3"/>
        <v/>
      </c>
      <c r="B73" s="40" t="str">
        <f ca="1">IF(COUNTIF($W$2:W1058,A73)=1,VLOOKUP(A73,O:P,2), IF(COUNTIF($W$2:W1058,A73)=0,$B$9,""))</f>
        <v/>
      </c>
      <c r="C73" s="2" t="str">
        <f t="shared" ca="1" si="4"/>
        <v/>
      </c>
      <c r="D73" s="43" t="str">
        <f t="shared" ca="1" si="5"/>
        <v/>
      </c>
      <c r="E73" s="40" t="str">
        <f ca="1">IF(COUNTIF($W$2:W1058,A73)=1,VLOOKUP(A73,Q:R,2), IF(COUNTIF($W$2:W1058,A73)=0,$C$9,""))</f>
        <v/>
      </c>
      <c r="F73" s="2" t="str">
        <f t="shared" ca="1" si="6"/>
        <v/>
      </c>
      <c r="G73" s="43" t="str">
        <f t="shared" ca="1" si="7"/>
        <v/>
      </c>
      <c r="H73" s="40" t="str">
        <f ca="1">IF(COUNTIF($W$2:W1058,A73)=1,VLOOKUP(A73,S:T,2), IF(COUNTIF($W$2:W1058,A73)=0,$D$9,""))</f>
        <v/>
      </c>
      <c r="I73" s="41" t="str">
        <f ca="1">IF(COUNTIF($X$2:X1058,INT(A73))=1,VLOOKUP(INT(A73),X:Y,2), IF(ISERROR(H73-2),"",I72*(1-$D$8*(H73-H72)*0.0001)))</f>
        <v/>
      </c>
      <c r="J73" s="41" t="str">
        <f t="shared" ca="1" si="8"/>
        <v/>
      </c>
      <c r="K73" s="43" t="str">
        <f t="shared" ca="1" si="9"/>
        <v/>
      </c>
      <c r="L73" s="43" t="str">
        <f ca="1">IF($A73="","",IF(COUNTIFS(Dividends!$G:$G,"&gt;"&amp;INT($A72),Dividends!$G:$G,"&lt;="&amp;INT($A73))=0,"",$H$2*SUMIFS(Dividends!$H:$H,Dividends!$G:$G,"&gt;"&amp;INT($A72),Dividends!$G:$G,"&lt;="&amp;INT($A73))))</f>
        <v/>
      </c>
      <c r="M73" s="44" t="str">
        <f ca="1">IF(ISERROR(B73-2),"",C73+D73-F73-G73-K73+SUM($L$14:L73))</f>
        <v/>
      </c>
      <c r="O73" s="3">
        <v>46154.625</v>
      </c>
      <c r="P73" s="4">
        <v>91.28</v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>
        <f t="shared" si="10"/>
        <v>46154.625</v>
      </c>
      <c r="V73" s="3">
        <f t="shared" si="11"/>
        <v>46154.625</v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6">
        <v>45880</v>
      </c>
      <c r="AC73" s="4">
        <v>265.935</v>
      </c>
      <c r="AD73" s="6">
        <f t="shared" si="12"/>
        <v>45880</v>
      </c>
      <c r="AI73" s="7"/>
    </row>
    <row r="74" spans="1:35" x14ac:dyDescent="0.25">
      <c r="A74" s="39" t="str">
        <f t="shared" ca="1" si="3"/>
        <v/>
      </c>
      <c r="B74" s="40" t="str">
        <f ca="1">IF(COUNTIF($W$2:W1059,A74)=1,VLOOKUP(A74,O:P,2), IF(COUNTIF($W$2:W1059,A74)=0,$B$9,""))</f>
        <v/>
      </c>
      <c r="C74" s="2" t="str">
        <f t="shared" ca="1" si="4"/>
        <v/>
      </c>
      <c r="D74" s="43" t="str">
        <f t="shared" ca="1" si="5"/>
        <v/>
      </c>
      <c r="E74" s="40" t="str">
        <f ca="1">IF(COUNTIF($W$2:W1059,A74)=1,VLOOKUP(A74,Q:R,2), IF(COUNTIF($W$2:W1059,A74)=0,$C$9,""))</f>
        <v/>
      </c>
      <c r="F74" s="2" t="str">
        <f t="shared" ca="1" si="6"/>
        <v/>
      </c>
      <c r="G74" s="43" t="str">
        <f t="shared" ca="1" si="7"/>
        <v/>
      </c>
      <c r="H74" s="40" t="str">
        <f ca="1">IF(COUNTIF($W$2:W1059,A74)=1,VLOOKUP(A74,S:T,2), IF(COUNTIF($W$2:W1059,A74)=0,$D$9,""))</f>
        <v/>
      </c>
      <c r="I74" s="41" t="str">
        <f ca="1">IF(COUNTIF($X$2:X1059,INT(A74))=1,VLOOKUP(INT(A74),X:Y,2), IF(ISERROR(H74-2),"",I73*(1-$D$8*(H74-H73)*0.0001)))</f>
        <v/>
      </c>
      <c r="J74" s="41" t="str">
        <f t="shared" ca="1" si="8"/>
        <v/>
      </c>
      <c r="K74" s="43" t="str">
        <f t="shared" ca="1" si="9"/>
        <v/>
      </c>
      <c r="L74" s="43" t="str">
        <f ca="1">IF($A74="","",IF(COUNTIFS(Dividends!$G:$G,"&gt;"&amp;INT($A73),Dividends!$G:$G,"&lt;="&amp;INT($A74))=0,"",$H$2*SUMIFS(Dividends!$H:$H,Dividends!$G:$G,"&gt;"&amp;INT($A73),Dividends!$G:$G,"&lt;="&amp;INT($A74))))</f>
        <v/>
      </c>
      <c r="M74" s="44" t="str">
        <f ca="1">IF(ISERROR(B74-2),"",C74+D74-F74-G74-K74+SUM($L$14:L74))</f>
        <v/>
      </c>
      <c r="O74" s="3">
        <v>46155.625</v>
      </c>
      <c r="P74" s="4">
        <v>91.31</v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>
        <f t="shared" si="10"/>
        <v>46155.625</v>
      </c>
      <c r="V74" s="3">
        <f t="shared" si="11"/>
        <v>46155.625</v>
      </c>
      <c r="X74" s="3">
        <v>46147</v>
      </c>
      <c r="Y74" s="5">
        <v>264.5573</v>
      </c>
      <c r="Z74" s="3">
        <v>45881</v>
      </c>
      <c r="AA74" s="4">
        <v>242.30109999999999</v>
      </c>
      <c r="AB74" s="6">
        <v>45881</v>
      </c>
      <c r="AC74" s="4">
        <v>263.49</v>
      </c>
      <c r="AD74" s="6">
        <f t="shared" si="12"/>
        <v>45881</v>
      </c>
      <c r="AI74" s="7"/>
    </row>
    <row r="75" spans="1:35" x14ac:dyDescent="0.25">
      <c r="A75" s="39" t="str">
        <f t="shared" ca="1" si="3"/>
        <v/>
      </c>
      <c r="B75" s="40" t="str">
        <f ca="1">IF(COUNTIF($W$2:W1060,A75)=1,VLOOKUP(A75,O:P,2), IF(COUNTIF($W$2:W1060,A75)=0,$B$9,""))</f>
        <v/>
      </c>
      <c r="C75" s="2" t="str">
        <f t="shared" ca="1" si="4"/>
        <v/>
      </c>
      <c r="D75" s="43" t="str">
        <f t="shared" ca="1" si="5"/>
        <v/>
      </c>
      <c r="E75" s="40" t="str">
        <f ca="1">IF(COUNTIF($W$2:W1060,A75)=1,VLOOKUP(A75,Q:R,2), IF(COUNTIF($W$2:W1060,A75)=0,$C$9,""))</f>
        <v/>
      </c>
      <c r="F75" s="2" t="str">
        <f t="shared" ca="1" si="6"/>
        <v/>
      </c>
      <c r="G75" s="43" t="str">
        <f t="shared" ca="1" si="7"/>
        <v/>
      </c>
      <c r="H75" s="40" t="str">
        <f ca="1">IF(COUNTIF($W$2:W1060,A75)=1,VLOOKUP(A75,S:T,2), IF(COUNTIF($W$2:W1060,A75)=0,$D$9,""))</f>
        <v/>
      </c>
      <c r="I75" s="41" t="str">
        <f ca="1">IF(COUNTIF($X$2:X1060,INT(A75))=1,VLOOKUP(INT(A75),X:Y,2), IF(ISERROR(H75-2),"",I74*(1-$D$8*(H75-H74)*0.0001)))</f>
        <v/>
      </c>
      <c r="J75" s="41" t="str">
        <f t="shared" ca="1" si="8"/>
        <v/>
      </c>
      <c r="K75" s="43" t="str">
        <f t="shared" ca="1" si="9"/>
        <v/>
      </c>
      <c r="L75" s="43" t="str">
        <f ca="1">IF($A75="","",IF(COUNTIFS(Dividends!$G:$G,"&gt;"&amp;INT($A74),Dividends!$G:$G,"&lt;="&amp;INT($A75))=0,"",$H$2*SUMIFS(Dividends!$H:$H,Dividends!$G:$G,"&gt;"&amp;INT($A74),Dividends!$G:$G,"&lt;="&amp;INT($A75))))</f>
        <v/>
      </c>
      <c r="M75" s="44" t="str">
        <f ca="1">IF(ISERROR(B75-2),"",C75+D75-F75-G75-K75+SUM($L$14:L75))</f>
        <v/>
      </c>
      <c r="O75" s="3">
        <v>46156.625</v>
      </c>
      <c r="P75" s="4">
        <v>91.4</v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>
        <f t="shared" si="10"/>
        <v>46156.625</v>
      </c>
      <c r="V75" s="3">
        <f t="shared" si="11"/>
        <v>46156.625</v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6">
        <v>45882</v>
      </c>
      <c r="AC75" s="4">
        <v>261.18700000000001</v>
      </c>
      <c r="AD75" s="6">
        <f t="shared" si="12"/>
        <v>45882</v>
      </c>
      <c r="AI75" s="7"/>
    </row>
    <row r="76" spans="1:35" x14ac:dyDescent="0.25">
      <c r="A76" s="39" t="str">
        <f t="shared" ca="1" si="3"/>
        <v/>
      </c>
      <c r="B76" s="40" t="str">
        <f ca="1">IF(COUNTIF($W$2:W1061,A76)=1,VLOOKUP(A76,O:P,2), IF(COUNTIF($W$2:W1061,A76)=0,$B$9,""))</f>
        <v/>
      </c>
      <c r="C76" s="2" t="str">
        <f t="shared" ca="1" si="4"/>
        <v/>
      </c>
      <c r="D76" s="43" t="str">
        <f t="shared" ca="1" si="5"/>
        <v/>
      </c>
      <c r="E76" s="40" t="str">
        <f ca="1">IF(COUNTIF($W$2:W1061,A76)=1,VLOOKUP(A76,Q:R,2), IF(COUNTIF($W$2:W1061,A76)=0,$C$9,""))</f>
        <v/>
      </c>
      <c r="F76" s="2" t="str">
        <f t="shared" ca="1" si="6"/>
        <v/>
      </c>
      <c r="G76" s="43" t="str">
        <f t="shared" ca="1" si="7"/>
        <v/>
      </c>
      <c r="H76" s="40" t="str">
        <f ca="1">IF(COUNTIF($W$2:W1061,A76)=1,VLOOKUP(A76,S:T,2), IF(COUNTIF($W$2:W1061,A76)=0,$D$9,""))</f>
        <v/>
      </c>
      <c r="I76" s="41" t="str">
        <f ca="1">IF(COUNTIF($X$2:X1061,INT(A76))=1,VLOOKUP(INT(A76),X:Y,2), IF(ISERROR(H76-2),"",I75*(1-$D$8*(H76-H75)*0.0001)))</f>
        <v/>
      </c>
      <c r="J76" s="41" t="str">
        <f t="shared" ca="1" si="8"/>
        <v/>
      </c>
      <c r="K76" s="43" t="str">
        <f t="shared" ca="1" si="9"/>
        <v/>
      </c>
      <c r="L76" s="43" t="str">
        <f ca="1">IF($A76="","",IF(COUNTIFS(Dividends!$G:$G,"&gt;"&amp;INT($A75),Dividends!$G:$G,"&lt;="&amp;INT($A76))=0,"",$H$2*SUMIFS(Dividends!$H:$H,Dividends!$G:$G,"&gt;"&amp;INT($A75),Dividends!$G:$G,"&lt;="&amp;INT($A76))))</f>
        <v/>
      </c>
      <c r="M76" s="44" t="str">
        <f ca="1">IF(ISERROR(B76-2),"",C76+D76-F76-G76-K76+SUM($L$14:L76))</f>
        <v/>
      </c>
      <c r="O76" s="3">
        <v>46157.625</v>
      </c>
      <c r="P76" s="4">
        <v>91.28</v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>
        <f t="shared" si="10"/>
        <v>46157.625</v>
      </c>
      <c r="V76" s="3">
        <f t="shared" si="11"/>
        <v>46157.625</v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6">
        <v>45883</v>
      </c>
      <c r="AC76" s="4">
        <v>260.53300000000002</v>
      </c>
      <c r="AD76" s="6">
        <f t="shared" si="12"/>
        <v>45883</v>
      </c>
      <c r="AI76" s="7"/>
    </row>
    <row r="77" spans="1:35" x14ac:dyDescent="0.25">
      <c r="A77" s="39" t="str">
        <f t="shared" ca="1" si="3"/>
        <v/>
      </c>
      <c r="B77" s="40" t="str">
        <f ca="1">IF(COUNTIF($W$2:W1062,A77)=1,VLOOKUP(A77,O:P,2), IF(COUNTIF($W$2:W1062,A77)=0,$B$9,""))</f>
        <v/>
      </c>
      <c r="C77" s="2" t="str">
        <f t="shared" ca="1" si="4"/>
        <v/>
      </c>
      <c r="D77" s="43" t="str">
        <f t="shared" ca="1" si="5"/>
        <v/>
      </c>
      <c r="E77" s="40" t="str">
        <f ca="1">IF(COUNTIF($W$2:W1062,A77)=1,VLOOKUP(A77,Q:R,2), IF(COUNTIF($W$2:W1062,A77)=0,$C$9,""))</f>
        <v/>
      </c>
      <c r="F77" s="2" t="str">
        <f t="shared" ca="1" si="6"/>
        <v/>
      </c>
      <c r="G77" s="43" t="str">
        <f t="shared" ca="1" si="7"/>
        <v/>
      </c>
      <c r="H77" s="40" t="str">
        <f ca="1">IF(COUNTIF($W$2:W1062,A77)=1,VLOOKUP(A77,S:T,2), IF(COUNTIF($W$2:W1062,A77)=0,$D$9,""))</f>
        <v/>
      </c>
      <c r="I77" s="41" t="str">
        <f ca="1">IF(COUNTIF($X$2:X1062,INT(A77))=1,VLOOKUP(INT(A77),X:Y,2), IF(ISERROR(H77-2),"",I76*(1-$D$8*(H77-H76)*0.0001)))</f>
        <v/>
      </c>
      <c r="J77" s="41" t="str">
        <f t="shared" ca="1" si="8"/>
        <v/>
      </c>
      <c r="K77" s="43" t="str">
        <f t="shared" ca="1" si="9"/>
        <v/>
      </c>
      <c r="L77" s="43" t="str">
        <f ca="1">IF($A77="","",IF(COUNTIFS(Dividends!$G:$G,"&gt;"&amp;INT($A76),Dividends!$G:$G,"&lt;="&amp;INT($A77))=0,"",$H$2*SUMIFS(Dividends!$H:$H,Dividends!$G:$G,"&gt;"&amp;INT($A76),Dividends!$G:$G,"&lt;="&amp;INT($A77))))</f>
        <v/>
      </c>
      <c r="M77" s="44" t="str">
        <f ca="1">IF(ISERROR(B77-2),"",C77+D77-F77-G77-K77+SUM($L$14:L77))</f>
        <v/>
      </c>
      <c r="O77" s="3">
        <v>46160.625</v>
      </c>
      <c r="P77" s="4">
        <v>91.22</v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>
        <f t="shared" si="10"/>
        <v>46160.625</v>
      </c>
      <c r="V77" s="3">
        <f t="shared" si="11"/>
        <v>46160.625</v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6">
        <v>45884</v>
      </c>
      <c r="AC77" s="4">
        <v>259.50799999999998</v>
      </c>
      <c r="AD77" s="6">
        <f t="shared" si="12"/>
        <v>45884</v>
      </c>
      <c r="AI77" s="7"/>
    </row>
    <row r="78" spans="1:35" x14ac:dyDescent="0.25">
      <c r="A78" s="39" t="str">
        <f t="shared" ca="1" si="3"/>
        <v/>
      </c>
      <c r="B78" s="40" t="str">
        <f ca="1">IF(COUNTIF($W$2:W1063,A78)=1,VLOOKUP(A78,O:P,2), IF(COUNTIF($W$2:W1063,A78)=0,$B$9,""))</f>
        <v/>
      </c>
      <c r="C78" s="2" t="str">
        <f t="shared" ca="1" si="4"/>
        <v/>
      </c>
      <c r="D78" s="43" t="str">
        <f t="shared" ca="1" si="5"/>
        <v/>
      </c>
      <c r="E78" s="40" t="str">
        <f ca="1">IF(COUNTIF($W$2:W1063,A78)=1,VLOOKUP(A78,Q:R,2), IF(COUNTIF($W$2:W1063,A78)=0,$C$9,""))</f>
        <v/>
      </c>
      <c r="F78" s="2" t="str">
        <f t="shared" ca="1" si="6"/>
        <v/>
      </c>
      <c r="G78" s="43" t="str">
        <f t="shared" ca="1" si="7"/>
        <v/>
      </c>
      <c r="H78" s="40" t="str">
        <f ca="1">IF(COUNTIF($W$2:W1063,A78)=1,VLOOKUP(A78,S:T,2), IF(COUNTIF($W$2:W1063,A78)=0,$D$9,""))</f>
        <v/>
      </c>
      <c r="I78" s="41" t="str">
        <f ca="1">IF(COUNTIF($X$2:X1063,INT(A78))=1,VLOOKUP(INT(A78),X:Y,2), IF(ISERROR(H78-2),"",I77*(1-$D$8*(H78-H77)*0.0001)))</f>
        <v/>
      </c>
      <c r="J78" s="41" t="str">
        <f t="shared" ca="1" si="8"/>
        <v/>
      </c>
      <c r="K78" s="43" t="str">
        <f t="shared" ca="1" si="9"/>
        <v/>
      </c>
      <c r="L78" s="43" t="str">
        <f ca="1">IF($A78="","",IF(COUNTIFS(Dividends!$G:$G,"&gt;"&amp;INT($A77),Dividends!$G:$G,"&lt;="&amp;INT($A78))=0,"",$H$2*SUMIFS(Dividends!$H:$H,Dividends!$G:$G,"&gt;"&amp;INT($A77),Dividends!$G:$G,"&lt;="&amp;INT($A78))))</f>
        <v/>
      </c>
      <c r="M78" s="44" t="str">
        <f ca="1">IF(ISERROR(B78-2),"",C78+D78-F78-G78-K78+SUM($L$14:L78))</f>
        <v/>
      </c>
      <c r="O78" s="3">
        <v>46161.625</v>
      </c>
      <c r="P78" s="4">
        <v>90.83</v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>
        <f t="shared" si="10"/>
        <v>46161.625</v>
      </c>
      <c r="V78" s="3">
        <f t="shared" si="11"/>
        <v>46161.625</v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6">
        <v>45887</v>
      </c>
      <c r="AC78" s="4">
        <v>259.964</v>
      </c>
      <c r="AD78" s="6">
        <f t="shared" si="12"/>
        <v>45887</v>
      </c>
    </row>
    <row r="79" spans="1:35" x14ac:dyDescent="0.25">
      <c r="A79" s="39" t="str">
        <f t="shared" ref="A79:A142" ca="1" si="13">IF(AND(ISBLANK(W68), A78 = $W$1),NOW(),IF(ISBLANK(W68),"",W68))</f>
        <v/>
      </c>
      <c r="B79" s="40" t="str">
        <f ca="1">IF(COUNTIF($W$2:W1064,A79)=1,VLOOKUP(A79,O:P,2), IF(COUNTIF($W$2:W1064,A79)=0,$B$9,""))</f>
        <v/>
      </c>
      <c r="C79" s="2" t="str">
        <f t="shared" ca="1" si="4"/>
        <v/>
      </c>
      <c r="D79" s="43" t="str">
        <f t="shared" ca="1" si="5"/>
        <v/>
      </c>
      <c r="E79" s="40" t="str">
        <f ca="1">IF(COUNTIF($W$2:W1064,A79)=1,VLOOKUP(A79,Q:R,2), IF(COUNTIF($W$2:W1064,A79)=0,$C$9,""))</f>
        <v/>
      </c>
      <c r="F79" s="2" t="str">
        <f t="shared" ca="1" si="6"/>
        <v/>
      </c>
      <c r="G79" s="43" t="str">
        <f t="shared" ca="1" si="7"/>
        <v/>
      </c>
      <c r="H79" s="40" t="str">
        <f ca="1">IF(COUNTIF($W$2:W1064,A79)=1,VLOOKUP(A79,S:T,2), IF(COUNTIF($W$2:W1064,A79)=0,$D$9,""))</f>
        <v/>
      </c>
      <c r="I79" s="41" t="str">
        <f ca="1">IF(COUNTIF($X$2:X1064,INT(A79))=1,VLOOKUP(INT(A79),X:Y,2), IF(ISERROR(H79-2),"",I78*(1-$D$8*(H79-H78)*0.0001)))</f>
        <v/>
      </c>
      <c r="J79" s="41" t="str">
        <f t="shared" ca="1" si="8"/>
        <v/>
      </c>
      <c r="K79" s="43" t="str">
        <f t="shared" ca="1" si="9"/>
        <v/>
      </c>
      <c r="L79" s="43" t="str">
        <f ca="1">IF($A79="","",IF(COUNTIFS(Dividends!$G:$G,"&gt;"&amp;INT($A78),Dividends!$G:$G,"&lt;="&amp;INT($A79))=0,"",$H$2*SUMIFS(Dividends!$H:$H,Dividends!$G:$G,"&gt;"&amp;INT($A78),Dividends!$G:$G,"&lt;="&amp;INT($A79))))</f>
        <v/>
      </c>
      <c r="M79" s="44" t="str">
        <f ca="1">IF(ISERROR(B79-2),"",C79+D79-F79-G79-K79+SUM($L$14:L79))</f>
        <v/>
      </c>
      <c r="O79" s="3">
        <v>46162.625</v>
      </c>
      <c r="P79" s="4">
        <v>91.06</v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>
        <f t="shared" si="10"/>
        <v>46162.625</v>
      </c>
      <c r="V79" s="3">
        <f t="shared" si="11"/>
        <v>46162.625</v>
      </c>
      <c r="X79" s="3">
        <v>46154</v>
      </c>
      <c r="Y79" s="5">
        <v>265.19240000000002</v>
      </c>
      <c r="Z79" s="3">
        <v>45888</v>
      </c>
      <c r="AA79" s="4">
        <v>242.8905</v>
      </c>
      <c r="AB79" s="6">
        <v>45888</v>
      </c>
      <c r="AC79" s="4">
        <v>260.928</v>
      </c>
      <c r="AD79" s="6">
        <f t="shared" si="12"/>
        <v>45888</v>
      </c>
    </row>
    <row r="80" spans="1:35" x14ac:dyDescent="0.25">
      <c r="A80" s="39" t="str">
        <f t="shared" ca="1" si="13"/>
        <v/>
      </c>
      <c r="B80" s="40" t="str">
        <f ca="1">IF(COUNTIF($W$2:W1065,A80)=1,VLOOKUP(A80,O:P,2), IF(COUNTIF($W$2:W1065,A80)=0,$B$9,""))</f>
        <v/>
      </c>
      <c r="C80" s="2" t="str">
        <f t="shared" ref="C80:C143" ca="1" si="14">IF(ISERROR(B80-2),"",(B80/$B$14-1)*$B$5)</f>
        <v/>
      </c>
      <c r="D80" s="43" t="str">
        <f t="shared" ref="D80:D143" ca="1" si="15">IF(ISERROR(B80-2),"",-1*(INT(A80)-INT($A$14))/360*$B$7*$B$5)</f>
        <v/>
      </c>
      <c r="E80" s="40" t="str">
        <f ca="1">IF(COUNTIF($W$2:W1065,A80)=1,VLOOKUP(A80,Q:R,2), IF(COUNTIF($W$2:W1065,A80)=0,$C$9,""))</f>
        <v/>
      </c>
      <c r="F80" s="2" t="str">
        <f t="shared" ref="F80:F143" ca="1" si="16">IF(ISERROR(B80-2),"",(E80-$E$14)/100*$C$5)</f>
        <v/>
      </c>
      <c r="G80" s="43" t="str">
        <f t="shared" ref="G80:G143" ca="1" si="17">IF(ISERROR(B80-2),"",(INT(A80)-INT($A$14))/360*$C$6*$C$5-(INT(A80)-INT($A$14))/360*$C$7*$C$5*$E$14/100)</f>
        <v/>
      </c>
      <c r="H80" s="40" t="str">
        <f ca="1">IF(COUNTIF($W$2:W1065,A80)=1,VLOOKUP(A80,S:T,2), IF(COUNTIF($W$2:W1065,A80)=0,$D$9,""))</f>
        <v/>
      </c>
      <c r="I80" s="41" t="str">
        <f ca="1">IF(COUNTIF($X$2:X1065,INT(A80))=1,VLOOKUP(INT(A80),X:Y,2), IF(ISERROR(H80-2),"",I79*(1-$D$8*(H80-H79)*0.0001)))</f>
        <v/>
      </c>
      <c r="J80" s="41" t="str">
        <f t="shared" ref="J80:J143" ca="1" si="18">IF(ISERROR(H80-2),"",I80)</f>
        <v/>
      </c>
      <c r="K80" s="43" t="str">
        <f t="shared" ref="K80:K143" ca="1" si="19">IF(ISERROR(H80-2),"",(J80/$J$14-1)*$D$5)</f>
        <v/>
      </c>
      <c r="L80" s="43" t="str">
        <f ca="1">IF($A80="","",IF(COUNTIFS(Dividends!$G:$G,"&gt;"&amp;INT($A79),Dividends!$G:$G,"&lt;="&amp;INT($A80))=0,"",$H$2*SUMIFS(Dividends!$H:$H,Dividends!$G:$G,"&gt;"&amp;INT($A79),Dividends!$G:$G,"&lt;="&amp;INT($A80))))</f>
        <v/>
      </c>
      <c r="M80" s="44" t="str">
        <f ca="1">IF(ISERROR(B80-2),"",C80+D80-F80-G80-K80+SUM($L$14:L80))</f>
        <v/>
      </c>
      <c r="O80" s="3">
        <v>46163.625</v>
      </c>
      <c r="P80" s="4">
        <v>91.15</v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>
        <f t="shared" si="10"/>
        <v>46163.625</v>
      </c>
      <c r="V80" s="3">
        <f t="shared" si="11"/>
        <v>46163.625</v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6">
        <v>45889</v>
      </c>
      <c r="AC80" s="4">
        <v>265.03500000000003</v>
      </c>
      <c r="AD80" s="6">
        <f t="shared" si="12"/>
        <v>45889</v>
      </c>
    </row>
    <row r="81" spans="1:30" x14ac:dyDescent="0.25">
      <c r="A81" s="39" t="str">
        <f t="shared" ca="1" si="13"/>
        <v/>
      </c>
      <c r="B81" s="40" t="str">
        <f ca="1">IF(COUNTIF($W$2:W1066,A81)=1,VLOOKUP(A81,O:P,2), IF(COUNTIF($W$2:W1066,A81)=0,$B$9,""))</f>
        <v/>
      </c>
      <c r="C81" s="2" t="str">
        <f t="shared" ca="1" si="14"/>
        <v/>
      </c>
      <c r="D81" s="43" t="str">
        <f t="shared" ca="1" si="15"/>
        <v/>
      </c>
      <c r="E81" s="40" t="str">
        <f ca="1">IF(COUNTIF($W$2:W1066,A81)=1,VLOOKUP(A81,Q:R,2), IF(COUNTIF($W$2:W1066,A81)=0,$C$9,""))</f>
        <v/>
      </c>
      <c r="F81" s="2" t="str">
        <f t="shared" ca="1" si="16"/>
        <v/>
      </c>
      <c r="G81" s="43" t="str">
        <f t="shared" ca="1" si="17"/>
        <v/>
      </c>
      <c r="H81" s="40" t="str">
        <f ca="1">IF(COUNTIF($W$2:W1066,A81)=1,VLOOKUP(A81,S:T,2), IF(COUNTIF($W$2:W1066,A81)=0,$D$9,""))</f>
        <v/>
      </c>
      <c r="I81" s="41" t="str">
        <f ca="1">IF(COUNTIF($X$2:X1066,INT(A81))=1,VLOOKUP(INT(A81),X:Y,2), IF(ISERROR(H81-2),"",I80*(1-$D$8*(H81-H80)*0.0001)))</f>
        <v/>
      </c>
      <c r="J81" s="41" t="str">
        <f t="shared" ca="1" si="18"/>
        <v/>
      </c>
      <c r="K81" s="43" t="str">
        <f t="shared" ca="1" si="19"/>
        <v/>
      </c>
      <c r="L81" s="43" t="str">
        <f ca="1">IF($A81="","",IF(COUNTIFS(Dividends!$G:$G,"&gt;"&amp;INT($A80),Dividends!$G:$G,"&lt;="&amp;INT($A81))=0,"",$H$2*SUMIFS(Dividends!$H:$H,Dividends!$G:$G,"&gt;"&amp;INT($A80),Dividends!$G:$G,"&lt;="&amp;INT($A81))))</f>
        <v/>
      </c>
      <c r="M81" s="44" t="str">
        <f ca="1">IF(ISERROR(B81-2),"",C81+D81-F81-G81-K81+SUM($L$14:L81))</f>
        <v/>
      </c>
      <c r="O81" s="3">
        <v>46164.625</v>
      </c>
      <c r="P81" s="4">
        <v>91.28</v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>
        <f t="shared" si="10"/>
        <v>46164.625</v>
      </c>
      <c r="V81" s="3">
        <f t="shared" si="11"/>
        <v>46164.625</v>
      </c>
      <c r="X81" s="3">
        <v>46156</v>
      </c>
      <c r="Y81" s="5">
        <v>266.41410000000002</v>
      </c>
      <c r="Z81" s="3">
        <v>45890</v>
      </c>
      <c r="AA81" s="4">
        <v>242.1087</v>
      </c>
      <c r="AB81" s="6">
        <v>45890</v>
      </c>
      <c r="AC81" s="4">
        <v>267.86399999999998</v>
      </c>
      <c r="AD81" s="6">
        <f t="shared" si="12"/>
        <v>45890</v>
      </c>
    </row>
    <row r="82" spans="1:30" x14ac:dyDescent="0.25">
      <c r="A82" s="39" t="str">
        <f t="shared" ca="1" si="13"/>
        <v/>
      </c>
      <c r="B82" s="40" t="str">
        <f ca="1">IF(COUNTIF($W$2:W1067,A82)=1,VLOOKUP(A82,O:P,2), IF(COUNTIF($W$2:W1067,A82)=0,$B$9,""))</f>
        <v/>
      </c>
      <c r="C82" s="2" t="str">
        <f t="shared" ca="1" si="14"/>
        <v/>
      </c>
      <c r="D82" s="43" t="str">
        <f t="shared" ca="1" si="15"/>
        <v/>
      </c>
      <c r="E82" s="40" t="str">
        <f ca="1">IF(COUNTIF($W$2:W1067,A82)=1,VLOOKUP(A82,Q:R,2), IF(COUNTIF($W$2:W1067,A82)=0,$C$9,""))</f>
        <v/>
      </c>
      <c r="F82" s="2" t="str">
        <f t="shared" ca="1" si="16"/>
        <v/>
      </c>
      <c r="G82" s="43" t="str">
        <f t="shared" ca="1" si="17"/>
        <v/>
      </c>
      <c r="H82" s="40" t="str">
        <f ca="1">IF(COUNTIF($W$2:W1067,A82)=1,VLOOKUP(A82,S:T,2), IF(COUNTIF($W$2:W1067,A82)=0,$D$9,""))</f>
        <v/>
      </c>
      <c r="I82" s="41" t="str">
        <f ca="1">IF(COUNTIF($X$2:X1067,INT(A82))=1,VLOOKUP(INT(A82),X:Y,2), IF(ISERROR(H82-2),"",I81*(1-$D$8*(H82-H81)*0.0001)))</f>
        <v/>
      </c>
      <c r="J82" s="41" t="str">
        <f t="shared" ca="1" si="18"/>
        <v/>
      </c>
      <c r="K82" s="43" t="str">
        <f t="shared" ca="1" si="19"/>
        <v/>
      </c>
      <c r="L82" s="43" t="str">
        <f ca="1">IF($A82="","",IF(COUNTIFS(Dividends!$G:$G,"&gt;"&amp;INT($A81),Dividends!$G:$G,"&lt;="&amp;INT($A82))=0,"",$H$2*SUMIFS(Dividends!$H:$H,Dividends!$G:$G,"&gt;"&amp;INT($A81),Dividends!$G:$G,"&lt;="&amp;INT($A82))))</f>
        <v/>
      </c>
      <c r="M82" s="44" t="str">
        <f ca="1">IF(ISERROR(B82-2),"",C82+D82-F82-G82-K82+SUM($L$14:L82))</f>
        <v/>
      </c>
      <c r="O82" s="3">
        <v>46168.625</v>
      </c>
      <c r="P82" s="4">
        <v>91.51</v>
      </c>
      <c r="Q82" s="3">
        <v>46162.625</v>
      </c>
      <c r="R82" s="4">
        <v>99.39</v>
      </c>
      <c r="S82" s="3">
        <v>46162.625</v>
      </c>
      <c r="T82" s="4">
        <v>278.315</v>
      </c>
      <c r="U82" s="3">
        <f t="shared" si="10"/>
        <v>46168.625</v>
      </c>
      <c r="V82" s="3">
        <f t="shared" si="11"/>
        <v>46168.625</v>
      </c>
      <c r="X82" s="3">
        <v>46157</v>
      </c>
      <c r="Y82" s="5">
        <v>265.51639999999998</v>
      </c>
      <c r="Z82" s="3">
        <v>45891</v>
      </c>
      <c r="AA82" s="4">
        <v>242.8244</v>
      </c>
      <c r="AB82" s="6">
        <v>45891</v>
      </c>
      <c r="AC82" s="4">
        <v>260.35599999999999</v>
      </c>
      <c r="AD82" s="6">
        <f t="shared" si="12"/>
        <v>45891</v>
      </c>
    </row>
    <row r="83" spans="1:30" x14ac:dyDescent="0.25">
      <c r="A83" s="39" t="str">
        <f t="shared" ca="1" si="13"/>
        <v/>
      </c>
      <c r="B83" s="40" t="str">
        <f ca="1">IF(COUNTIF($W$2:W1068,A83)=1,VLOOKUP(A83,O:P,2), IF(COUNTIF($W$2:W1068,A83)=0,$B$9,""))</f>
        <v/>
      </c>
      <c r="C83" s="2" t="str">
        <f t="shared" ca="1" si="14"/>
        <v/>
      </c>
      <c r="D83" s="43" t="str">
        <f t="shared" ca="1" si="15"/>
        <v/>
      </c>
      <c r="E83" s="40" t="str">
        <f ca="1">IF(COUNTIF($W$2:W1068,A83)=1,VLOOKUP(A83,Q:R,2), IF(COUNTIF($W$2:W1068,A83)=0,$C$9,""))</f>
        <v/>
      </c>
      <c r="F83" s="2" t="str">
        <f t="shared" ca="1" si="16"/>
        <v/>
      </c>
      <c r="G83" s="43" t="str">
        <f t="shared" ca="1" si="17"/>
        <v/>
      </c>
      <c r="H83" s="40" t="str">
        <f ca="1">IF(COUNTIF($W$2:W1068,A83)=1,VLOOKUP(A83,S:T,2), IF(COUNTIF($W$2:W1068,A83)=0,$D$9,""))</f>
        <v/>
      </c>
      <c r="I83" s="41" t="str">
        <f ca="1">IF(COUNTIF($X$2:X1068,INT(A83))=1,VLOOKUP(INT(A83),X:Y,2), IF(ISERROR(H83-2),"",I82*(1-$D$8*(H83-H82)*0.0001)))</f>
        <v/>
      </c>
      <c r="J83" s="41" t="str">
        <f t="shared" ca="1" si="18"/>
        <v/>
      </c>
      <c r="K83" s="43" t="str">
        <f t="shared" ca="1" si="19"/>
        <v/>
      </c>
      <c r="L83" s="43" t="str">
        <f ca="1">IF($A83="","",IF(COUNTIFS(Dividends!$G:$G,"&gt;"&amp;INT($A82),Dividends!$G:$G,"&lt;="&amp;INT($A83))=0,"",$H$2*SUMIFS(Dividends!$H:$H,Dividends!$G:$G,"&gt;"&amp;INT($A82),Dividends!$G:$G,"&lt;="&amp;INT($A83))))</f>
        <v/>
      </c>
      <c r="M83" s="44" t="str">
        <f ca="1">IF(ISERROR(B83-2),"",C83+D83-F83-G83-K83+SUM($L$14:L83))</f>
        <v/>
      </c>
      <c r="O83" s="3">
        <v>46169.625</v>
      </c>
      <c r="P83" s="4">
        <v>91.58</v>
      </c>
      <c r="Q83" s="3">
        <v>46163.625</v>
      </c>
      <c r="R83" s="4">
        <v>99.37</v>
      </c>
      <c r="S83" s="3">
        <v>46163.625</v>
      </c>
      <c r="T83" s="4">
        <v>279.541</v>
      </c>
      <c r="U83" s="3">
        <f t="shared" si="10"/>
        <v>46169.625</v>
      </c>
      <c r="V83" s="3">
        <f t="shared" si="11"/>
        <v>46169.625</v>
      </c>
      <c r="X83" s="3">
        <v>46160</v>
      </c>
      <c r="Y83" s="5">
        <v>265.6705</v>
      </c>
      <c r="Z83" s="3">
        <v>45895</v>
      </c>
      <c r="AA83" s="4">
        <v>242.22980000000001</v>
      </c>
      <c r="AB83" s="6">
        <v>45895</v>
      </c>
      <c r="AC83" s="4">
        <v>267.541</v>
      </c>
      <c r="AD83" s="6">
        <f t="shared" si="12"/>
        <v>45895</v>
      </c>
    </row>
    <row r="84" spans="1:30" x14ac:dyDescent="0.25">
      <c r="A84" s="39" t="str">
        <f t="shared" ca="1" si="13"/>
        <v/>
      </c>
      <c r="B84" s="40" t="str">
        <f ca="1">IF(COUNTIF($W$2:W1069,A84)=1,VLOOKUP(A84,O:P,2), IF(COUNTIF($W$2:W1069,A84)=0,$B$9,""))</f>
        <v/>
      </c>
      <c r="C84" s="2" t="str">
        <f t="shared" ca="1" si="14"/>
        <v/>
      </c>
      <c r="D84" s="43" t="str">
        <f t="shared" ca="1" si="15"/>
        <v/>
      </c>
      <c r="E84" s="40" t="str">
        <f ca="1">IF(COUNTIF($W$2:W1069,A84)=1,VLOOKUP(A84,Q:R,2), IF(COUNTIF($W$2:W1069,A84)=0,$C$9,""))</f>
        <v/>
      </c>
      <c r="F84" s="2" t="str">
        <f t="shared" ca="1" si="16"/>
        <v/>
      </c>
      <c r="G84" s="43" t="str">
        <f t="shared" ca="1" si="17"/>
        <v/>
      </c>
      <c r="H84" s="40" t="str">
        <f ca="1">IF(COUNTIF($W$2:W1069,A84)=1,VLOOKUP(A84,S:T,2), IF(COUNTIF($W$2:W1069,A84)=0,$D$9,""))</f>
        <v/>
      </c>
      <c r="I84" s="41" t="str">
        <f ca="1">IF(COUNTIF($X$2:X1069,INT(A84))=1,VLOOKUP(INT(A84),X:Y,2), IF(ISERROR(H84-2),"",I83*(1-$D$8*(H84-H83)*0.0001)))</f>
        <v/>
      </c>
      <c r="J84" s="41" t="str">
        <f t="shared" ca="1" si="18"/>
        <v/>
      </c>
      <c r="K84" s="43" t="str">
        <f t="shared" ca="1" si="19"/>
        <v/>
      </c>
      <c r="L84" s="43" t="str">
        <f ca="1">IF($A84="","",IF(COUNTIFS(Dividends!$G:$G,"&gt;"&amp;INT($A83),Dividends!$G:$G,"&lt;="&amp;INT($A84))=0,"",$H$2*SUMIFS(Dividends!$H:$H,Dividends!$G:$G,"&gt;"&amp;INT($A83),Dividends!$G:$G,"&lt;="&amp;INT($A84))))</f>
        <v/>
      </c>
      <c r="M84" s="44" t="str">
        <f ca="1">IF(ISERROR(B84-2),"",C84+D84-F84-G84-K84+SUM($L$14:L84))</f>
        <v/>
      </c>
      <c r="O84" s="3">
        <v>46170.625</v>
      </c>
      <c r="P84" s="4">
        <v>91.7</v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>
        <f t="shared" si="10"/>
        <v>46170.625</v>
      </c>
      <c r="V84" s="3">
        <f t="shared" si="11"/>
        <v>46170.625</v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6">
        <v>45896</v>
      </c>
      <c r="AC84" s="4">
        <v>274.06099999999998</v>
      </c>
      <c r="AD84" s="6">
        <f t="shared" si="12"/>
        <v>45896</v>
      </c>
    </row>
    <row r="85" spans="1:30" x14ac:dyDescent="0.25">
      <c r="A85" s="39" t="str">
        <f t="shared" ca="1" si="13"/>
        <v/>
      </c>
      <c r="B85" s="40" t="str">
        <f ca="1">IF(COUNTIF($W$2:W1070,A85)=1,VLOOKUP(A85,O:P,2), IF(COUNTIF($W$2:W1070,A85)=0,$B$9,""))</f>
        <v/>
      </c>
      <c r="C85" s="2" t="str">
        <f t="shared" ca="1" si="14"/>
        <v/>
      </c>
      <c r="D85" s="43" t="str">
        <f t="shared" ca="1" si="15"/>
        <v/>
      </c>
      <c r="E85" s="40" t="str">
        <f ca="1">IF(COUNTIF($W$2:W1070,A85)=1,VLOOKUP(A85,Q:R,2), IF(COUNTIF($W$2:W1070,A85)=0,$C$9,""))</f>
        <v/>
      </c>
      <c r="F85" s="2" t="str">
        <f t="shared" ca="1" si="16"/>
        <v/>
      </c>
      <c r="G85" s="43" t="str">
        <f t="shared" ca="1" si="17"/>
        <v/>
      </c>
      <c r="H85" s="40" t="str">
        <f ca="1">IF(COUNTIF($W$2:W1070,A85)=1,VLOOKUP(A85,S:T,2), IF(COUNTIF($W$2:W1070,A85)=0,$D$9,""))</f>
        <v/>
      </c>
      <c r="I85" s="41" t="str">
        <f ca="1">IF(COUNTIF($X$2:X1070,INT(A85))=1,VLOOKUP(INT(A85),X:Y,2), IF(ISERROR(H85-2),"",I84*(1-$D$8*(H85-H84)*0.0001)))</f>
        <v/>
      </c>
      <c r="J85" s="41" t="str">
        <f t="shared" ca="1" si="18"/>
        <v/>
      </c>
      <c r="K85" s="43" t="str">
        <f t="shared" ca="1" si="19"/>
        <v/>
      </c>
      <c r="L85" s="43" t="str">
        <f ca="1">IF($A85="","",IF(COUNTIFS(Dividends!$G:$G,"&gt;"&amp;INT($A84),Dividends!$G:$G,"&lt;="&amp;INT($A85))=0,"",$H$2*SUMIFS(Dividends!$H:$H,Dividends!$G:$G,"&gt;"&amp;INT($A84),Dividends!$G:$G,"&lt;="&amp;INT($A85))))</f>
        <v/>
      </c>
      <c r="M85" s="44" t="str">
        <f ca="1">IF(ISERROR(B85-2),"",C85+D85-F85-G85-K85+SUM($L$14:L85))</f>
        <v/>
      </c>
      <c r="O85" s="3">
        <v>46171.625</v>
      </c>
      <c r="P85" s="4">
        <v>91.85</v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>
        <f t="shared" si="10"/>
        <v>46171.625</v>
      </c>
      <c r="V85" s="3">
        <f t="shared" si="11"/>
        <v>46171.625</v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6">
        <v>45897</v>
      </c>
      <c r="AC85" s="4">
        <v>262.23500000000001</v>
      </c>
      <c r="AD85" s="6">
        <f t="shared" si="12"/>
        <v>45897</v>
      </c>
    </row>
    <row r="86" spans="1:30" x14ac:dyDescent="0.25">
      <c r="A86" s="39" t="str">
        <f t="shared" ca="1" si="13"/>
        <v/>
      </c>
      <c r="B86" s="40" t="str">
        <f ca="1">IF(COUNTIF($W$2:W1071,A86)=1,VLOOKUP(A86,O:P,2), IF(COUNTIF($W$2:W1071,A86)=0,$B$9,""))</f>
        <v/>
      </c>
      <c r="C86" s="2" t="str">
        <f t="shared" ca="1" si="14"/>
        <v/>
      </c>
      <c r="D86" s="43" t="str">
        <f t="shared" ca="1" si="15"/>
        <v/>
      </c>
      <c r="E86" s="40" t="str">
        <f ca="1">IF(COUNTIF($W$2:W1071,A86)=1,VLOOKUP(A86,Q:R,2), IF(COUNTIF($W$2:W1071,A86)=0,$C$9,""))</f>
        <v/>
      </c>
      <c r="F86" s="2" t="str">
        <f t="shared" ca="1" si="16"/>
        <v/>
      </c>
      <c r="G86" s="43" t="str">
        <f t="shared" ca="1" si="17"/>
        <v/>
      </c>
      <c r="H86" s="40" t="str">
        <f ca="1">IF(COUNTIF($W$2:W1071,A86)=1,VLOOKUP(A86,S:T,2), IF(COUNTIF($W$2:W1071,A86)=0,$D$9,""))</f>
        <v/>
      </c>
      <c r="I86" s="41" t="str">
        <f ca="1">IF(COUNTIF($X$2:X1071,INT(A86))=1,VLOOKUP(INT(A86),X:Y,2), IF(ISERROR(H86-2),"",I85*(1-$D$8*(H86-H85)*0.0001)))</f>
        <v/>
      </c>
      <c r="J86" s="41" t="str">
        <f t="shared" ca="1" si="18"/>
        <v/>
      </c>
      <c r="K86" s="43" t="str">
        <f t="shared" ca="1" si="19"/>
        <v/>
      </c>
      <c r="L86" s="43" t="str">
        <f ca="1">IF($A86="","",IF(COUNTIFS(Dividends!$G:$G,"&gt;"&amp;INT($A85),Dividends!$G:$G,"&lt;="&amp;INT($A86))=0,"",$H$2*SUMIFS(Dividends!$H:$H,Dividends!$G:$G,"&gt;"&amp;INT($A85),Dividends!$G:$G,"&lt;="&amp;INT($A86))))</f>
        <v/>
      </c>
      <c r="M86" s="44" t="str">
        <f ca="1">IF(ISERROR(B86-2),"",C86+D86-F86-G86-K86+SUM($L$14:L86))</f>
        <v/>
      </c>
      <c r="O86" s="3">
        <v>46174.625</v>
      </c>
      <c r="P86" s="4">
        <v>91.65</v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>
        <f t="shared" si="10"/>
        <v>46174.625</v>
      </c>
      <c r="V86" s="3">
        <f t="shared" si="11"/>
        <v>46174.625</v>
      </c>
      <c r="X86" s="3">
        <v>46163</v>
      </c>
      <c r="Y86" s="5">
        <v>265.81610000000001</v>
      </c>
      <c r="Z86" s="3">
        <v>45898</v>
      </c>
      <c r="AA86" s="4">
        <v>241.4692</v>
      </c>
      <c r="AB86" s="6">
        <v>45898</v>
      </c>
      <c r="AC86" s="4">
        <v>267.947</v>
      </c>
      <c r="AD86" s="6">
        <f t="shared" si="12"/>
        <v>45898</v>
      </c>
    </row>
    <row r="87" spans="1:30" x14ac:dyDescent="0.25">
      <c r="A87" s="39" t="str">
        <f t="shared" ca="1" si="13"/>
        <v/>
      </c>
      <c r="B87" s="40" t="str">
        <f ca="1">IF(COUNTIF($W$2:W1072,A87)=1,VLOOKUP(A87,O:P,2), IF(COUNTIF($W$2:W1072,A87)=0,$B$9,""))</f>
        <v/>
      </c>
      <c r="C87" s="2" t="str">
        <f t="shared" ca="1" si="14"/>
        <v/>
      </c>
      <c r="D87" s="43" t="str">
        <f t="shared" ca="1" si="15"/>
        <v/>
      </c>
      <c r="E87" s="40" t="str">
        <f ca="1">IF(COUNTIF($W$2:W1072,A87)=1,VLOOKUP(A87,Q:R,2), IF(COUNTIF($W$2:W1072,A87)=0,$C$9,""))</f>
        <v/>
      </c>
      <c r="F87" s="2" t="str">
        <f t="shared" ca="1" si="16"/>
        <v/>
      </c>
      <c r="G87" s="43" t="str">
        <f t="shared" ca="1" si="17"/>
        <v/>
      </c>
      <c r="H87" s="40" t="str">
        <f ca="1">IF(COUNTIF($W$2:W1072,A87)=1,VLOOKUP(A87,S:T,2), IF(COUNTIF($W$2:W1072,A87)=0,$D$9,""))</f>
        <v/>
      </c>
      <c r="I87" s="41" t="str">
        <f ca="1">IF(COUNTIF($X$2:X1072,INT(A87))=1,VLOOKUP(INT(A87),X:Y,2), IF(ISERROR(H87-2),"",I86*(1-$D$8*(H87-H86)*0.0001)))</f>
        <v/>
      </c>
      <c r="J87" s="41" t="str">
        <f t="shared" ca="1" si="18"/>
        <v/>
      </c>
      <c r="K87" s="43" t="str">
        <f t="shared" ca="1" si="19"/>
        <v/>
      </c>
      <c r="L87" s="43" t="str">
        <f ca="1">IF($A87="","",IF(COUNTIFS(Dividends!$G:$G,"&gt;"&amp;INT($A86),Dividends!$G:$G,"&lt;="&amp;INT($A87))=0,"",$H$2*SUMIFS(Dividends!$H:$H,Dividends!$G:$G,"&gt;"&amp;INT($A86),Dividends!$G:$G,"&lt;="&amp;INT($A87))))</f>
        <v/>
      </c>
      <c r="M87" s="44" t="str">
        <f ca="1">IF(ISERROR(B87-2),"",C87+D87-F87-G87-K87+SUM($L$14:L87))</f>
        <v/>
      </c>
      <c r="O87" s="3">
        <v>46175.625</v>
      </c>
      <c r="P87" s="4">
        <v>91.88</v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>
        <f t="shared" si="10"/>
        <v>46175.625</v>
      </c>
      <c r="V87" s="3">
        <f t="shared" si="11"/>
        <v>46175.625</v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6">
        <v>45901</v>
      </c>
      <c r="AC87" s="4">
        <v>268.048</v>
      </c>
      <c r="AD87" s="6">
        <f t="shared" si="12"/>
        <v>45901</v>
      </c>
    </row>
    <row r="88" spans="1:30" x14ac:dyDescent="0.25">
      <c r="A88" s="39" t="str">
        <f t="shared" ca="1" si="13"/>
        <v/>
      </c>
      <c r="B88" s="40" t="str">
        <f ca="1">IF(COUNTIF($W$2:W1073,A88)=1,VLOOKUP(A88,O:P,2), IF(COUNTIF($W$2:W1073,A88)=0,$B$9,""))</f>
        <v/>
      </c>
      <c r="C88" s="2" t="str">
        <f t="shared" ca="1" si="14"/>
        <v/>
      </c>
      <c r="D88" s="43" t="str">
        <f t="shared" ca="1" si="15"/>
        <v/>
      </c>
      <c r="E88" s="40" t="str">
        <f ca="1">IF(COUNTIF($W$2:W1073,A88)=1,VLOOKUP(A88,Q:R,2), IF(COUNTIF($W$2:W1073,A88)=0,$C$9,""))</f>
        <v/>
      </c>
      <c r="F88" s="2" t="str">
        <f t="shared" ca="1" si="16"/>
        <v/>
      </c>
      <c r="G88" s="43" t="str">
        <f t="shared" ca="1" si="17"/>
        <v/>
      </c>
      <c r="H88" s="40" t="str">
        <f ca="1">IF(COUNTIF($W$2:W1073,A88)=1,VLOOKUP(A88,S:T,2), IF(COUNTIF($W$2:W1073,A88)=0,$D$9,""))</f>
        <v/>
      </c>
      <c r="I88" s="41" t="str">
        <f ca="1">IF(COUNTIF($X$2:X1073,INT(A88))=1,VLOOKUP(INT(A88),X:Y,2), IF(ISERROR(H88-2),"",I87*(1-$D$8*(H88-H87)*0.0001)))</f>
        <v/>
      </c>
      <c r="J88" s="41" t="str">
        <f t="shared" ca="1" si="18"/>
        <v/>
      </c>
      <c r="K88" s="43" t="str">
        <f t="shared" ca="1" si="19"/>
        <v/>
      </c>
      <c r="L88" s="43" t="str">
        <f ca="1">IF($A88="","",IF(COUNTIFS(Dividends!$G:$G,"&gt;"&amp;INT($A87),Dividends!$G:$G,"&lt;="&amp;INT($A88))=0,"",$H$2*SUMIFS(Dividends!$H:$H,Dividends!$G:$G,"&gt;"&amp;INT($A87),Dividends!$G:$G,"&lt;="&amp;INT($A88))))</f>
        <v/>
      </c>
      <c r="M88" s="44" t="str">
        <f ca="1">IF(ISERROR(B88-2),"",C88+D88-F88-G88-K88+SUM($L$14:L88))</f>
        <v/>
      </c>
      <c r="O88" s="3">
        <v>46176.625</v>
      </c>
      <c r="P88" s="4">
        <v>91.75</v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>
        <f t="shared" si="10"/>
        <v>46176.625</v>
      </c>
      <c r="V88" s="3">
        <f t="shared" si="11"/>
        <v>46176.625</v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6">
        <v>45902</v>
      </c>
      <c r="AC88" s="4">
        <v>274.36700000000002</v>
      </c>
      <c r="AD88" s="6">
        <f t="shared" si="12"/>
        <v>45902</v>
      </c>
    </row>
    <row r="89" spans="1:30" x14ac:dyDescent="0.25">
      <c r="A89" s="39" t="str">
        <f t="shared" ca="1" si="13"/>
        <v/>
      </c>
      <c r="B89" s="40" t="str">
        <f ca="1">IF(COUNTIF($W$2:W1074,A89)=1,VLOOKUP(A89,O:P,2), IF(COUNTIF($W$2:W1074,A89)=0,$B$9,""))</f>
        <v/>
      </c>
      <c r="C89" s="2" t="str">
        <f t="shared" ca="1" si="14"/>
        <v/>
      </c>
      <c r="D89" s="43" t="str">
        <f t="shared" ca="1" si="15"/>
        <v/>
      </c>
      <c r="E89" s="40" t="str">
        <f ca="1">IF(COUNTIF($W$2:W1074,A89)=1,VLOOKUP(A89,Q:R,2), IF(COUNTIF($W$2:W1074,A89)=0,$C$9,""))</f>
        <v/>
      </c>
      <c r="F89" s="2" t="str">
        <f t="shared" ca="1" si="16"/>
        <v/>
      </c>
      <c r="G89" s="43" t="str">
        <f t="shared" ca="1" si="17"/>
        <v/>
      </c>
      <c r="H89" s="40" t="str">
        <f ca="1">IF(COUNTIF($W$2:W1074,A89)=1,VLOOKUP(A89,S:T,2), IF(COUNTIF($W$2:W1074,A89)=0,$D$9,""))</f>
        <v/>
      </c>
      <c r="I89" s="41" t="str">
        <f ca="1">IF(COUNTIF($X$2:X1074,INT(A89))=1,VLOOKUP(INT(A89),X:Y,2), IF(ISERROR(H89-2),"",I88*(1-$D$8*(H89-H88)*0.0001)))</f>
        <v/>
      </c>
      <c r="J89" s="41" t="str">
        <f t="shared" ca="1" si="18"/>
        <v/>
      </c>
      <c r="K89" s="43" t="str">
        <f t="shared" ca="1" si="19"/>
        <v/>
      </c>
      <c r="L89" s="43" t="str">
        <f ca="1">IF($A89="","",IF(COUNTIFS(Dividends!$G:$G,"&gt;"&amp;INT($A88),Dividends!$G:$G,"&lt;="&amp;INT($A89))=0,"",$H$2*SUMIFS(Dividends!$H:$H,Dividends!$G:$G,"&gt;"&amp;INT($A88),Dividends!$G:$G,"&lt;="&amp;INT($A89))))</f>
        <v/>
      </c>
      <c r="M89" s="44" t="str">
        <f ca="1">IF(ISERROR(B89-2),"",C89+D89-F89-G89-K89+SUM($L$14:L89))</f>
        <v/>
      </c>
      <c r="O89" s="3">
        <v>46177.625</v>
      </c>
      <c r="P89" s="4">
        <v>91.74</v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>
        <f t="shared" si="10"/>
        <v>46177.625</v>
      </c>
      <c r="V89" s="3">
        <f t="shared" si="11"/>
        <v>46177.625</v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6">
        <v>45903</v>
      </c>
      <c r="AC89" s="4">
        <v>267.29599999999999</v>
      </c>
      <c r="AD89" s="6">
        <f t="shared" si="12"/>
        <v>45903</v>
      </c>
    </row>
    <row r="90" spans="1:30" x14ac:dyDescent="0.25">
      <c r="A90" s="39" t="str">
        <f t="shared" ca="1" si="13"/>
        <v/>
      </c>
      <c r="B90" s="40" t="str">
        <f ca="1">IF(COUNTIF($W$2:W1075,A90)=1,VLOOKUP(A90,O:P,2), IF(COUNTIF($W$2:W1075,A90)=0,$B$9,""))</f>
        <v/>
      </c>
      <c r="C90" s="2" t="str">
        <f t="shared" ca="1" si="14"/>
        <v/>
      </c>
      <c r="D90" s="43" t="str">
        <f t="shared" ca="1" si="15"/>
        <v/>
      </c>
      <c r="E90" s="40" t="str">
        <f ca="1">IF(COUNTIF($W$2:W1075,A90)=1,VLOOKUP(A90,Q:R,2), IF(COUNTIF($W$2:W1075,A90)=0,$C$9,""))</f>
        <v/>
      </c>
      <c r="F90" s="2" t="str">
        <f t="shared" ca="1" si="16"/>
        <v/>
      </c>
      <c r="G90" s="43" t="str">
        <f t="shared" ca="1" si="17"/>
        <v/>
      </c>
      <c r="H90" s="40" t="str">
        <f ca="1">IF(COUNTIF($W$2:W1075,A90)=1,VLOOKUP(A90,S:T,2), IF(COUNTIF($W$2:W1075,A90)=0,$D$9,""))</f>
        <v/>
      </c>
      <c r="I90" s="41" t="str">
        <f ca="1">IF(COUNTIF($X$2:X1075,INT(A90))=1,VLOOKUP(INT(A90),X:Y,2), IF(ISERROR(H90-2),"",I89*(1-$D$8*(H90-H89)*0.0001)))</f>
        <v/>
      </c>
      <c r="J90" s="41" t="str">
        <f t="shared" ca="1" si="18"/>
        <v/>
      </c>
      <c r="K90" s="43" t="str">
        <f t="shared" ca="1" si="19"/>
        <v/>
      </c>
      <c r="L90" s="43" t="str">
        <f ca="1">IF($A90="","",IF(COUNTIFS(Dividends!$G:$G,"&gt;"&amp;INT($A89),Dividends!$G:$G,"&lt;="&amp;INT($A90))=0,"",$H$2*SUMIFS(Dividends!$H:$H,Dividends!$G:$G,"&gt;"&amp;INT($A89),Dividends!$G:$G,"&lt;="&amp;INT($A90))))</f>
        <v/>
      </c>
      <c r="M90" s="44" t="str">
        <f ca="1">IF(ISERROR(B90-2),"",C90+D90-F90-G90-K90+SUM($L$14:L90))</f>
        <v/>
      </c>
      <c r="O90" s="3">
        <v>46178.625</v>
      </c>
      <c r="P90" s="4">
        <v>91.71</v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>
        <f t="shared" si="10"/>
        <v>46178.625</v>
      </c>
      <c r="V90" s="3">
        <f t="shared" si="11"/>
        <v>46178.625</v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6">
        <v>45904</v>
      </c>
      <c r="AC90" s="4">
        <v>262.767</v>
      </c>
      <c r="AD90" s="6">
        <f t="shared" si="12"/>
        <v>45904</v>
      </c>
    </row>
    <row r="91" spans="1:30" x14ac:dyDescent="0.25">
      <c r="A91" s="39" t="str">
        <f t="shared" ca="1" si="13"/>
        <v/>
      </c>
      <c r="B91" s="40" t="str">
        <f ca="1">IF(COUNTIF($W$2:W1076,A91)=1,VLOOKUP(A91,O:P,2), IF(COUNTIF($W$2:W1076,A91)=0,$B$9,""))</f>
        <v/>
      </c>
      <c r="C91" s="2" t="str">
        <f t="shared" ca="1" si="14"/>
        <v/>
      </c>
      <c r="D91" s="43" t="str">
        <f t="shared" ca="1" si="15"/>
        <v/>
      </c>
      <c r="E91" s="40" t="str">
        <f ca="1">IF(COUNTIF($W$2:W1076,A91)=1,VLOOKUP(A91,Q:R,2), IF(COUNTIF($W$2:W1076,A91)=0,$C$9,""))</f>
        <v/>
      </c>
      <c r="F91" s="2" t="str">
        <f t="shared" ca="1" si="16"/>
        <v/>
      </c>
      <c r="G91" s="43" t="str">
        <f t="shared" ca="1" si="17"/>
        <v/>
      </c>
      <c r="H91" s="40" t="str">
        <f ca="1">IF(COUNTIF($W$2:W1076,A91)=1,VLOOKUP(A91,S:T,2), IF(COUNTIF($W$2:W1076,A91)=0,$D$9,""))</f>
        <v/>
      </c>
      <c r="I91" s="41" t="str">
        <f ca="1">IF(COUNTIF($X$2:X1076,INT(A91))=1,VLOOKUP(INT(A91),X:Y,2), IF(ISERROR(H91-2),"",I90*(1-$D$8*(H91-H90)*0.0001)))</f>
        <v/>
      </c>
      <c r="J91" s="41" t="str">
        <f t="shared" ca="1" si="18"/>
        <v/>
      </c>
      <c r="K91" s="43" t="str">
        <f t="shared" ca="1" si="19"/>
        <v/>
      </c>
      <c r="L91" s="43" t="str">
        <f ca="1">IF($A91="","",IF(COUNTIFS(Dividends!$G:$G,"&gt;"&amp;INT($A90),Dividends!$G:$G,"&lt;="&amp;INT($A91))=0,"",$H$2*SUMIFS(Dividends!$H:$H,Dividends!$G:$G,"&gt;"&amp;INT($A90),Dividends!$G:$G,"&lt;="&amp;INT($A91))))</f>
        <v/>
      </c>
      <c r="M91" s="44" t="str">
        <f ca="1">IF(ISERROR(B91-2),"",C91+D91-F91-G91-K91+SUM($L$14:L91))</f>
        <v/>
      </c>
      <c r="O91" s="3">
        <v>46181.625</v>
      </c>
      <c r="P91" s="4">
        <v>91.65</v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>
        <f t="shared" si="10"/>
        <v>46181.625</v>
      </c>
      <c r="V91" s="3">
        <f t="shared" si="11"/>
        <v>46181.625</v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6">
        <v>45905</v>
      </c>
      <c r="AC91" s="4">
        <v>262.98399999999998</v>
      </c>
      <c r="AD91" s="6">
        <f t="shared" si="12"/>
        <v>45905</v>
      </c>
    </row>
    <row r="92" spans="1:30" x14ac:dyDescent="0.25">
      <c r="A92" s="39" t="str">
        <f t="shared" ca="1" si="13"/>
        <v/>
      </c>
      <c r="B92" s="40" t="str">
        <f ca="1">IF(COUNTIF($W$2:W1077,A92)=1,VLOOKUP(A92,O:P,2), IF(COUNTIF($W$2:W1077,A92)=0,$B$9,""))</f>
        <v/>
      </c>
      <c r="C92" s="2" t="str">
        <f t="shared" ca="1" si="14"/>
        <v/>
      </c>
      <c r="D92" s="43" t="str">
        <f t="shared" ca="1" si="15"/>
        <v/>
      </c>
      <c r="E92" s="40" t="str">
        <f ca="1">IF(COUNTIF($W$2:W1077,A92)=1,VLOOKUP(A92,Q:R,2), IF(COUNTIF($W$2:W1077,A92)=0,$C$9,""))</f>
        <v/>
      </c>
      <c r="F92" s="2" t="str">
        <f t="shared" ca="1" si="16"/>
        <v/>
      </c>
      <c r="G92" s="43" t="str">
        <f t="shared" ca="1" si="17"/>
        <v/>
      </c>
      <c r="H92" s="40" t="str">
        <f ca="1">IF(COUNTIF($W$2:W1077,A92)=1,VLOOKUP(A92,S:T,2), IF(COUNTIF($W$2:W1077,A92)=0,$D$9,""))</f>
        <v/>
      </c>
      <c r="I92" s="41" t="str">
        <f ca="1">IF(COUNTIF($X$2:X1077,INT(A92))=1,VLOOKUP(INT(A92),X:Y,2), IF(ISERROR(H92-2),"",I91*(1-$D$8*(H92-H91)*0.0001)))</f>
        <v/>
      </c>
      <c r="J92" s="41" t="str">
        <f t="shared" ca="1" si="18"/>
        <v/>
      </c>
      <c r="K92" s="43" t="str">
        <f t="shared" ca="1" si="19"/>
        <v/>
      </c>
      <c r="L92" s="43" t="str">
        <f ca="1">IF($A92="","",IF(COUNTIFS(Dividends!$G:$G,"&gt;"&amp;INT($A91),Dividends!$G:$G,"&lt;="&amp;INT($A92))=0,"",$H$2*SUMIFS(Dividends!$H:$H,Dividends!$G:$G,"&gt;"&amp;INT($A91),Dividends!$G:$G,"&lt;="&amp;INT($A92))))</f>
        <v/>
      </c>
      <c r="M92" s="44" t="str">
        <f ca="1">IF(ISERROR(B92-2),"",C92+D92-F92-G92-K92+SUM($L$14:L92))</f>
        <v/>
      </c>
      <c r="O92" s="3">
        <v>46182.625</v>
      </c>
      <c r="P92" s="4">
        <v>91.63</v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>
        <f t="shared" si="10"/>
        <v>46182.625</v>
      </c>
      <c r="V92" s="3">
        <f t="shared" si="11"/>
        <v>46182.625</v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6">
        <v>45908</v>
      </c>
      <c r="AC92" s="4">
        <v>260.62700000000001</v>
      </c>
      <c r="AD92" s="6">
        <f t="shared" si="12"/>
        <v>45908</v>
      </c>
    </row>
    <row r="93" spans="1:30" x14ac:dyDescent="0.25">
      <c r="A93" s="39" t="str">
        <f t="shared" ca="1" si="13"/>
        <v/>
      </c>
      <c r="B93" s="40" t="str">
        <f ca="1">IF(COUNTIF($W$2:W1078,A93)=1,VLOOKUP(A93,O:P,2), IF(COUNTIF($W$2:W1078,A93)=0,$B$9,""))</f>
        <v/>
      </c>
      <c r="C93" s="2" t="str">
        <f t="shared" ca="1" si="14"/>
        <v/>
      </c>
      <c r="D93" s="43" t="str">
        <f t="shared" ca="1" si="15"/>
        <v/>
      </c>
      <c r="E93" s="40" t="str">
        <f ca="1">IF(COUNTIF($W$2:W1078,A93)=1,VLOOKUP(A93,Q:R,2), IF(COUNTIF($W$2:W1078,A93)=0,$C$9,""))</f>
        <v/>
      </c>
      <c r="F93" s="2" t="str">
        <f t="shared" ca="1" si="16"/>
        <v/>
      </c>
      <c r="G93" s="43" t="str">
        <f t="shared" ca="1" si="17"/>
        <v/>
      </c>
      <c r="H93" s="40" t="str">
        <f ca="1">IF(COUNTIF($W$2:W1078,A93)=1,VLOOKUP(A93,S:T,2), IF(COUNTIF($W$2:W1078,A93)=0,$D$9,""))</f>
        <v/>
      </c>
      <c r="I93" s="41" t="str">
        <f ca="1">IF(COUNTIF($X$2:X1078,INT(A93))=1,VLOOKUP(INT(A93),X:Y,2), IF(ISERROR(H93-2),"",I92*(1-$D$8*(H93-H92)*0.0001)))</f>
        <v/>
      </c>
      <c r="J93" s="41" t="str">
        <f t="shared" ca="1" si="18"/>
        <v/>
      </c>
      <c r="K93" s="43" t="str">
        <f t="shared" ca="1" si="19"/>
        <v/>
      </c>
      <c r="L93" s="43" t="str">
        <f ca="1">IF($A93="","",IF(COUNTIFS(Dividends!$G:$G,"&gt;"&amp;INT($A92),Dividends!$G:$G,"&lt;="&amp;INT($A93))=0,"",$H$2*SUMIFS(Dividends!$H:$H,Dividends!$G:$G,"&gt;"&amp;INT($A92),Dividends!$G:$G,"&lt;="&amp;INT($A93))))</f>
        <v/>
      </c>
      <c r="M93" s="44" t="str">
        <f ca="1">IF(ISERROR(B93-2),"",C93+D93-F93-G93-K93+SUM($L$14:L93))</f>
        <v/>
      </c>
      <c r="O93" s="3">
        <v>46183.625</v>
      </c>
      <c r="P93" s="4">
        <v>91.62</v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>
        <f t="shared" si="10"/>
        <v>46183.625</v>
      </c>
      <c r="V93" s="3">
        <f t="shared" si="11"/>
        <v>46183.625</v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6">
        <v>45909</v>
      </c>
      <c r="AC93" s="4">
        <v>260.81900000000002</v>
      </c>
      <c r="AD93" s="6">
        <f t="shared" si="12"/>
        <v>45909</v>
      </c>
    </row>
    <row r="94" spans="1:30" x14ac:dyDescent="0.25">
      <c r="A94" s="39" t="str">
        <f t="shared" ca="1" si="13"/>
        <v/>
      </c>
      <c r="B94" s="40" t="str">
        <f ca="1">IF(COUNTIF($W$2:W1079,A94)=1,VLOOKUP(A94,O:P,2), IF(COUNTIF($W$2:W1079,A94)=0,$B$9,""))</f>
        <v/>
      </c>
      <c r="C94" s="2" t="str">
        <f t="shared" ca="1" si="14"/>
        <v/>
      </c>
      <c r="D94" s="43" t="str">
        <f t="shared" ca="1" si="15"/>
        <v/>
      </c>
      <c r="E94" s="40" t="str">
        <f ca="1">IF(COUNTIF($W$2:W1079,A94)=1,VLOOKUP(A94,Q:R,2), IF(COUNTIF($W$2:W1079,A94)=0,$C$9,""))</f>
        <v/>
      </c>
      <c r="F94" s="2" t="str">
        <f t="shared" ca="1" si="16"/>
        <v/>
      </c>
      <c r="G94" s="43" t="str">
        <f t="shared" ca="1" si="17"/>
        <v/>
      </c>
      <c r="H94" s="40" t="str">
        <f ca="1">IF(COUNTIF($W$2:W1079,A94)=1,VLOOKUP(A94,S:T,2), IF(COUNTIF($W$2:W1079,A94)=0,$D$9,""))</f>
        <v/>
      </c>
      <c r="I94" s="41" t="str">
        <f ca="1">IF(COUNTIF($X$2:X1079,INT(A94))=1,VLOOKUP(INT(A94),X:Y,2), IF(ISERROR(H94-2),"",I93*(1-$D$8*(H94-H93)*0.0001)))</f>
        <v/>
      </c>
      <c r="J94" s="41" t="str">
        <f t="shared" ca="1" si="18"/>
        <v/>
      </c>
      <c r="K94" s="43" t="str">
        <f t="shared" ca="1" si="19"/>
        <v/>
      </c>
      <c r="L94" s="43" t="str">
        <f ca="1">IF($A94="","",IF(COUNTIFS(Dividends!$G:$G,"&gt;"&amp;INT($A93),Dividends!$G:$G,"&lt;="&amp;INT($A94))=0,"",$H$2*SUMIFS(Dividends!$H:$H,Dividends!$G:$G,"&gt;"&amp;INT($A93),Dividends!$G:$G,"&lt;="&amp;INT($A94))))</f>
        <v/>
      </c>
      <c r="M94" s="44" t="str">
        <f ca="1">IF(ISERROR(B94-2),"",C94+D94-F94-G94-K94+SUM($L$14:L94))</f>
        <v/>
      </c>
      <c r="O94" s="3">
        <v>46184.625</v>
      </c>
      <c r="P94" s="4">
        <v>91.65</v>
      </c>
      <c r="Q94" s="3">
        <v>46178.625</v>
      </c>
      <c r="R94" s="4">
        <v>99.38</v>
      </c>
      <c r="S94" s="3">
        <v>46181.625</v>
      </c>
      <c r="T94" s="4">
        <v>263.755</v>
      </c>
      <c r="U94" s="3">
        <f t="shared" si="10"/>
        <v>46184.625</v>
      </c>
      <c r="V94" s="3">
        <f t="shared" si="11"/>
        <v>46184.625</v>
      </c>
      <c r="X94" s="3">
        <v>46176</v>
      </c>
      <c r="Y94" s="5">
        <v>268.40789999999998</v>
      </c>
      <c r="Z94" s="3">
        <v>45910</v>
      </c>
      <c r="AA94" s="4">
        <v>242.7055</v>
      </c>
      <c r="AB94" s="6">
        <v>45910</v>
      </c>
      <c r="AC94" s="4">
        <v>258.92</v>
      </c>
      <c r="AD94" s="6">
        <f t="shared" si="12"/>
        <v>45910</v>
      </c>
    </row>
    <row r="95" spans="1:30" x14ac:dyDescent="0.25">
      <c r="A95" s="39" t="str">
        <f t="shared" ca="1" si="13"/>
        <v/>
      </c>
      <c r="B95" s="40" t="str">
        <f ca="1">IF(COUNTIF($W$2:W1080,A95)=1,VLOOKUP(A95,O:P,2), IF(COUNTIF($W$2:W1080,A95)=0,$B$9,""))</f>
        <v/>
      </c>
      <c r="C95" s="2" t="str">
        <f t="shared" ca="1" si="14"/>
        <v/>
      </c>
      <c r="D95" s="43" t="str">
        <f t="shared" ca="1" si="15"/>
        <v/>
      </c>
      <c r="E95" s="40" t="str">
        <f ca="1">IF(COUNTIF($W$2:W1080,A95)=1,VLOOKUP(A95,Q:R,2), IF(COUNTIF($W$2:W1080,A95)=0,$C$9,""))</f>
        <v/>
      </c>
      <c r="F95" s="2" t="str">
        <f t="shared" ca="1" si="16"/>
        <v/>
      </c>
      <c r="G95" s="43" t="str">
        <f t="shared" ca="1" si="17"/>
        <v/>
      </c>
      <c r="H95" s="40" t="str">
        <f ca="1">IF(COUNTIF($W$2:W1080,A95)=1,VLOOKUP(A95,S:T,2), IF(COUNTIF($W$2:W1080,A95)=0,$D$9,""))</f>
        <v/>
      </c>
      <c r="I95" s="41" t="str">
        <f ca="1">IF(COUNTIF($X$2:X1080,INT(A95))=1,VLOOKUP(INT(A95),X:Y,2), IF(ISERROR(H95-2),"",I94*(1-$D$8*(H95-H94)*0.0001)))</f>
        <v/>
      </c>
      <c r="J95" s="41" t="str">
        <f t="shared" ca="1" si="18"/>
        <v/>
      </c>
      <c r="K95" s="43" t="str">
        <f t="shared" ca="1" si="19"/>
        <v/>
      </c>
      <c r="L95" s="43" t="str">
        <f ca="1">IF($A95="","",IF(COUNTIFS(Dividends!$G:$G,"&gt;"&amp;INT($A94),Dividends!$G:$G,"&lt;="&amp;INT($A95))=0,"",$H$2*SUMIFS(Dividends!$H:$H,Dividends!$G:$G,"&gt;"&amp;INT($A94),Dividends!$G:$G,"&lt;="&amp;INT($A95))))</f>
        <v/>
      </c>
      <c r="M95" s="44" t="str">
        <f ca="1">IF(ISERROR(B95-2),"",C95+D95-F95-G95-K95+SUM($L$14:L95))</f>
        <v/>
      </c>
      <c r="O95" s="3">
        <v>46185.625</v>
      </c>
      <c r="P95" s="4">
        <v>91.87</v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>
        <f t="shared" si="10"/>
        <v>46185.625</v>
      </c>
      <c r="V95" s="3">
        <f t="shared" si="11"/>
        <v>46185.625</v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6">
        <v>45911</v>
      </c>
      <c r="AC95" s="4">
        <v>252.2</v>
      </c>
      <c r="AD95" s="6">
        <f t="shared" si="12"/>
        <v>45911</v>
      </c>
    </row>
    <row r="96" spans="1:30" x14ac:dyDescent="0.25">
      <c r="A96" s="39" t="str">
        <f t="shared" ca="1" si="13"/>
        <v/>
      </c>
      <c r="B96" s="40" t="str">
        <f ca="1">IF(COUNTIF($W$2:W1081,A96)=1,VLOOKUP(A96,O:P,2), IF(COUNTIF($W$2:W1081,A96)=0,$B$9,""))</f>
        <v/>
      </c>
      <c r="C96" s="2" t="str">
        <f t="shared" ca="1" si="14"/>
        <v/>
      </c>
      <c r="D96" s="43" t="str">
        <f t="shared" ca="1" si="15"/>
        <v/>
      </c>
      <c r="E96" s="40" t="str">
        <f ca="1">IF(COUNTIF($W$2:W1081,A96)=1,VLOOKUP(A96,Q:R,2), IF(COUNTIF($W$2:W1081,A96)=0,$C$9,""))</f>
        <v/>
      </c>
      <c r="F96" s="2" t="str">
        <f t="shared" ca="1" si="16"/>
        <v/>
      </c>
      <c r="G96" s="43" t="str">
        <f t="shared" ca="1" si="17"/>
        <v/>
      </c>
      <c r="H96" s="40" t="str">
        <f ca="1">IF(COUNTIF($W$2:W1081,A96)=1,VLOOKUP(A96,S:T,2), IF(COUNTIF($W$2:W1081,A96)=0,$D$9,""))</f>
        <v/>
      </c>
      <c r="I96" s="41" t="str">
        <f ca="1">IF(COUNTIF($X$2:X1081,INT(A96))=1,VLOOKUP(INT(A96),X:Y,2), IF(ISERROR(H96-2),"",I95*(1-$D$8*(H96-H95)*0.0001)))</f>
        <v/>
      </c>
      <c r="J96" s="41" t="str">
        <f t="shared" ca="1" si="18"/>
        <v/>
      </c>
      <c r="K96" s="43" t="str">
        <f t="shared" ca="1" si="19"/>
        <v/>
      </c>
      <c r="L96" s="43" t="str">
        <f ca="1">IF($A96="","",IF(COUNTIFS(Dividends!$G:$G,"&gt;"&amp;INT($A95),Dividends!$G:$G,"&lt;="&amp;INT($A96))=0,"",$H$2*SUMIFS(Dividends!$H:$H,Dividends!$G:$G,"&gt;"&amp;INT($A95),Dividends!$G:$G,"&lt;="&amp;INT($A96))))</f>
        <v/>
      </c>
      <c r="M96" s="44" t="str">
        <f ca="1">IF(ISERROR(B96-2),"",C96+D96-F96-G96-K96+SUM($L$14:L96))</f>
        <v/>
      </c>
      <c r="O96" s="3">
        <v>46188.625</v>
      </c>
      <c r="P96" s="4">
        <v>92.18</v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>
        <f t="shared" si="10"/>
        <v>46188.625</v>
      </c>
      <c r="V96" s="3">
        <f t="shared" si="11"/>
        <v>46188.625</v>
      </c>
      <c r="X96" s="3">
        <v>46178</v>
      </c>
      <c r="Y96" s="5">
        <v>268.35000000000002</v>
      </c>
      <c r="Z96" s="3">
        <v>45912</v>
      </c>
      <c r="AA96" s="4">
        <v>243.55</v>
      </c>
      <c r="AB96" s="6">
        <v>45912</v>
      </c>
      <c r="AC96" s="4">
        <v>251.792</v>
      </c>
      <c r="AD96" s="6">
        <f t="shared" si="12"/>
        <v>45912</v>
      </c>
    </row>
    <row r="97" spans="1:30" x14ac:dyDescent="0.25">
      <c r="A97" s="39" t="str">
        <f t="shared" ca="1" si="13"/>
        <v/>
      </c>
      <c r="B97" s="40" t="str">
        <f ca="1">IF(COUNTIF($W$2:W1082,A97)=1,VLOOKUP(A97,O:P,2), IF(COUNTIF($W$2:W1082,A97)=0,$B$9,""))</f>
        <v/>
      </c>
      <c r="C97" s="2" t="str">
        <f t="shared" ca="1" si="14"/>
        <v/>
      </c>
      <c r="D97" s="43" t="str">
        <f t="shared" ca="1" si="15"/>
        <v/>
      </c>
      <c r="E97" s="40" t="str">
        <f ca="1">IF(COUNTIF($W$2:W1082,A97)=1,VLOOKUP(A97,Q:R,2), IF(COUNTIF($W$2:W1082,A97)=0,$C$9,""))</f>
        <v/>
      </c>
      <c r="F97" s="2" t="str">
        <f t="shared" ca="1" si="16"/>
        <v/>
      </c>
      <c r="G97" s="43" t="str">
        <f t="shared" ca="1" si="17"/>
        <v/>
      </c>
      <c r="H97" s="40" t="str">
        <f ca="1">IF(COUNTIF($W$2:W1082,A97)=1,VLOOKUP(A97,S:T,2), IF(COUNTIF($W$2:W1082,A97)=0,$D$9,""))</f>
        <v/>
      </c>
      <c r="I97" s="41" t="str">
        <f ca="1">IF(COUNTIF($X$2:X1082,INT(A97))=1,VLOOKUP(INT(A97),X:Y,2), IF(ISERROR(H97-2),"",I96*(1-$D$8*(H97-H96)*0.0001)))</f>
        <v/>
      </c>
      <c r="J97" s="41" t="str">
        <f t="shared" ca="1" si="18"/>
        <v/>
      </c>
      <c r="K97" s="43" t="str">
        <f t="shared" ca="1" si="19"/>
        <v/>
      </c>
      <c r="L97" s="43" t="str">
        <f ca="1">IF($A97="","",IF(COUNTIFS(Dividends!$G:$G,"&gt;"&amp;INT($A96),Dividends!$G:$G,"&lt;="&amp;INT($A97))=0,"",$H$2*SUMIFS(Dividends!$H:$H,Dividends!$G:$G,"&gt;"&amp;INT($A96),Dividends!$G:$G,"&lt;="&amp;INT($A97))))</f>
        <v/>
      </c>
      <c r="M97" s="44" t="str">
        <f ca="1">IF(ISERROR(B97-2),"",C97+D97-F97-G97-K97+SUM($L$14:L97))</f>
        <v/>
      </c>
      <c r="O97" s="3">
        <v>46189.625</v>
      </c>
      <c r="P97" s="4">
        <v>92.15</v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>
        <f t="shared" si="10"/>
        <v>46189.625</v>
      </c>
      <c r="V97" s="3">
        <f t="shared" si="11"/>
        <v>46189.625</v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6">
        <v>45915</v>
      </c>
      <c r="AC97" s="4">
        <v>248.089</v>
      </c>
      <c r="AD97" s="6">
        <f t="shared" si="12"/>
        <v>45915</v>
      </c>
    </row>
    <row r="98" spans="1:30" x14ac:dyDescent="0.25">
      <c r="A98" s="39" t="str">
        <f t="shared" ca="1" si="13"/>
        <v/>
      </c>
      <c r="B98" s="40" t="str">
        <f ca="1">IF(COUNTIF($W$2:W1083,A98)=1,VLOOKUP(A98,O:P,2), IF(COUNTIF($W$2:W1083,A98)=0,$B$9,""))</f>
        <v/>
      </c>
      <c r="C98" s="2" t="str">
        <f t="shared" ca="1" si="14"/>
        <v/>
      </c>
      <c r="D98" s="43" t="str">
        <f t="shared" ca="1" si="15"/>
        <v/>
      </c>
      <c r="E98" s="40" t="str">
        <f ca="1">IF(COUNTIF($W$2:W1083,A98)=1,VLOOKUP(A98,Q:R,2), IF(COUNTIF($W$2:W1083,A98)=0,$C$9,""))</f>
        <v/>
      </c>
      <c r="F98" s="2" t="str">
        <f t="shared" ca="1" si="16"/>
        <v/>
      </c>
      <c r="G98" s="43" t="str">
        <f t="shared" ca="1" si="17"/>
        <v/>
      </c>
      <c r="H98" s="40" t="str">
        <f ca="1">IF(COUNTIF($W$2:W1083,A98)=1,VLOOKUP(A98,S:T,2), IF(COUNTIF($W$2:W1083,A98)=0,$D$9,""))</f>
        <v/>
      </c>
      <c r="I98" s="41" t="str">
        <f ca="1">IF(COUNTIF($X$2:X1083,INT(A98))=1,VLOOKUP(INT(A98),X:Y,2), IF(ISERROR(H98-2),"",I97*(1-$D$8*(H98-H97)*0.0001)))</f>
        <v/>
      </c>
      <c r="J98" s="41" t="str">
        <f t="shared" ca="1" si="18"/>
        <v/>
      </c>
      <c r="K98" s="43" t="str">
        <f t="shared" ca="1" si="19"/>
        <v/>
      </c>
      <c r="L98" s="43" t="str">
        <f ca="1">IF($A98="","",IF(COUNTIFS(Dividends!$G:$G,"&gt;"&amp;INT($A97),Dividends!$G:$G,"&lt;="&amp;INT($A98))=0,"",$H$2*SUMIFS(Dividends!$H:$H,Dividends!$G:$G,"&gt;"&amp;INT($A97),Dividends!$G:$G,"&lt;="&amp;INT($A98))))</f>
        <v/>
      </c>
      <c r="M98" s="44" t="str">
        <f ca="1">IF(ISERROR(B98-2),"",C98+D98-F98-G98-K98+SUM($L$14:L98))</f>
        <v/>
      </c>
      <c r="O98" s="3">
        <v>46190.625</v>
      </c>
      <c r="P98" s="4">
        <v>92.16</v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>
        <f t="shared" si="10"/>
        <v>46190.625</v>
      </c>
      <c r="V98" s="3">
        <f t="shared" si="11"/>
        <v>46190.625</v>
      </c>
      <c r="X98" s="3">
        <v>46182</v>
      </c>
      <c r="Y98" s="5">
        <v>268.3329</v>
      </c>
      <c r="Z98" s="3">
        <v>45916</v>
      </c>
      <c r="AA98" s="4">
        <v>243.57589999999999</v>
      </c>
      <c r="AB98" s="6">
        <v>45916</v>
      </c>
      <c r="AC98" s="4">
        <v>252.04</v>
      </c>
      <c r="AD98" s="6">
        <f t="shared" si="12"/>
        <v>45916</v>
      </c>
    </row>
    <row r="99" spans="1:30" x14ac:dyDescent="0.25">
      <c r="A99" s="39" t="str">
        <f t="shared" ca="1" si="13"/>
        <v/>
      </c>
      <c r="B99" s="40" t="str">
        <f ca="1">IF(COUNTIF($W$2:W1084,A99)=1,VLOOKUP(A99,O:P,2), IF(COUNTIF($W$2:W1084,A99)=0,$B$9,""))</f>
        <v/>
      </c>
      <c r="C99" s="2" t="str">
        <f t="shared" ca="1" si="14"/>
        <v/>
      </c>
      <c r="D99" s="43" t="str">
        <f t="shared" ca="1" si="15"/>
        <v/>
      </c>
      <c r="E99" s="40" t="str">
        <f ca="1">IF(COUNTIF($W$2:W1084,A99)=1,VLOOKUP(A99,Q:R,2), IF(COUNTIF($W$2:W1084,A99)=0,$C$9,""))</f>
        <v/>
      </c>
      <c r="F99" s="2" t="str">
        <f t="shared" ca="1" si="16"/>
        <v/>
      </c>
      <c r="G99" s="43" t="str">
        <f t="shared" ca="1" si="17"/>
        <v/>
      </c>
      <c r="H99" s="40" t="str">
        <f ca="1">IF(COUNTIF($W$2:W1084,A99)=1,VLOOKUP(A99,S:T,2), IF(COUNTIF($W$2:W1084,A99)=0,$D$9,""))</f>
        <v/>
      </c>
      <c r="I99" s="41" t="str">
        <f ca="1">IF(COUNTIF($X$2:X1084,INT(A99))=1,VLOOKUP(INT(A99),X:Y,2), IF(ISERROR(H99-2),"",I98*(1-$D$8*(H99-H98)*0.0001)))</f>
        <v/>
      </c>
      <c r="J99" s="41" t="str">
        <f t="shared" ca="1" si="18"/>
        <v/>
      </c>
      <c r="K99" s="43" t="str">
        <f t="shared" ca="1" si="19"/>
        <v/>
      </c>
      <c r="L99" s="43" t="str">
        <f ca="1">IF($A99="","",IF(COUNTIFS(Dividends!$G:$G,"&gt;"&amp;INT($A98),Dividends!$G:$G,"&lt;="&amp;INT($A99))=0,"",$H$2*SUMIFS(Dividends!$H:$H,Dividends!$G:$G,"&gt;"&amp;INT($A98),Dividends!$G:$G,"&lt;="&amp;INT($A99))))</f>
        <v/>
      </c>
      <c r="M99" s="44" t="str">
        <f ca="1">IF(ISERROR(B99-2),"",C99+D99-F99-G99-K99+SUM($L$14:L99))</f>
        <v/>
      </c>
      <c r="O99" s="3">
        <v>46191.625</v>
      </c>
      <c r="P99" s="4">
        <v>91.01</v>
      </c>
      <c r="Q99" s="3">
        <v>46185.625</v>
      </c>
      <c r="R99" s="4">
        <v>99.512</v>
      </c>
      <c r="S99" s="3">
        <v>46188.625</v>
      </c>
      <c r="T99" s="4">
        <v>248.518</v>
      </c>
      <c r="U99" s="3">
        <f t="shared" si="10"/>
        <v>46191.625</v>
      </c>
      <c r="V99" s="3">
        <f t="shared" si="11"/>
        <v>46191.625</v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6">
        <v>45917</v>
      </c>
      <c r="AC99" s="4">
        <v>250.89500000000001</v>
      </c>
      <c r="AD99" s="6">
        <f t="shared" si="12"/>
        <v>45917</v>
      </c>
    </row>
    <row r="100" spans="1:30" x14ac:dyDescent="0.25">
      <c r="A100" s="39" t="str">
        <f t="shared" ca="1" si="13"/>
        <v/>
      </c>
      <c r="B100" s="40" t="str">
        <f ca="1">IF(COUNTIF($W$2:W1085,A100)=1,VLOOKUP(A100,O:P,2), IF(COUNTIF($W$2:W1085,A100)=0,$B$9,""))</f>
        <v/>
      </c>
      <c r="C100" s="2" t="str">
        <f t="shared" ca="1" si="14"/>
        <v/>
      </c>
      <c r="D100" s="43" t="str">
        <f t="shared" ca="1" si="15"/>
        <v/>
      </c>
      <c r="E100" s="40" t="str">
        <f ca="1">IF(COUNTIF($W$2:W1085,A100)=1,VLOOKUP(A100,Q:R,2), IF(COUNTIF($W$2:W1085,A100)=0,$C$9,""))</f>
        <v/>
      </c>
      <c r="F100" s="2" t="str">
        <f t="shared" ca="1" si="16"/>
        <v/>
      </c>
      <c r="G100" s="43" t="str">
        <f t="shared" ca="1" si="17"/>
        <v/>
      </c>
      <c r="H100" s="40" t="str">
        <f ca="1">IF(COUNTIF($W$2:W1085,A100)=1,VLOOKUP(A100,S:T,2), IF(COUNTIF($W$2:W1085,A100)=0,$D$9,""))</f>
        <v/>
      </c>
      <c r="I100" s="41" t="str">
        <f ca="1">IF(COUNTIF($X$2:X1085,INT(A100))=1,VLOOKUP(INT(A100),X:Y,2), IF(ISERROR(H100-2),"",I99*(1-$D$8*(H100-H99)*0.0001)))</f>
        <v/>
      </c>
      <c r="J100" s="41" t="str">
        <f t="shared" ca="1" si="18"/>
        <v/>
      </c>
      <c r="K100" s="43" t="str">
        <f t="shared" ca="1" si="19"/>
        <v/>
      </c>
      <c r="L100" s="43" t="str">
        <f ca="1">IF($A100="","",IF(COUNTIFS(Dividends!$G:$G,"&gt;"&amp;INT($A99),Dividends!$G:$G,"&lt;="&amp;INT($A100))=0,"",$H$2*SUMIFS(Dividends!$H:$H,Dividends!$G:$G,"&gt;"&amp;INT($A99),Dividends!$G:$G,"&lt;="&amp;INT($A100))))</f>
        <v/>
      </c>
      <c r="M100" s="44" t="str">
        <f ca="1">IF(ISERROR(B100-2),"",C100+D100-F100-G100-K100+SUM($L$14:L100))</f>
        <v/>
      </c>
      <c r="O100" s="3">
        <v>46192.625</v>
      </c>
      <c r="P100" s="4">
        <v>91.05</v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>
        <f t="shared" si="10"/>
        <v>46192.625</v>
      </c>
      <c r="V100" s="3">
        <f t="shared" si="11"/>
        <v>46192.625</v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6">
        <v>45918</v>
      </c>
      <c r="AC100" s="4">
        <v>247.65700000000001</v>
      </c>
      <c r="AD100" s="6">
        <f t="shared" si="12"/>
        <v>45918</v>
      </c>
    </row>
    <row r="101" spans="1:30" x14ac:dyDescent="0.25">
      <c r="A101" s="39" t="str">
        <f t="shared" ca="1" si="13"/>
        <v/>
      </c>
      <c r="B101" s="40" t="str">
        <f ca="1">IF(COUNTIF($W$2:W1086,A101)=1,VLOOKUP(A101,O:P,2), IF(COUNTIF($W$2:W1086,A101)=0,$B$9,""))</f>
        <v/>
      </c>
      <c r="C101" s="2" t="str">
        <f t="shared" ca="1" si="14"/>
        <v/>
      </c>
      <c r="D101" s="43" t="str">
        <f t="shared" ca="1" si="15"/>
        <v/>
      </c>
      <c r="E101" s="40" t="str">
        <f ca="1">IF(COUNTIF($W$2:W1086,A101)=1,VLOOKUP(A101,Q:R,2), IF(COUNTIF($W$2:W1086,A101)=0,$C$9,""))</f>
        <v/>
      </c>
      <c r="F101" s="2" t="str">
        <f t="shared" ca="1" si="16"/>
        <v/>
      </c>
      <c r="G101" s="43" t="str">
        <f t="shared" ca="1" si="17"/>
        <v/>
      </c>
      <c r="H101" s="40" t="str">
        <f ca="1">IF(COUNTIF($W$2:W1086,A101)=1,VLOOKUP(A101,S:T,2), IF(COUNTIF($W$2:W1086,A101)=0,$D$9,""))</f>
        <v/>
      </c>
      <c r="I101" s="41" t="str">
        <f ca="1">IF(COUNTIF($X$2:X1086,INT(A101))=1,VLOOKUP(INT(A101),X:Y,2), IF(ISERROR(H101-2),"",I100*(1-$D$8*(H101-H100)*0.0001)))</f>
        <v/>
      </c>
      <c r="J101" s="41" t="str">
        <f t="shared" ca="1" si="18"/>
        <v/>
      </c>
      <c r="K101" s="43" t="str">
        <f t="shared" ca="1" si="19"/>
        <v/>
      </c>
      <c r="L101" s="43" t="str">
        <f ca="1">IF($A101="","",IF(COUNTIFS(Dividends!$G:$G,"&gt;"&amp;INT($A100),Dividends!$G:$G,"&lt;="&amp;INT($A101))=0,"",$H$2*SUMIFS(Dividends!$H:$H,Dividends!$G:$G,"&gt;"&amp;INT($A100),Dividends!$G:$G,"&lt;="&amp;INT($A101))))</f>
        <v/>
      </c>
      <c r="M101" s="44" t="str">
        <f ca="1">IF(ISERROR(B101-2),"",C101+D101-F101-G101-K101+SUM($L$14:L101))</f>
        <v/>
      </c>
      <c r="O101" s="3">
        <v>46195.625</v>
      </c>
      <c r="P101" s="4">
        <v>91.17</v>
      </c>
      <c r="Q101" s="3">
        <v>46189.625</v>
      </c>
      <c r="R101" s="4">
        <v>99.625</v>
      </c>
      <c r="S101" s="3">
        <v>46190.625</v>
      </c>
      <c r="T101" s="4">
        <v>252.459</v>
      </c>
      <c r="U101" s="3">
        <f t="shared" si="10"/>
        <v>46195.625</v>
      </c>
      <c r="V101" s="3">
        <f t="shared" si="11"/>
        <v>46195.625</v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6">
        <v>45919</v>
      </c>
      <c r="AC101" s="4">
        <v>248.416</v>
      </c>
      <c r="AD101" s="6">
        <f t="shared" si="12"/>
        <v>45919</v>
      </c>
    </row>
    <row r="102" spans="1:30" x14ac:dyDescent="0.25">
      <c r="A102" s="39" t="str">
        <f t="shared" ca="1" si="13"/>
        <v/>
      </c>
      <c r="B102" s="40" t="str">
        <f ca="1">IF(COUNTIF($W$2:W1087,A102)=1,VLOOKUP(A102,O:P,2), IF(COUNTIF($W$2:W1087,A102)=0,$B$9,""))</f>
        <v/>
      </c>
      <c r="C102" s="2" t="str">
        <f t="shared" ca="1" si="14"/>
        <v/>
      </c>
      <c r="D102" s="43" t="str">
        <f t="shared" ca="1" si="15"/>
        <v/>
      </c>
      <c r="E102" s="40" t="str">
        <f ca="1">IF(COUNTIF($W$2:W1087,A102)=1,VLOOKUP(A102,Q:R,2), IF(COUNTIF($W$2:W1087,A102)=0,$C$9,""))</f>
        <v/>
      </c>
      <c r="F102" s="2" t="str">
        <f t="shared" ca="1" si="16"/>
        <v/>
      </c>
      <c r="G102" s="43" t="str">
        <f t="shared" ca="1" si="17"/>
        <v/>
      </c>
      <c r="H102" s="40" t="str">
        <f ca="1">IF(COUNTIF($W$2:W1087,A102)=1,VLOOKUP(A102,S:T,2), IF(COUNTIF($W$2:W1087,A102)=0,$D$9,""))</f>
        <v/>
      </c>
      <c r="I102" s="41" t="str">
        <f ca="1">IF(COUNTIF($X$2:X1087,INT(A102))=1,VLOOKUP(INT(A102),X:Y,2), IF(ISERROR(H102-2),"",I101*(1-$D$8*(H102-H101)*0.0001)))</f>
        <v/>
      </c>
      <c r="J102" s="41" t="str">
        <f t="shared" ca="1" si="18"/>
        <v/>
      </c>
      <c r="K102" s="43" t="str">
        <f t="shared" ca="1" si="19"/>
        <v/>
      </c>
      <c r="L102" s="43" t="str">
        <f ca="1">IF($A102="","",IF(COUNTIFS(Dividends!$G:$G,"&gt;"&amp;INT($A101),Dividends!$G:$G,"&lt;="&amp;INT($A102))=0,"",$H$2*SUMIFS(Dividends!$H:$H,Dividends!$G:$G,"&gt;"&amp;INT($A101),Dividends!$G:$G,"&lt;="&amp;INT($A102))))</f>
        <v/>
      </c>
      <c r="M102" s="44" t="str">
        <f ca="1">IF(ISERROR(B102-2),"",C102+D102-F102-G102-K102+SUM($L$14:L102))</f>
        <v/>
      </c>
      <c r="O102" s="3">
        <v>46196.625</v>
      </c>
      <c r="P102" s="4">
        <v>91.08</v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>
        <f t="shared" si="10"/>
        <v>46196.625</v>
      </c>
      <c r="V102" s="3">
        <f t="shared" si="11"/>
        <v>46196.625</v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6">
        <v>45922</v>
      </c>
      <c r="AC102" s="4">
        <v>268.25200000000001</v>
      </c>
      <c r="AD102" s="6">
        <f t="shared" si="12"/>
        <v>45922</v>
      </c>
    </row>
    <row r="103" spans="1:30" x14ac:dyDescent="0.25">
      <c r="A103" s="39" t="str">
        <f t="shared" ca="1" si="13"/>
        <v/>
      </c>
      <c r="B103" s="40" t="str">
        <f ca="1">IF(COUNTIF($W$2:W1088,A103)=1,VLOOKUP(A103,O:P,2), IF(COUNTIF($W$2:W1088,A103)=0,$B$9,""))</f>
        <v/>
      </c>
      <c r="C103" s="2" t="str">
        <f t="shared" ca="1" si="14"/>
        <v/>
      </c>
      <c r="D103" s="43" t="str">
        <f t="shared" ca="1" si="15"/>
        <v/>
      </c>
      <c r="E103" s="40" t="str">
        <f ca="1">IF(COUNTIF($W$2:W1088,A103)=1,VLOOKUP(A103,Q:R,2), IF(COUNTIF($W$2:W1088,A103)=0,$C$9,""))</f>
        <v/>
      </c>
      <c r="F103" s="2" t="str">
        <f t="shared" ca="1" si="16"/>
        <v/>
      </c>
      <c r="G103" s="43" t="str">
        <f t="shared" ca="1" si="17"/>
        <v/>
      </c>
      <c r="H103" s="40" t="str">
        <f ca="1">IF(COUNTIF($W$2:W1088,A103)=1,VLOOKUP(A103,S:T,2), IF(COUNTIF($W$2:W1088,A103)=0,$D$9,""))</f>
        <v/>
      </c>
      <c r="I103" s="41" t="str">
        <f ca="1">IF(COUNTIF($X$2:X1088,INT(A103))=1,VLOOKUP(INT(A103),X:Y,2), IF(ISERROR(H103-2),"",I102*(1-$D$8*(H103-H102)*0.0001)))</f>
        <v/>
      </c>
      <c r="J103" s="41" t="str">
        <f t="shared" ca="1" si="18"/>
        <v/>
      </c>
      <c r="K103" s="43" t="str">
        <f t="shared" ca="1" si="19"/>
        <v/>
      </c>
      <c r="L103" s="43" t="str">
        <f ca="1">IF($A103="","",IF(COUNTIFS(Dividends!$G:$G,"&gt;"&amp;INT($A102),Dividends!$G:$G,"&lt;="&amp;INT($A103))=0,"",$H$2*SUMIFS(Dividends!$H:$H,Dividends!$G:$G,"&gt;"&amp;INT($A102),Dividends!$G:$G,"&lt;="&amp;INT($A103))))</f>
        <v/>
      </c>
      <c r="M103" s="44" t="str">
        <f ca="1">IF(ISERROR(B103-2),"",C103+D103-F103-G103-K103+SUM($L$14:L103))</f>
        <v/>
      </c>
      <c r="O103" s="3">
        <v>46197.625</v>
      </c>
      <c r="P103" s="4">
        <v>91.03</v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>
        <f t="shared" si="10"/>
        <v>46197.625</v>
      </c>
      <c r="V103" s="3">
        <f t="shared" si="11"/>
        <v>46197.625</v>
      </c>
      <c r="X103" s="3">
        <v>46189</v>
      </c>
      <c r="Y103" s="5">
        <v>270.3356</v>
      </c>
      <c r="Z103" s="3">
        <v>45923</v>
      </c>
      <c r="AA103" s="4">
        <v>244.0994</v>
      </c>
      <c r="AB103" s="6">
        <v>45923</v>
      </c>
      <c r="AC103" s="4">
        <v>264.339</v>
      </c>
      <c r="AD103" s="6">
        <f t="shared" si="12"/>
        <v>45923</v>
      </c>
    </row>
    <row r="104" spans="1:30" x14ac:dyDescent="0.25">
      <c r="A104" s="39" t="str">
        <f t="shared" ca="1" si="13"/>
        <v/>
      </c>
      <c r="B104" s="40" t="str">
        <f ca="1">IF(COUNTIF($W$2:W1089,A104)=1,VLOOKUP(A104,O:P,2), IF(COUNTIF($W$2:W1089,A104)=0,$B$9,""))</f>
        <v/>
      </c>
      <c r="C104" s="2" t="str">
        <f t="shared" ca="1" si="14"/>
        <v/>
      </c>
      <c r="D104" s="43" t="str">
        <f t="shared" ca="1" si="15"/>
        <v/>
      </c>
      <c r="E104" s="40" t="str">
        <f ca="1">IF(COUNTIF($W$2:W1089,A104)=1,VLOOKUP(A104,Q:R,2), IF(COUNTIF($W$2:W1089,A104)=0,$C$9,""))</f>
        <v/>
      </c>
      <c r="F104" s="2" t="str">
        <f t="shared" ca="1" si="16"/>
        <v/>
      </c>
      <c r="G104" s="43" t="str">
        <f t="shared" ca="1" si="17"/>
        <v/>
      </c>
      <c r="H104" s="40" t="str">
        <f ca="1">IF(COUNTIF($W$2:W1089,A104)=1,VLOOKUP(A104,S:T,2), IF(COUNTIF($W$2:W1089,A104)=0,$D$9,""))</f>
        <v/>
      </c>
      <c r="I104" s="41" t="str">
        <f ca="1">IF(COUNTIF($X$2:X1089,INT(A104))=1,VLOOKUP(INT(A104),X:Y,2), IF(ISERROR(H104-2),"",I103*(1-$D$8*(H104-H103)*0.0001)))</f>
        <v/>
      </c>
      <c r="J104" s="41" t="str">
        <f t="shared" ca="1" si="18"/>
        <v/>
      </c>
      <c r="K104" s="43" t="str">
        <f t="shared" ca="1" si="19"/>
        <v/>
      </c>
      <c r="L104" s="43" t="str">
        <f ca="1">IF($A104="","",IF(COUNTIFS(Dividends!$G:$G,"&gt;"&amp;INT($A103),Dividends!$G:$G,"&lt;="&amp;INT($A104))=0,"",$H$2*SUMIFS(Dividends!$H:$H,Dividends!$G:$G,"&gt;"&amp;INT($A103),Dividends!$G:$G,"&lt;="&amp;INT($A104))))</f>
        <v/>
      </c>
      <c r="M104" s="44" t="str">
        <f ca="1">IF(ISERROR(B104-2),"",C104+D104-F104-G104-K104+SUM($L$14:L104))</f>
        <v/>
      </c>
      <c r="O104" s="3">
        <v>46198.625</v>
      </c>
      <c r="P104" s="4">
        <v>91.17</v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>
        <f t="shared" si="10"/>
        <v>46198.625</v>
      </c>
      <c r="V104" s="3">
        <f t="shared" si="11"/>
        <v>46198.625</v>
      </c>
      <c r="X104" s="3">
        <v>46190</v>
      </c>
      <c r="Y104" s="5">
        <v>270.1644</v>
      </c>
      <c r="Z104" s="3">
        <v>45924</v>
      </c>
      <c r="AA104" s="4">
        <v>244.1028</v>
      </c>
      <c r="AB104" s="6">
        <v>45924</v>
      </c>
      <c r="AC104" s="4">
        <v>264.625</v>
      </c>
      <c r="AD104" s="6">
        <f t="shared" si="12"/>
        <v>45924</v>
      </c>
    </row>
    <row r="105" spans="1:30" x14ac:dyDescent="0.25">
      <c r="A105" s="39" t="str">
        <f t="shared" ca="1" si="13"/>
        <v/>
      </c>
      <c r="B105" s="40" t="str">
        <f ca="1">IF(COUNTIF($W$2:W1090,A105)=1,VLOOKUP(A105,O:P,2), IF(COUNTIF($W$2:W1090,A105)=0,$B$9,""))</f>
        <v/>
      </c>
      <c r="C105" s="2" t="str">
        <f t="shared" ca="1" si="14"/>
        <v/>
      </c>
      <c r="D105" s="43" t="str">
        <f t="shared" ca="1" si="15"/>
        <v/>
      </c>
      <c r="E105" s="40" t="str">
        <f ca="1">IF(COUNTIF($W$2:W1090,A105)=1,VLOOKUP(A105,Q:R,2), IF(COUNTIF($W$2:W1090,A105)=0,$C$9,""))</f>
        <v/>
      </c>
      <c r="F105" s="2" t="str">
        <f t="shared" ca="1" si="16"/>
        <v/>
      </c>
      <c r="G105" s="43" t="str">
        <f t="shared" ca="1" si="17"/>
        <v/>
      </c>
      <c r="H105" s="40" t="str">
        <f ca="1">IF(COUNTIF($W$2:W1090,A105)=1,VLOOKUP(A105,S:T,2), IF(COUNTIF($W$2:W1090,A105)=0,$D$9,""))</f>
        <v/>
      </c>
      <c r="I105" s="41" t="str">
        <f ca="1">IF(COUNTIF($X$2:X1090,INT(A105))=1,VLOOKUP(INT(A105),X:Y,2), IF(ISERROR(H105-2),"",I104*(1-$D$8*(H105-H104)*0.0001)))</f>
        <v/>
      </c>
      <c r="J105" s="41" t="str">
        <f t="shared" ca="1" si="18"/>
        <v/>
      </c>
      <c r="K105" s="43" t="str">
        <f t="shared" ca="1" si="19"/>
        <v/>
      </c>
      <c r="L105" s="43" t="str">
        <f ca="1">IF($A105="","",IF(COUNTIFS(Dividends!$G:$G,"&gt;"&amp;INT($A104),Dividends!$G:$G,"&lt;="&amp;INT($A105))=0,"",$H$2*SUMIFS(Dividends!$H:$H,Dividends!$G:$G,"&gt;"&amp;INT($A104),Dividends!$G:$G,"&lt;="&amp;INT($A105))))</f>
        <v/>
      </c>
      <c r="M105" s="44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10"/>
        <v/>
      </c>
      <c r="V105" s="3" t="str">
        <f t="shared" si="11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6">
        <v>45925</v>
      </c>
      <c r="AC105" s="4">
        <v>268.18400000000003</v>
      </c>
      <c r="AD105" s="6">
        <f t="shared" si="12"/>
        <v>45925</v>
      </c>
    </row>
    <row r="106" spans="1:30" x14ac:dyDescent="0.25">
      <c r="A106" s="39" t="str">
        <f t="shared" ca="1" si="13"/>
        <v/>
      </c>
      <c r="B106" s="40" t="str">
        <f ca="1">IF(COUNTIF($W$2:W1091,A106)=1,VLOOKUP(A106,O:P,2), IF(COUNTIF($W$2:W1091,A106)=0,$B$9,""))</f>
        <v/>
      </c>
      <c r="C106" s="2" t="str">
        <f t="shared" ca="1" si="14"/>
        <v/>
      </c>
      <c r="D106" s="43" t="str">
        <f t="shared" ca="1" si="15"/>
        <v/>
      </c>
      <c r="E106" s="40" t="str">
        <f ca="1">IF(COUNTIF($W$2:W1091,A106)=1,VLOOKUP(A106,Q:R,2), IF(COUNTIF($W$2:W1091,A106)=0,$C$9,""))</f>
        <v/>
      </c>
      <c r="F106" s="2" t="str">
        <f t="shared" ca="1" si="16"/>
        <v/>
      </c>
      <c r="G106" s="43" t="str">
        <f t="shared" ca="1" si="17"/>
        <v/>
      </c>
      <c r="H106" s="40" t="str">
        <f ca="1">IF(COUNTIF($W$2:W1091,A106)=1,VLOOKUP(A106,S:T,2), IF(COUNTIF($W$2:W1091,A106)=0,$D$9,""))</f>
        <v/>
      </c>
      <c r="I106" s="41" t="str">
        <f ca="1">IF(COUNTIF($X$2:X1091,INT(A106))=1,VLOOKUP(INT(A106),X:Y,2), IF(ISERROR(H106-2),"",I105*(1-$D$8*(H106-H105)*0.0001)))</f>
        <v/>
      </c>
      <c r="J106" s="41" t="str">
        <f t="shared" ca="1" si="18"/>
        <v/>
      </c>
      <c r="K106" s="43" t="str">
        <f t="shared" ca="1" si="19"/>
        <v/>
      </c>
      <c r="L106" s="43" t="str">
        <f ca="1">IF($A106="","",IF(COUNTIFS(Dividends!$G:$G,"&gt;"&amp;INT($A105),Dividends!$G:$G,"&lt;="&amp;INT($A106))=0,"",$H$2*SUMIFS(Dividends!$H:$H,Dividends!$G:$G,"&gt;"&amp;INT($A105),Dividends!$G:$G,"&lt;="&amp;INT($A106))))</f>
        <v/>
      </c>
      <c r="M106" s="44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10"/>
        <v/>
      </c>
      <c r="V106" s="3" t="str">
        <f t="shared" si="11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6">
        <v>45926</v>
      </c>
      <c r="AC106" s="4">
        <v>265.48200000000003</v>
      </c>
      <c r="AD106" s="6">
        <f t="shared" si="12"/>
        <v>45926</v>
      </c>
    </row>
    <row r="107" spans="1:30" x14ac:dyDescent="0.25">
      <c r="A107" s="39" t="str">
        <f t="shared" ca="1" si="13"/>
        <v/>
      </c>
      <c r="B107" s="40" t="str">
        <f ca="1">IF(COUNTIF($W$2:W1092,A107)=1,VLOOKUP(A107,O:P,2), IF(COUNTIF($W$2:W1092,A107)=0,$B$9,""))</f>
        <v/>
      </c>
      <c r="C107" s="2" t="str">
        <f t="shared" ca="1" si="14"/>
        <v/>
      </c>
      <c r="D107" s="43" t="str">
        <f t="shared" ca="1" si="15"/>
        <v/>
      </c>
      <c r="E107" s="40" t="str">
        <f ca="1">IF(COUNTIF($W$2:W1092,A107)=1,VLOOKUP(A107,Q:R,2), IF(COUNTIF($W$2:W1092,A107)=0,$C$9,""))</f>
        <v/>
      </c>
      <c r="F107" s="2" t="str">
        <f t="shared" ca="1" si="16"/>
        <v/>
      </c>
      <c r="G107" s="43" t="str">
        <f t="shared" ca="1" si="17"/>
        <v/>
      </c>
      <c r="H107" s="40" t="str">
        <f ca="1">IF(COUNTIF($W$2:W1092,A107)=1,VLOOKUP(A107,S:T,2), IF(COUNTIF($W$2:W1092,A107)=0,$D$9,""))</f>
        <v/>
      </c>
      <c r="I107" s="41" t="str">
        <f ca="1">IF(COUNTIF($X$2:X1092,INT(A107))=1,VLOOKUP(INT(A107),X:Y,2), IF(ISERROR(H107-2),"",I106*(1-$D$8*(H107-H106)*0.0001)))</f>
        <v/>
      </c>
      <c r="J107" s="41" t="str">
        <f t="shared" ca="1" si="18"/>
        <v/>
      </c>
      <c r="K107" s="43" t="str">
        <f t="shared" ca="1" si="19"/>
        <v/>
      </c>
      <c r="L107" s="43" t="str">
        <f ca="1">IF($A107="","",IF(COUNTIFS(Dividends!$G:$G,"&gt;"&amp;INT($A106),Dividends!$G:$G,"&lt;="&amp;INT($A107))=0,"",$H$2*SUMIFS(Dividends!$H:$H,Dividends!$G:$G,"&gt;"&amp;INT($A106),Dividends!$G:$G,"&lt;="&amp;INT($A107))))</f>
        <v/>
      </c>
      <c r="M107" s="44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10"/>
        <v/>
      </c>
      <c r="V107" s="3" t="str">
        <f t="shared" si="11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6">
        <v>45929</v>
      </c>
      <c r="AC107" s="4">
        <v>262.72199999999998</v>
      </c>
      <c r="AD107" s="6">
        <f t="shared" si="12"/>
        <v>45929</v>
      </c>
    </row>
    <row r="108" spans="1:30" x14ac:dyDescent="0.25">
      <c r="A108" s="39" t="str">
        <f t="shared" ca="1" si="13"/>
        <v/>
      </c>
      <c r="B108" s="40" t="str">
        <f ca="1">IF(COUNTIF($W$2:W1093,A108)=1,VLOOKUP(A108,O:P,2), IF(COUNTIF($W$2:W1093,A108)=0,$B$9,""))</f>
        <v/>
      </c>
      <c r="C108" s="2" t="str">
        <f t="shared" ca="1" si="14"/>
        <v/>
      </c>
      <c r="D108" s="43" t="str">
        <f t="shared" ca="1" si="15"/>
        <v/>
      </c>
      <c r="E108" s="40" t="str">
        <f ca="1">IF(COUNTIF($W$2:W1093,A108)=1,VLOOKUP(A108,Q:R,2), IF(COUNTIF($W$2:W1093,A108)=0,$C$9,""))</f>
        <v/>
      </c>
      <c r="F108" s="2" t="str">
        <f t="shared" ca="1" si="16"/>
        <v/>
      </c>
      <c r="G108" s="43" t="str">
        <f t="shared" ca="1" si="17"/>
        <v/>
      </c>
      <c r="H108" s="40" t="str">
        <f ca="1">IF(COUNTIF($W$2:W1093,A108)=1,VLOOKUP(A108,S:T,2), IF(COUNTIF($W$2:W1093,A108)=0,$D$9,""))</f>
        <v/>
      </c>
      <c r="I108" s="41" t="str">
        <f ca="1">IF(COUNTIF($X$2:X1093,INT(A108))=1,VLOOKUP(INT(A108),X:Y,2), IF(ISERROR(H108-2),"",I107*(1-$D$8*(H108-H107)*0.0001)))</f>
        <v/>
      </c>
      <c r="J108" s="41" t="str">
        <f t="shared" ca="1" si="18"/>
        <v/>
      </c>
      <c r="K108" s="43" t="str">
        <f t="shared" ca="1" si="19"/>
        <v/>
      </c>
      <c r="L108" s="43" t="str">
        <f ca="1">IF($A108="","",IF(COUNTIFS(Dividends!$G:$G,"&gt;"&amp;INT($A107),Dividends!$G:$G,"&lt;="&amp;INT($A108))=0,"",$H$2*SUMIFS(Dividends!$H:$H,Dividends!$G:$G,"&gt;"&amp;INT($A107),Dividends!$G:$G,"&lt;="&amp;INT($A108))))</f>
        <v/>
      </c>
      <c r="M108" s="44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10"/>
        <v/>
      </c>
      <c r="V108" s="3" t="str">
        <f t="shared" si="11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6">
        <v>45930</v>
      </c>
      <c r="AC108" s="4">
        <v>262.26600000000002</v>
      </c>
      <c r="AD108" s="6">
        <f t="shared" si="12"/>
        <v>45930</v>
      </c>
    </row>
    <row r="109" spans="1:30" x14ac:dyDescent="0.25">
      <c r="A109" s="39" t="str">
        <f t="shared" ca="1" si="13"/>
        <v/>
      </c>
      <c r="B109" s="40" t="str">
        <f ca="1">IF(COUNTIF($W$2:W1094,A109)=1,VLOOKUP(A109,O:P,2), IF(COUNTIF($W$2:W1094,A109)=0,$B$9,""))</f>
        <v/>
      </c>
      <c r="C109" s="2" t="str">
        <f t="shared" ca="1" si="14"/>
        <v/>
      </c>
      <c r="D109" s="43" t="str">
        <f t="shared" ca="1" si="15"/>
        <v/>
      </c>
      <c r="E109" s="40" t="str">
        <f ca="1">IF(COUNTIF($W$2:W1094,A109)=1,VLOOKUP(A109,Q:R,2), IF(COUNTIF($W$2:W1094,A109)=0,$C$9,""))</f>
        <v/>
      </c>
      <c r="F109" s="2" t="str">
        <f t="shared" ca="1" si="16"/>
        <v/>
      </c>
      <c r="G109" s="43" t="str">
        <f t="shared" ca="1" si="17"/>
        <v/>
      </c>
      <c r="H109" s="40" t="str">
        <f ca="1">IF(COUNTIF($W$2:W1094,A109)=1,VLOOKUP(A109,S:T,2), IF(COUNTIF($W$2:W1094,A109)=0,$D$9,""))</f>
        <v/>
      </c>
      <c r="I109" s="41" t="str">
        <f ca="1">IF(COUNTIF($X$2:X1094,INT(A109))=1,VLOOKUP(INT(A109),X:Y,2), IF(ISERROR(H109-2),"",I108*(1-$D$8*(H109-H108)*0.0001)))</f>
        <v/>
      </c>
      <c r="J109" s="41" t="str">
        <f t="shared" ca="1" si="18"/>
        <v/>
      </c>
      <c r="K109" s="43" t="str">
        <f t="shared" ca="1" si="19"/>
        <v/>
      </c>
      <c r="L109" s="43" t="str">
        <f ca="1">IF($A109="","",IF(COUNTIFS(Dividends!$G:$G,"&gt;"&amp;INT($A108),Dividends!$G:$G,"&lt;="&amp;INT($A109))=0,"",$H$2*SUMIFS(Dividends!$H:$H,Dividends!$G:$G,"&gt;"&amp;INT($A108),Dividends!$G:$G,"&lt;="&amp;INT($A109))))</f>
        <v/>
      </c>
      <c r="M109" s="44" t="str">
        <f ca="1">IF(ISERROR(B109-2),"",C109+D109-F109-G109-K109+SUM($L$14:L109))</f>
        <v/>
      </c>
      <c r="U109" s="3" t="str">
        <f t="shared" si="10"/>
        <v/>
      </c>
      <c r="V109" s="3" t="str">
        <f t="shared" si="11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6">
        <v>45931</v>
      </c>
      <c r="AC109" s="4">
        <v>260.63</v>
      </c>
      <c r="AD109" s="6">
        <f t="shared" si="12"/>
        <v>45931</v>
      </c>
    </row>
    <row r="110" spans="1:30" x14ac:dyDescent="0.25">
      <c r="A110" s="39" t="str">
        <f t="shared" ca="1" si="13"/>
        <v/>
      </c>
      <c r="B110" s="40" t="str">
        <f ca="1">IF(COUNTIF($W$2:W1095,A110)=1,VLOOKUP(A110,O:P,2), IF(COUNTIF($W$2:W1095,A110)=0,$B$9,""))</f>
        <v/>
      </c>
      <c r="C110" s="2" t="str">
        <f t="shared" ca="1" si="14"/>
        <v/>
      </c>
      <c r="D110" s="43" t="str">
        <f t="shared" ca="1" si="15"/>
        <v/>
      </c>
      <c r="E110" s="40" t="str">
        <f ca="1">IF(COUNTIF($W$2:W1095,A110)=1,VLOOKUP(A110,Q:R,2), IF(COUNTIF($W$2:W1095,A110)=0,$C$9,""))</f>
        <v/>
      </c>
      <c r="F110" s="2" t="str">
        <f t="shared" ca="1" si="16"/>
        <v/>
      </c>
      <c r="G110" s="43" t="str">
        <f t="shared" ca="1" si="17"/>
        <v/>
      </c>
      <c r="H110" s="40" t="str">
        <f ca="1">IF(COUNTIF($W$2:W1095,A110)=1,VLOOKUP(A110,S:T,2), IF(COUNTIF($W$2:W1095,A110)=0,$D$9,""))</f>
        <v/>
      </c>
      <c r="I110" s="41" t="str">
        <f ca="1">IF(COUNTIF($X$2:X1095,INT(A110))=1,VLOOKUP(INT(A110),X:Y,2), IF(ISERROR(H110-2),"",I109*(1-$D$8*(H110-H109)*0.0001)))</f>
        <v/>
      </c>
      <c r="J110" s="41" t="str">
        <f t="shared" ca="1" si="18"/>
        <v/>
      </c>
      <c r="K110" s="43" t="str">
        <f t="shared" ca="1" si="19"/>
        <v/>
      </c>
      <c r="L110" s="43" t="str">
        <f ca="1">IF($A110="","",IF(COUNTIFS(Dividends!$G:$G,"&gt;"&amp;INT($A109),Dividends!$G:$G,"&lt;="&amp;INT($A110))=0,"",$H$2*SUMIFS(Dividends!$H:$H,Dividends!$G:$G,"&gt;"&amp;INT($A109),Dividends!$G:$G,"&lt;="&amp;INT($A110))))</f>
        <v/>
      </c>
      <c r="M110" s="44" t="str">
        <f ca="1">IF(ISERROR(B110-2),"",C110+D110-F110-G110-K110+SUM($L$14:L110))</f>
        <v/>
      </c>
      <c r="U110" s="3" t="str">
        <f t="shared" si="10"/>
        <v/>
      </c>
      <c r="V110" s="3" t="str">
        <f t="shared" si="11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6">
        <v>45932</v>
      </c>
      <c r="AC110" s="4">
        <v>257.88900000000001</v>
      </c>
      <c r="AD110" s="6">
        <f t="shared" si="12"/>
        <v>45932</v>
      </c>
    </row>
    <row r="111" spans="1:30" x14ac:dyDescent="0.25">
      <c r="A111" s="39" t="str">
        <f t="shared" ca="1" si="13"/>
        <v/>
      </c>
      <c r="B111" s="40" t="str">
        <f ca="1">IF(COUNTIF($W$2:W1096,A111)=1,VLOOKUP(A111,O:P,2), IF(COUNTIF($W$2:W1096,A111)=0,$B$9,""))</f>
        <v/>
      </c>
      <c r="C111" s="2" t="str">
        <f t="shared" ca="1" si="14"/>
        <v/>
      </c>
      <c r="D111" s="43" t="str">
        <f t="shared" ca="1" si="15"/>
        <v/>
      </c>
      <c r="E111" s="40" t="str">
        <f ca="1">IF(COUNTIF($W$2:W1096,A111)=1,VLOOKUP(A111,Q:R,2), IF(COUNTIF($W$2:W1096,A111)=0,$C$9,""))</f>
        <v/>
      </c>
      <c r="F111" s="2" t="str">
        <f t="shared" ca="1" si="16"/>
        <v/>
      </c>
      <c r="G111" s="43" t="str">
        <f t="shared" ca="1" si="17"/>
        <v/>
      </c>
      <c r="H111" s="40" t="str">
        <f ca="1">IF(COUNTIF($W$2:W1096,A111)=1,VLOOKUP(A111,S:T,2), IF(COUNTIF($W$2:W1096,A111)=0,$D$9,""))</f>
        <v/>
      </c>
      <c r="I111" s="41" t="str">
        <f ca="1">IF(COUNTIF($X$2:X1096,INT(A111))=1,VLOOKUP(INT(A111),X:Y,2), IF(ISERROR(H111-2),"",I110*(1-$D$8*(H111-H110)*0.0001)))</f>
        <v/>
      </c>
      <c r="J111" s="41" t="str">
        <f t="shared" ca="1" si="18"/>
        <v/>
      </c>
      <c r="K111" s="43" t="str">
        <f t="shared" ca="1" si="19"/>
        <v/>
      </c>
      <c r="L111" s="43" t="str">
        <f ca="1">IF($A111="","",IF(COUNTIFS(Dividends!$G:$G,"&gt;"&amp;INT($A110),Dividends!$G:$G,"&lt;="&amp;INT($A111))=0,"",$H$2*SUMIFS(Dividends!$H:$H,Dividends!$G:$G,"&gt;"&amp;INT($A110),Dividends!$G:$G,"&lt;="&amp;INT($A111))))</f>
        <v/>
      </c>
      <c r="M111" s="44" t="str">
        <f ca="1">IF(ISERROR(B111-2),"",C111+D111-F111-G111-K111+SUM($L$14:L111))</f>
        <v/>
      </c>
      <c r="U111" s="3" t="str">
        <f t="shared" si="10"/>
        <v/>
      </c>
      <c r="V111" s="3" t="str">
        <f t="shared" si="11"/>
        <v/>
      </c>
      <c r="Z111" s="3">
        <v>45933</v>
      </c>
      <c r="AA111" s="4">
        <v>244.96510000000001</v>
      </c>
      <c r="AB111" s="6">
        <v>45933</v>
      </c>
      <c r="AC111" s="4">
        <v>258.346</v>
      </c>
      <c r="AD111" s="6">
        <f t="shared" si="12"/>
        <v>45933</v>
      </c>
    </row>
    <row r="112" spans="1:30" x14ac:dyDescent="0.25">
      <c r="A112" s="39" t="str">
        <f t="shared" ca="1" si="13"/>
        <v/>
      </c>
      <c r="B112" s="40" t="str">
        <f ca="1">IF(COUNTIF($W$2:W1097,A112)=1,VLOOKUP(A112,O:P,2), IF(COUNTIF($W$2:W1097,A112)=0,$B$9,""))</f>
        <v/>
      </c>
      <c r="C112" s="2" t="str">
        <f t="shared" ca="1" si="14"/>
        <v/>
      </c>
      <c r="D112" s="43" t="str">
        <f t="shared" ca="1" si="15"/>
        <v/>
      </c>
      <c r="E112" s="40" t="str">
        <f ca="1">IF(COUNTIF($W$2:W1097,A112)=1,VLOOKUP(A112,Q:R,2), IF(COUNTIF($W$2:W1097,A112)=0,$C$9,""))</f>
        <v/>
      </c>
      <c r="F112" s="2" t="str">
        <f t="shared" ca="1" si="16"/>
        <v/>
      </c>
      <c r="G112" s="43" t="str">
        <f t="shared" ca="1" si="17"/>
        <v/>
      </c>
      <c r="H112" s="40" t="str">
        <f ca="1">IF(COUNTIF($W$2:W1097,A112)=1,VLOOKUP(A112,S:T,2), IF(COUNTIF($W$2:W1097,A112)=0,$D$9,""))</f>
        <v/>
      </c>
      <c r="I112" s="41" t="str">
        <f ca="1">IF(COUNTIF($X$2:X1097,INT(A112))=1,VLOOKUP(INT(A112),X:Y,2), IF(ISERROR(H112-2),"",I111*(1-$D$8*(H112-H111)*0.0001)))</f>
        <v/>
      </c>
      <c r="J112" s="41" t="str">
        <f t="shared" ca="1" si="18"/>
        <v/>
      </c>
      <c r="K112" s="43" t="str">
        <f t="shared" ca="1" si="19"/>
        <v/>
      </c>
      <c r="L112" s="43" t="str">
        <f ca="1">IF($A112="","",IF(COUNTIFS(Dividends!$G:$G,"&gt;"&amp;INT($A111),Dividends!$G:$G,"&lt;="&amp;INT($A112))=0,"",$H$2*SUMIFS(Dividends!$H:$H,Dividends!$G:$G,"&gt;"&amp;INT($A111),Dividends!$G:$G,"&lt;="&amp;INT($A112))))</f>
        <v/>
      </c>
      <c r="M112" s="44" t="str">
        <f ca="1">IF(ISERROR(B112-2),"",C112+D112-F112-G112-K112+SUM($L$14:L112))</f>
        <v/>
      </c>
      <c r="U112" s="3" t="str">
        <f t="shared" si="10"/>
        <v/>
      </c>
      <c r="V112" s="3" t="str">
        <f t="shared" si="11"/>
        <v/>
      </c>
      <c r="Z112" s="3">
        <v>45936</v>
      </c>
      <c r="AA112" s="4">
        <v>244.72149999999999</v>
      </c>
      <c r="AB112" s="6">
        <v>45936</v>
      </c>
      <c r="AC112" s="4">
        <v>261.209</v>
      </c>
      <c r="AD112" s="6">
        <f t="shared" si="12"/>
        <v>45936</v>
      </c>
    </row>
    <row r="113" spans="1:30" x14ac:dyDescent="0.25">
      <c r="A113" s="39" t="str">
        <f t="shared" ca="1" si="13"/>
        <v/>
      </c>
      <c r="B113" s="40" t="str">
        <f ca="1">IF(COUNTIF($W$2:W1098,A113)=1,VLOOKUP(A113,O:P,2), IF(COUNTIF($W$2:W1098,A113)=0,$B$9,""))</f>
        <v/>
      </c>
      <c r="C113" s="2" t="str">
        <f t="shared" ca="1" si="14"/>
        <v/>
      </c>
      <c r="D113" s="43" t="str">
        <f t="shared" ca="1" si="15"/>
        <v/>
      </c>
      <c r="E113" s="40" t="str">
        <f ca="1">IF(COUNTIF($W$2:W1098,A113)=1,VLOOKUP(A113,Q:R,2), IF(COUNTIF($W$2:W1098,A113)=0,$C$9,""))</f>
        <v/>
      </c>
      <c r="F113" s="2" t="str">
        <f t="shared" ca="1" si="16"/>
        <v/>
      </c>
      <c r="G113" s="43" t="str">
        <f t="shared" ca="1" si="17"/>
        <v/>
      </c>
      <c r="H113" s="40" t="str">
        <f ca="1">IF(COUNTIF($W$2:W1098,A113)=1,VLOOKUP(A113,S:T,2), IF(COUNTIF($W$2:W1098,A113)=0,$D$9,""))</f>
        <v/>
      </c>
      <c r="I113" s="41" t="str">
        <f ca="1">IF(COUNTIF($X$2:X1098,INT(A113))=1,VLOOKUP(INT(A113),X:Y,2), IF(ISERROR(H113-2),"",I112*(1-$D$8*(H113-H112)*0.0001)))</f>
        <v/>
      </c>
      <c r="J113" s="41" t="str">
        <f t="shared" ca="1" si="18"/>
        <v/>
      </c>
      <c r="K113" s="43" t="str">
        <f t="shared" ca="1" si="19"/>
        <v/>
      </c>
      <c r="L113" s="43" t="str">
        <f ca="1">IF($A113="","",IF(COUNTIFS(Dividends!$G:$G,"&gt;"&amp;INT($A112),Dividends!$G:$G,"&lt;="&amp;INT($A113))=0,"",$H$2*SUMIFS(Dividends!$H:$H,Dividends!$G:$G,"&gt;"&amp;INT($A112),Dividends!$G:$G,"&lt;="&amp;INT($A113))))</f>
        <v/>
      </c>
      <c r="M113" s="44" t="str">
        <f ca="1">IF(ISERROR(B113-2),"",C113+D113-F113-G113-K113+SUM($L$14:L113))</f>
        <v/>
      </c>
      <c r="U113" s="3" t="str">
        <f t="shared" si="10"/>
        <v/>
      </c>
      <c r="V113" s="3" t="str">
        <f t="shared" si="11"/>
        <v/>
      </c>
      <c r="Z113" s="3">
        <v>45937</v>
      </c>
      <c r="AA113" s="4">
        <v>244.3331</v>
      </c>
      <c r="AB113" s="6">
        <v>45937</v>
      </c>
      <c r="AC113" s="4">
        <v>265.35199999999998</v>
      </c>
      <c r="AD113" s="6">
        <f t="shared" si="12"/>
        <v>45937</v>
      </c>
    </row>
    <row r="114" spans="1:30" x14ac:dyDescent="0.25">
      <c r="A114" s="39" t="str">
        <f t="shared" ca="1" si="13"/>
        <v/>
      </c>
      <c r="B114" s="40" t="str">
        <f ca="1">IF(COUNTIF($W$2:W1099,A114)=1,VLOOKUP(A114,O:P,2), IF(COUNTIF($W$2:W1099,A114)=0,$B$9,""))</f>
        <v/>
      </c>
      <c r="C114" s="2" t="str">
        <f t="shared" ca="1" si="14"/>
        <v/>
      </c>
      <c r="D114" s="43" t="str">
        <f t="shared" ca="1" si="15"/>
        <v/>
      </c>
      <c r="E114" s="40" t="str">
        <f ca="1">IF(COUNTIF($W$2:W1099,A114)=1,VLOOKUP(A114,Q:R,2), IF(COUNTIF($W$2:W1099,A114)=0,$C$9,""))</f>
        <v/>
      </c>
      <c r="F114" s="2" t="str">
        <f t="shared" ca="1" si="16"/>
        <v/>
      </c>
      <c r="G114" s="43" t="str">
        <f t="shared" ca="1" si="17"/>
        <v/>
      </c>
      <c r="H114" s="40" t="str">
        <f ca="1">IF(COUNTIF($W$2:W1099,A114)=1,VLOOKUP(A114,S:T,2), IF(COUNTIF($W$2:W1099,A114)=0,$D$9,""))</f>
        <v/>
      </c>
      <c r="I114" s="41" t="str">
        <f ca="1">IF(COUNTIF($X$2:X1099,INT(A114))=1,VLOOKUP(INT(A114),X:Y,2), IF(ISERROR(H114-2),"",I113*(1-$D$8*(H114-H113)*0.0001)))</f>
        <v/>
      </c>
      <c r="J114" s="41" t="str">
        <f t="shared" ca="1" si="18"/>
        <v/>
      </c>
      <c r="K114" s="43" t="str">
        <f t="shared" ca="1" si="19"/>
        <v/>
      </c>
      <c r="L114" s="43" t="str">
        <f ca="1">IF($A114="","",IF(COUNTIFS(Dividends!$G:$G,"&gt;"&amp;INT($A113),Dividends!$G:$G,"&lt;="&amp;INT($A114))=0,"",$H$2*SUMIFS(Dividends!$H:$H,Dividends!$G:$G,"&gt;"&amp;INT($A113),Dividends!$G:$G,"&lt;="&amp;INT($A114))))</f>
        <v/>
      </c>
      <c r="M114" s="44" t="str">
        <f ca="1">IF(ISERROR(B114-2),"",C114+D114-F114-G114-K114+SUM($L$14:L114))</f>
        <v/>
      </c>
      <c r="U114" s="3" t="str">
        <f t="shared" si="10"/>
        <v/>
      </c>
      <c r="V114" s="3" t="str">
        <f t="shared" si="11"/>
        <v/>
      </c>
      <c r="Z114" s="3">
        <v>45938</v>
      </c>
      <c r="AA114" s="4">
        <v>244.23560000000001</v>
      </c>
      <c r="AB114" s="6">
        <v>45938</v>
      </c>
      <c r="AC114" s="4">
        <v>265.35300000000001</v>
      </c>
      <c r="AD114" s="6">
        <f t="shared" si="12"/>
        <v>45938</v>
      </c>
    </row>
    <row r="115" spans="1:30" x14ac:dyDescent="0.25">
      <c r="A115" s="39" t="str">
        <f t="shared" ca="1" si="13"/>
        <v/>
      </c>
      <c r="B115" s="40" t="str">
        <f ca="1">IF(COUNTIF($W$2:W1100,A115)=1,VLOOKUP(A115,O:P,2), IF(COUNTIF($W$2:W1100,A115)=0,$B$9,""))</f>
        <v/>
      </c>
      <c r="C115" s="2" t="str">
        <f t="shared" ca="1" si="14"/>
        <v/>
      </c>
      <c r="D115" s="43" t="str">
        <f t="shared" ca="1" si="15"/>
        <v/>
      </c>
      <c r="E115" s="40" t="str">
        <f ca="1">IF(COUNTIF($W$2:W1100,A115)=1,VLOOKUP(A115,Q:R,2), IF(COUNTIF($W$2:W1100,A115)=0,$C$9,""))</f>
        <v/>
      </c>
      <c r="F115" s="2" t="str">
        <f t="shared" ca="1" si="16"/>
        <v/>
      </c>
      <c r="G115" s="43" t="str">
        <f t="shared" ca="1" si="17"/>
        <v/>
      </c>
      <c r="H115" s="40" t="str">
        <f ca="1">IF(COUNTIF($W$2:W1100,A115)=1,VLOOKUP(A115,S:T,2), IF(COUNTIF($W$2:W1100,A115)=0,$D$9,""))</f>
        <v/>
      </c>
      <c r="I115" s="41" t="str">
        <f ca="1">IF(COUNTIF($X$2:X1100,INT(A115))=1,VLOOKUP(INT(A115),X:Y,2), IF(ISERROR(H115-2),"",I114*(1-$D$8*(H115-H114)*0.0001)))</f>
        <v/>
      </c>
      <c r="J115" s="41" t="str">
        <f t="shared" ca="1" si="18"/>
        <v/>
      </c>
      <c r="K115" s="43" t="str">
        <f t="shared" ca="1" si="19"/>
        <v/>
      </c>
      <c r="L115" s="43" t="str">
        <f ca="1">IF($A115="","",IF(COUNTIFS(Dividends!$G:$G,"&gt;"&amp;INT($A114),Dividends!$G:$G,"&lt;="&amp;INT($A115))=0,"",$H$2*SUMIFS(Dividends!$H:$H,Dividends!$G:$G,"&gt;"&amp;INT($A114),Dividends!$G:$G,"&lt;="&amp;INT($A115))))</f>
        <v/>
      </c>
      <c r="M115" s="44" t="str">
        <f ca="1">IF(ISERROR(B115-2),"",C115+D115-F115-G115-K115+SUM($L$14:L115))</f>
        <v/>
      </c>
      <c r="U115" s="3" t="str">
        <f t="shared" si="10"/>
        <v/>
      </c>
      <c r="V115" s="3" t="str">
        <f t="shared" si="11"/>
        <v/>
      </c>
      <c r="Z115" s="3">
        <v>45939</v>
      </c>
      <c r="AA115" s="4">
        <v>243.46870000000001</v>
      </c>
      <c r="AB115" s="6">
        <v>45939</v>
      </c>
      <c r="AC115" s="4">
        <v>271.95800000000003</v>
      </c>
      <c r="AD115" s="6">
        <f t="shared" si="12"/>
        <v>45939</v>
      </c>
    </row>
    <row r="116" spans="1:30" x14ac:dyDescent="0.25">
      <c r="A116" s="39" t="str">
        <f t="shared" ca="1" si="13"/>
        <v/>
      </c>
      <c r="B116" s="40" t="str">
        <f ca="1">IF(COUNTIF($W$2:W1101,A116)=1,VLOOKUP(A116,O:P,2), IF(COUNTIF($W$2:W1101,A116)=0,$B$9,""))</f>
        <v/>
      </c>
      <c r="C116" s="2" t="str">
        <f t="shared" ca="1" si="14"/>
        <v/>
      </c>
      <c r="D116" s="43" t="str">
        <f t="shared" ca="1" si="15"/>
        <v/>
      </c>
      <c r="E116" s="40" t="str">
        <f ca="1">IF(COUNTIF($W$2:W1101,A116)=1,VLOOKUP(A116,Q:R,2), IF(COUNTIF($W$2:W1101,A116)=0,$C$9,""))</f>
        <v/>
      </c>
      <c r="F116" s="2" t="str">
        <f t="shared" ca="1" si="16"/>
        <v/>
      </c>
      <c r="G116" s="43" t="str">
        <f t="shared" ca="1" si="17"/>
        <v/>
      </c>
      <c r="H116" s="40" t="str">
        <f ca="1">IF(COUNTIF($W$2:W1101,A116)=1,VLOOKUP(A116,S:T,2), IF(COUNTIF($W$2:W1101,A116)=0,$D$9,""))</f>
        <v/>
      </c>
      <c r="I116" s="41" t="str">
        <f ca="1">IF(COUNTIF($X$2:X1101,INT(A116))=1,VLOOKUP(INT(A116),X:Y,2), IF(ISERROR(H116-2),"",I115*(1-$D$8*(H116-H115)*0.0001)))</f>
        <v/>
      </c>
      <c r="J116" s="41" t="str">
        <f t="shared" ca="1" si="18"/>
        <v/>
      </c>
      <c r="K116" s="43" t="str">
        <f t="shared" ca="1" si="19"/>
        <v/>
      </c>
      <c r="L116" s="43" t="str">
        <f ca="1">IF($A116="","",IF(COUNTIFS(Dividends!$G:$G,"&gt;"&amp;INT($A115),Dividends!$G:$G,"&lt;="&amp;INT($A116))=0,"",$H$2*SUMIFS(Dividends!$H:$H,Dividends!$G:$G,"&gt;"&amp;INT($A115),Dividends!$G:$G,"&lt;="&amp;INT($A116))))</f>
        <v/>
      </c>
      <c r="M116" s="44" t="str">
        <f ca="1">IF(ISERROR(B116-2),"",C116+D116-F116-G116-K116+SUM($L$14:L116))</f>
        <v/>
      </c>
      <c r="U116" s="3" t="str">
        <f t="shared" si="10"/>
        <v/>
      </c>
      <c r="V116" s="3" t="str">
        <f t="shared" si="11"/>
        <v/>
      </c>
      <c r="Z116" s="3">
        <v>45940</v>
      </c>
      <c r="AA116" s="4">
        <v>242.13290000000001</v>
      </c>
      <c r="AB116" s="6">
        <v>45940</v>
      </c>
      <c r="AC116" s="4">
        <v>283.27499999999998</v>
      </c>
      <c r="AD116" s="6">
        <f t="shared" si="12"/>
        <v>45940</v>
      </c>
    </row>
    <row r="117" spans="1:30" x14ac:dyDescent="0.25">
      <c r="A117" s="39" t="str">
        <f t="shared" ca="1" si="13"/>
        <v/>
      </c>
      <c r="B117" s="40" t="str">
        <f ca="1">IF(COUNTIF($W$2:W1102,A117)=1,VLOOKUP(A117,O:P,2), IF(COUNTIF($W$2:W1102,A117)=0,$B$9,""))</f>
        <v/>
      </c>
      <c r="C117" s="2" t="str">
        <f t="shared" ca="1" si="14"/>
        <v/>
      </c>
      <c r="D117" s="43" t="str">
        <f t="shared" ca="1" si="15"/>
        <v/>
      </c>
      <c r="E117" s="40" t="str">
        <f ca="1">IF(COUNTIF($W$2:W1102,A117)=1,VLOOKUP(A117,Q:R,2), IF(COUNTIF($W$2:W1102,A117)=0,$C$9,""))</f>
        <v/>
      </c>
      <c r="F117" s="2" t="str">
        <f t="shared" ca="1" si="16"/>
        <v/>
      </c>
      <c r="G117" s="43" t="str">
        <f t="shared" ca="1" si="17"/>
        <v/>
      </c>
      <c r="H117" s="40" t="str">
        <f ca="1">IF(COUNTIF($W$2:W1102,A117)=1,VLOOKUP(A117,S:T,2), IF(COUNTIF($W$2:W1102,A117)=0,$D$9,""))</f>
        <v/>
      </c>
      <c r="I117" s="41" t="str">
        <f ca="1">IF(COUNTIF($X$2:X1102,INT(A117))=1,VLOOKUP(INT(A117),X:Y,2), IF(ISERROR(H117-2),"",I116*(1-$D$8*(H117-H116)*0.0001)))</f>
        <v/>
      </c>
      <c r="J117" s="41" t="str">
        <f t="shared" ca="1" si="18"/>
        <v/>
      </c>
      <c r="K117" s="43" t="str">
        <f t="shared" ca="1" si="19"/>
        <v/>
      </c>
      <c r="L117" s="43" t="str">
        <f ca="1">IF($A117="","",IF(COUNTIFS(Dividends!$G:$G,"&gt;"&amp;INT($A116),Dividends!$G:$G,"&lt;="&amp;INT($A117))=0,"",$H$2*SUMIFS(Dividends!$H:$H,Dividends!$G:$G,"&gt;"&amp;INT($A116),Dividends!$G:$G,"&lt;="&amp;INT($A117))))</f>
        <v/>
      </c>
      <c r="M117" s="44" t="str">
        <f ca="1">IF(ISERROR(B117-2),"",C117+D117-F117-G117-K117+SUM($L$14:L117))</f>
        <v/>
      </c>
      <c r="U117" s="3" t="str">
        <f t="shared" si="10"/>
        <v/>
      </c>
      <c r="V117" s="3" t="str">
        <f t="shared" si="11"/>
        <v/>
      </c>
      <c r="Z117" s="3">
        <v>45943</v>
      </c>
      <c r="AA117" s="4">
        <v>242.50720000000001</v>
      </c>
      <c r="AB117" s="6">
        <v>45943</v>
      </c>
      <c r="AC117" s="4">
        <v>280.70100000000002</v>
      </c>
      <c r="AD117" s="6">
        <f t="shared" si="12"/>
        <v>45943</v>
      </c>
    </row>
    <row r="118" spans="1:30" x14ac:dyDescent="0.25">
      <c r="A118" s="39" t="str">
        <f t="shared" ca="1" si="13"/>
        <v/>
      </c>
      <c r="B118" s="40" t="str">
        <f ca="1">IF(COUNTIF($W$2:W1103,A118)=1,VLOOKUP(A118,O:P,2), IF(COUNTIF($W$2:W1103,A118)=0,$B$9,""))</f>
        <v/>
      </c>
      <c r="C118" s="2" t="str">
        <f t="shared" ca="1" si="14"/>
        <v/>
      </c>
      <c r="D118" s="43" t="str">
        <f t="shared" ca="1" si="15"/>
        <v/>
      </c>
      <c r="E118" s="40" t="str">
        <f ca="1">IF(COUNTIF($W$2:W1103,A118)=1,VLOOKUP(A118,Q:R,2), IF(COUNTIF($W$2:W1103,A118)=0,$C$9,""))</f>
        <v/>
      </c>
      <c r="F118" s="2" t="str">
        <f t="shared" ca="1" si="16"/>
        <v/>
      </c>
      <c r="G118" s="43" t="str">
        <f t="shared" ca="1" si="17"/>
        <v/>
      </c>
      <c r="H118" s="40" t="str">
        <f ca="1">IF(COUNTIF($W$2:W1103,A118)=1,VLOOKUP(A118,S:T,2), IF(COUNTIF($W$2:W1103,A118)=0,$D$9,""))</f>
        <v/>
      </c>
      <c r="I118" s="41" t="str">
        <f ca="1">IF(COUNTIF($X$2:X1103,INT(A118))=1,VLOOKUP(INT(A118),X:Y,2), IF(ISERROR(H118-2),"",I117*(1-$D$8*(H118-H117)*0.0001)))</f>
        <v/>
      </c>
      <c r="J118" s="41" t="str">
        <f t="shared" ca="1" si="18"/>
        <v/>
      </c>
      <c r="K118" s="43" t="str">
        <f t="shared" ca="1" si="19"/>
        <v/>
      </c>
      <c r="L118" s="43" t="str">
        <f ca="1">IF($A118="","",IF(COUNTIFS(Dividends!$G:$G,"&gt;"&amp;INT($A117),Dividends!$G:$G,"&lt;="&amp;INT($A118))=0,"",$H$2*SUMIFS(Dividends!$H:$H,Dividends!$G:$G,"&gt;"&amp;INT($A117),Dividends!$G:$G,"&lt;="&amp;INT($A118))))</f>
        <v/>
      </c>
      <c r="M118" s="44" t="str">
        <f ca="1">IF(ISERROR(B118-2),"",C118+D118-F118-G118-K118+SUM($L$14:L118))</f>
        <v/>
      </c>
      <c r="U118" s="3" t="str">
        <f t="shared" si="10"/>
        <v/>
      </c>
      <c r="V118" s="3" t="str">
        <f t="shared" si="11"/>
        <v/>
      </c>
      <c r="Z118" s="3">
        <v>45944</v>
      </c>
      <c r="AA118" s="4">
        <v>242.9716</v>
      </c>
      <c r="AB118" s="6">
        <v>45944</v>
      </c>
      <c r="AC118" s="4">
        <v>275.89800000000002</v>
      </c>
      <c r="AD118" s="6">
        <f t="shared" si="12"/>
        <v>45944</v>
      </c>
    </row>
    <row r="119" spans="1:30" x14ac:dyDescent="0.25">
      <c r="A119" s="39" t="str">
        <f t="shared" ca="1" si="13"/>
        <v/>
      </c>
      <c r="B119" s="40" t="str">
        <f ca="1">IF(COUNTIF($W$2:W1104,A119)=1,VLOOKUP(A119,O:P,2), IF(COUNTIF($W$2:W1104,A119)=0,$B$9,""))</f>
        <v/>
      </c>
      <c r="C119" s="2" t="str">
        <f t="shared" ca="1" si="14"/>
        <v/>
      </c>
      <c r="D119" s="43" t="str">
        <f t="shared" ca="1" si="15"/>
        <v/>
      </c>
      <c r="E119" s="40" t="str">
        <f ca="1">IF(COUNTIF($W$2:W1104,A119)=1,VLOOKUP(A119,Q:R,2), IF(COUNTIF($W$2:W1104,A119)=0,$C$9,""))</f>
        <v/>
      </c>
      <c r="F119" s="2" t="str">
        <f t="shared" ca="1" si="16"/>
        <v/>
      </c>
      <c r="G119" s="43" t="str">
        <f t="shared" ca="1" si="17"/>
        <v/>
      </c>
      <c r="H119" s="40" t="str">
        <f ca="1">IF(COUNTIF($W$2:W1104,A119)=1,VLOOKUP(A119,S:T,2), IF(COUNTIF($W$2:W1104,A119)=0,$D$9,""))</f>
        <v/>
      </c>
      <c r="I119" s="41" t="str">
        <f ca="1">IF(COUNTIF($X$2:X1104,INT(A119))=1,VLOOKUP(INT(A119),X:Y,2), IF(ISERROR(H119-2),"",I118*(1-$D$8*(H119-H118)*0.0001)))</f>
        <v/>
      </c>
      <c r="J119" s="41" t="str">
        <f t="shared" ca="1" si="18"/>
        <v/>
      </c>
      <c r="K119" s="43" t="str">
        <f t="shared" ca="1" si="19"/>
        <v/>
      </c>
      <c r="L119" s="43" t="str">
        <f ca="1">IF($A119="","",IF(COUNTIFS(Dividends!$G:$G,"&gt;"&amp;INT($A118),Dividends!$G:$G,"&lt;="&amp;INT($A119))=0,"",$H$2*SUMIFS(Dividends!$H:$H,Dividends!$G:$G,"&gt;"&amp;INT($A118),Dividends!$G:$G,"&lt;="&amp;INT($A119))))</f>
        <v/>
      </c>
      <c r="M119" s="44" t="str">
        <f ca="1">IF(ISERROR(B119-2),"",C119+D119-F119-G119-K119+SUM($L$14:L119))</f>
        <v/>
      </c>
      <c r="U119" s="3" t="str">
        <f t="shared" si="10"/>
        <v/>
      </c>
      <c r="V119" s="3" t="str">
        <f t="shared" si="11"/>
        <v/>
      </c>
      <c r="Z119" s="3">
        <v>45945</v>
      </c>
      <c r="AA119" s="4">
        <v>244.08959999999999</v>
      </c>
      <c r="AB119" s="6">
        <v>45945</v>
      </c>
      <c r="AC119" s="4">
        <v>269.79700000000003</v>
      </c>
      <c r="AD119" s="6">
        <f t="shared" si="12"/>
        <v>45945</v>
      </c>
    </row>
    <row r="120" spans="1:30" x14ac:dyDescent="0.25">
      <c r="A120" s="39" t="str">
        <f t="shared" ca="1" si="13"/>
        <v/>
      </c>
      <c r="B120" s="40" t="str">
        <f ca="1">IF(COUNTIF($W$2:W1105,A120)=1,VLOOKUP(A120,O:P,2), IF(COUNTIF($W$2:W1105,A120)=0,$B$9,""))</f>
        <v/>
      </c>
      <c r="C120" s="2" t="str">
        <f t="shared" ca="1" si="14"/>
        <v/>
      </c>
      <c r="D120" s="43" t="str">
        <f t="shared" ca="1" si="15"/>
        <v/>
      </c>
      <c r="E120" s="40" t="str">
        <f ca="1">IF(COUNTIF($W$2:W1105,A120)=1,VLOOKUP(A120,Q:R,2), IF(COUNTIF($W$2:W1105,A120)=0,$C$9,""))</f>
        <v/>
      </c>
      <c r="F120" s="2" t="str">
        <f t="shared" ca="1" si="16"/>
        <v/>
      </c>
      <c r="G120" s="43" t="str">
        <f t="shared" ca="1" si="17"/>
        <v/>
      </c>
      <c r="H120" s="40" t="str">
        <f ca="1">IF(COUNTIF($W$2:W1105,A120)=1,VLOOKUP(A120,S:T,2), IF(COUNTIF($W$2:W1105,A120)=0,$D$9,""))</f>
        <v/>
      </c>
      <c r="I120" s="41" t="str">
        <f ca="1">IF(COUNTIF($X$2:X1105,INT(A120))=1,VLOOKUP(INT(A120),X:Y,2), IF(ISERROR(H120-2),"",I119*(1-$D$8*(H120-H119)*0.0001)))</f>
        <v/>
      </c>
      <c r="J120" s="41" t="str">
        <f t="shared" ca="1" si="18"/>
        <v/>
      </c>
      <c r="K120" s="43" t="str">
        <f t="shared" ca="1" si="19"/>
        <v/>
      </c>
      <c r="L120" s="43" t="str">
        <f ca="1">IF($A120="","",IF(COUNTIFS(Dividends!$G:$G,"&gt;"&amp;INT($A119),Dividends!$G:$G,"&lt;="&amp;INT($A120))=0,"",$H$2*SUMIFS(Dividends!$H:$H,Dividends!$G:$G,"&gt;"&amp;INT($A119),Dividends!$G:$G,"&lt;="&amp;INT($A120))))</f>
        <v/>
      </c>
      <c r="M120" s="44" t="str">
        <f ca="1">IF(ISERROR(B120-2),"",C120+D120-F120-G120-K120+SUM($L$14:L120))</f>
        <v/>
      </c>
      <c r="U120" s="3" t="str">
        <f t="shared" si="10"/>
        <v/>
      </c>
      <c r="V120" s="3" t="str">
        <f t="shared" si="11"/>
        <v/>
      </c>
      <c r="Z120" s="3">
        <v>45946</v>
      </c>
      <c r="AA120" s="4">
        <v>243.5917</v>
      </c>
      <c r="AB120" s="6">
        <v>45946</v>
      </c>
      <c r="AC120" s="4">
        <v>273.65499999999997</v>
      </c>
      <c r="AD120" s="6">
        <f t="shared" si="12"/>
        <v>45946</v>
      </c>
    </row>
    <row r="121" spans="1:30" x14ac:dyDescent="0.25">
      <c r="A121" s="39" t="str">
        <f t="shared" ca="1" si="13"/>
        <v/>
      </c>
      <c r="B121" s="40" t="str">
        <f ca="1">IF(COUNTIF($W$2:W1106,A121)=1,VLOOKUP(A121,O:P,2), IF(COUNTIF($W$2:W1106,A121)=0,$B$9,""))</f>
        <v/>
      </c>
      <c r="C121" s="2" t="str">
        <f t="shared" ca="1" si="14"/>
        <v/>
      </c>
      <c r="D121" s="43" t="str">
        <f t="shared" ca="1" si="15"/>
        <v/>
      </c>
      <c r="E121" s="40" t="str">
        <f ca="1">IF(COUNTIF($W$2:W1106,A121)=1,VLOOKUP(A121,Q:R,2), IF(COUNTIF($W$2:W1106,A121)=0,$C$9,""))</f>
        <v/>
      </c>
      <c r="F121" s="2" t="str">
        <f t="shared" ca="1" si="16"/>
        <v/>
      </c>
      <c r="G121" s="43" t="str">
        <f t="shared" ca="1" si="17"/>
        <v/>
      </c>
      <c r="H121" s="40" t="str">
        <f ca="1">IF(COUNTIF($W$2:W1106,A121)=1,VLOOKUP(A121,S:T,2), IF(COUNTIF($W$2:W1106,A121)=0,$D$9,""))</f>
        <v/>
      </c>
      <c r="I121" s="41" t="str">
        <f ca="1">IF(COUNTIF($X$2:X1106,INT(A121))=1,VLOOKUP(INT(A121),X:Y,2), IF(ISERROR(H121-2),"",I120*(1-$D$8*(H121-H120)*0.0001)))</f>
        <v/>
      </c>
      <c r="J121" s="41" t="str">
        <f t="shared" ca="1" si="18"/>
        <v/>
      </c>
      <c r="K121" s="43" t="str">
        <f t="shared" ca="1" si="19"/>
        <v/>
      </c>
      <c r="L121" s="43" t="str">
        <f ca="1">IF($A121="","",IF(COUNTIFS(Dividends!$G:$G,"&gt;"&amp;INT($A120),Dividends!$G:$G,"&lt;="&amp;INT($A121))=0,"",$H$2*SUMIFS(Dividends!$H:$H,Dividends!$G:$G,"&gt;"&amp;INT($A120),Dividends!$G:$G,"&lt;="&amp;INT($A121))))</f>
        <v/>
      </c>
      <c r="M121" s="44" t="str">
        <f ca="1">IF(ISERROR(B121-2),"",C121+D121-F121-G121-K121+SUM($L$14:L121))</f>
        <v/>
      </c>
      <c r="U121" s="3" t="str">
        <f t="shared" si="10"/>
        <v/>
      </c>
      <c r="V121" s="3" t="str">
        <f t="shared" si="11"/>
        <v/>
      </c>
      <c r="Z121" s="3">
        <v>45947</v>
      </c>
      <c r="AA121" s="4">
        <v>243.0658</v>
      </c>
      <c r="AB121" s="6">
        <v>45947</v>
      </c>
      <c r="AC121" s="4">
        <v>277.44600000000003</v>
      </c>
      <c r="AD121" s="6">
        <f t="shared" si="12"/>
        <v>45947</v>
      </c>
    </row>
    <row r="122" spans="1:30" x14ac:dyDescent="0.25">
      <c r="A122" s="39" t="str">
        <f t="shared" ca="1" si="13"/>
        <v/>
      </c>
      <c r="B122" s="40" t="str">
        <f ca="1">IF(COUNTIF($W$2:W1107,A122)=1,VLOOKUP(A122,O:P,2), IF(COUNTIF($W$2:W1107,A122)=0,$B$9,""))</f>
        <v/>
      </c>
      <c r="C122" s="2" t="str">
        <f t="shared" ca="1" si="14"/>
        <v/>
      </c>
      <c r="D122" s="43" t="str">
        <f t="shared" ca="1" si="15"/>
        <v/>
      </c>
      <c r="E122" s="40" t="str">
        <f ca="1">IF(COUNTIF($W$2:W1107,A122)=1,VLOOKUP(A122,Q:R,2), IF(COUNTIF($W$2:W1107,A122)=0,$C$9,""))</f>
        <v/>
      </c>
      <c r="F122" s="2" t="str">
        <f t="shared" ca="1" si="16"/>
        <v/>
      </c>
      <c r="G122" s="43" t="str">
        <f t="shared" ca="1" si="17"/>
        <v/>
      </c>
      <c r="H122" s="40" t="str">
        <f ca="1">IF(COUNTIF($W$2:W1107,A122)=1,VLOOKUP(A122,S:T,2), IF(COUNTIF($W$2:W1107,A122)=0,$D$9,""))</f>
        <v/>
      </c>
      <c r="I122" s="41" t="str">
        <f ca="1">IF(COUNTIF($X$2:X1107,INT(A122))=1,VLOOKUP(INT(A122),X:Y,2), IF(ISERROR(H122-2),"",I121*(1-$D$8*(H122-H121)*0.0001)))</f>
        <v/>
      </c>
      <c r="J122" s="41" t="str">
        <f t="shared" ca="1" si="18"/>
        <v/>
      </c>
      <c r="K122" s="43" t="str">
        <f t="shared" ca="1" si="19"/>
        <v/>
      </c>
      <c r="L122" s="43" t="str">
        <f ca="1">IF($A122="","",IF(COUNTIFS(Dividends!$G:$G,"&gt;"&amp;INT($A121),Dividends!$G:$G,"&lt;="&amp;INT($A122))=0,"",$H$2*SUMIFS(Dividends!$H:$H,Dividends!$G:$G,"&gt;"&amp;INT($A121),Dividends!$G:$G,"&lt;="&amp;INT($A122))))</f>
        <v/>
      </c>
      <c r="M122" s="44" t="str">
        <f ca="1">IF(ISERROR(B122-2),"",C122+D122-F122-G122-K122+SUM($L$14:L122))</f>
        <v/>
      </c>
      <c r="U122" s="3" t="str">
        <f t="shared" si="10"/>
        <v/>
      </c>
      <c r="V122" s="3" t="str">
        <f t="shared" si="11"/>
        <v/>
      </c>
      <c r="Z122" s="3">
        <v>45950</v>
      </c>
      <c r="AA122" s="4">
        <v>244.0598</v>
      </c>
      <c r="AB122" s="6">
        <v>45950</v>
      </c>
      <c r="AC122" s="4">
        <v>269.54399999999998</v>
      </c>
      <c r="AD122" s="6">
        <f t="shared" si="12"/>
        <v>45950</v>
      </c>
    </row>
    <row r="123" spans="1:30" x14ac:dyDescent="0.25">
      <c r="A123" s="39" t="str">
        <f t="shared" ca="1" si="13"/>
        <v/>
      </c>
      <c r="B123" s="40" t="str">
        <f ca="1">IF(COUNTIF($W$2:W1108,A123)=1,VLOOKUP(A123,O:P,2), IF(COUNTIF($W$2:W1108,A123)=0,$B$9,""))</f>
        <v/>
      </c>
      <c r="C123" s="2" t="str">
        <f t="shared" ca="1" si="14"/>
        <v/>
      </c>
      <c r="D123" s="43" t="str">
        <f t="shared" ca="1" si="15"/>
        <v/>
      </c>
      <c r="E123" s="40" t="str">
        <f ca="1">IF(COUNTIF($W$2:W1108,A123)=1,VLOOKUP(A123,Q:R,2), IF(COUNTIF($W$2:W1108,A123)=0,$C$9,""))</f>
        <v/>
      </c>
      <c r="F123" s="2" t="str">
        <f t="shared" ca="1" si="16"/>
        <v/>
      </c>
      <c r="G123" s="43" t="str">
        <f t="shared" ca="1" si="17"/>
        <v/>
      </c>
      <c r="H123" s="40" t="str">
        <f ca="1">IF(COUNTIF($W$2:W1108,A123)=1,VLOOKUP(A123,S:T,2), IF(COUNTIF($W$2:W1108,A123)=0,$D$9,""))</f>
        <v/>
      </c>
      <c r="I123" s="41" t="str">
        <f ca="1">IF(COUNTIF($X$2:X1108,INT(A123))=1,VLOOKUP(INT(A123),X:Y,2), IF(ISERROR(H123-2),"",I122*(1-$D$8*(H123-H122)*0.0001)))</f>
        <v/>
      </c>
      <c r="J123" s="41" t="str">
        <f t="shared" ca="1" si="18"/>
        <v/>
      </c>
      <c r="K123" s="43" t="str">
        <f t="shared" ca="1" si="19"/>
        <v/>
      </c>
      <c r="L123" s="43" t="str">
        <f ca="1">IF($A123="","",IF(COUNTIFS(Dividends!$G:$G,"&gt;"&amp;INT($A122),Dividends!$G:$G,"&lt;="&amp;INT($A123))=0,"",$H$2*SUMIFS(Dividends!$H:$H,Dividends!$G:$G,"&gt;"&amp;INT($A122),Dividends!$G:$G,"&lt;="&amp;INT($A123))))</f>
        <v/>
      </c>
      <c r="M123" s="44" t="str">
        <f ca="1">IF(ISERROR(B123-2),"",C123+D123-F123-G123-K123+SUM($L$14:L123))</f>
        <v/>
      </c>
      <c r="U123" s="3" t="str">
        <f t="shared" si="10"/>
        <v/>
      </c>
      <c r="V123" s="3" t="str">
        <f t="shared" si="11"/>
        <v/>
      </c>
      <c r="Z123" s="3">
        <v>45951</v>
      </c>
      <c r="AA123" s="4">
        <v>244.31870000000001</v>
      </c>
      <c r="AB123" s="6">
        <v>45951</v>
      </c>
      <c r="AC123" s="4">
        <v>267.43400000000003</v>
      </c>
      <c r="AD123" s="6">
        <f t="shared" si="12"/>
        <v>45951</v>
      </c>
    </row>
    <row r="124" spans="1:30" x14ac:dyDescent="0.25">
      <c r="A124" s="39" t="str">
        <f t="shared" ca="1" si="13"/>
        <v/>
      </c>
      <c r="B124" s="40" t="str">
        <f ca="1">IF(COUNTIF($W$2:W1109,A124)=1,VLOOKUP(A124,O:P,2), IF(COUNTIF($W$2:W1109,A124)=0,$B$9,""))</f>
        <v/>
      </c>
      <c r="C124" s="2" t="str">
        <f t="shared" ca="1" si="14"/>
        <v/>
      </c>
      <c r="D124" s="43" t="str">
        <f t="shared" ca="1" si="15"/>
        <v/>
      </c>
      <c r="E124" s="40" t="str">
        <f ca="1">IF(COUNTIF($W$2:W1109,A124)=1,VLOOKUP(A124,Q:R,2), IF(COUNTIF($W$2:W1109,A124)=0,$C$9,""))</f>
        <v/>
      </c>
      <c r="F124" s="2" t="str">
        <f t="shared" ca="1" si="16"/>
        <v/>
      </c>
      <c r="G124" s="43" t="str">
        <f t="shared" ca="1" si="17"/>
        <v/>
      </c>
      <c r="H124" s="40" t="str">
        <f ca="1">IF(COUNTIF($W$2:W1109,A124)=1,VLOOKUP(A124,S:T,2), IF(COUNTIF($W$2:W1109,A124)=0,$D$9,""))</f>
        <v/>
      </c>
      <c r="I124" s="41" t="str">
        <f ca="1">IF(COUNTIF($X$2:X1109,INT(A124))=1,VLOOKUP(INT(A124),X:Y,2), IF(ISERROR(H124-2),"",I123*(1-$D$8*(H124-H123)*0.0001)))</f>
        <v/>
      </c>
      <c r="J124" s="41" t="str">
        <f t="shared" ca="1" si="18"/>
        <v/>
      </c>
      <c r="K124" s="43" t="str">
        <f t="shared" ca="1" si="19"/>
        <v/>
      </c>
      <c r="L124" s="43" t="str">
        <f ca="1">IF($A124="","",IF(COUNTIFS(Dividends!$G:$G,"&gt;"&amp;INT($A123),Dividends!$G:$G,"&lt;="&amp;INT($A124))=0,"",$H$2*SUMIFS(Dividends!$H:$H,Dividends!$G:$G,"&gt;"&amp;INT($A123),Dividends!$G:$G,"&lt;="&amp;INT($A124))))</f>
        <v/>
      </c>
      <c r="M124" s="44" t="str">
        <f ca="1">IF(ISERROR(B124-2),"",C124+D124-F124-G124-K124+SUM($L$14:L124))</f>
        <v/>
      </c>
      <c r="U124" s="3" t="str">
        <f t="shared" si="10"/>
        <v/>
      </c>
      <c r="V124" s="3" t="str">
        <f t="shared" si="11"/>
        <v/>
      </c>
      <c r="Z124" s="3">
        <v>45952</v>
      </c>
      <c r="AA124" s="4">
        <v>244.07040000000001</v>
      </c>
      <c r="AB124" s="6">
        <v>45952</v>
      </c>
      <c r="AC124" s="4">
        <v>269.74599999999998</v>
      </c>
      <c r="AD124" s="6">
        <f t="shared" si="12"/>
        <v>45952</v>
      </c>
    </row>
    <row r="125" spans="1:30" x14ac:dyDescent="0.25">
      <c r="A125" s="39" t="str">
        <f t="shared" ca="1" si="13"/>
        <v/>
      </c>
      <c r="B125" s="40" t="str">
        <f ca="1">IF(COUNTIF($W$2:W1110,A125)=1,VLOOKUP(A125,O:P,2), IF(COUNTIF($W$2:W1110,A125)=0,$B$9,""))</f>
        <v/>
      </c>
      <c r="C125" s="2" t="str">
        <f t="shared" ca="1" si="14"/>
        <v/>
      </c>
      <c r="D125" s="43" t="str">
        <f t="shared" ca="1" si="15"/>
        <v/>
      </c>
      <c r="E125" s="40" t="str">
        <f ca="1">IF(COUNTIF($W$2:W1110,A125)=1,VLOOKUP(A125,Q:R,2), IF(COUNTIF($W$2:W1110,A125)=0,$C$9,""))</f>
        <v/>
      </c>
      <c r="F125" s="2" t="str">
        <f t="shared" ca="1" si="16"/>
        <v/>
      </c>
      <c r="G125" s="43" t="str">
        <f t="shared" ca="1" si="17"/>
        <v/>
      </c>
      <c r="H125" s="40" t="str">
        <f ca="1">IF(COUNTIF($W$2:W1110,A125)=1,VLOOKUP(A125,S:T,2), IF(COUNTIF($W$2:W1110,A125)=0,$D$9,""))</f>
        <v/>
      </c>
      <c r="I125" s="41" t="str">
        <f ca="1">IF(COUNTIF($X$2:X1110,INT(A125))=1,VLOOKUP(INT(A125),X:Y,2), IF(ISERROR(H125-2),"",I124*(1-$D$8*(H125-H124)*0.0001)))</f>
        <v/>
      </c>
      <c r="J125" s="41" t="str">
        <f t="shared" ca="1" si="18"/>
        <v/>
      </c>
      <c r="K125" s="43" t="str">
        <f t="shared" ca="1" si="19"/>
        <v/>
      </c>
      <c r="L125" s="43" t="str">
        <f ca="1">IF($A125="","",IF(COUNTIFS(Dividends!$G:$G,"&gt;"&amp;INT($A124),Dividends!$G:$G,"&lt;="&amp;INT($A125))=0,"",$H$2*SUMIFS(Dividends!$H:$H,Dividends!$G:$G,"&gt;"&amp;INT($A124),Dividends!$G:$G,"&lt;="&amp;INT($A125))))</f>
        <v/>
      </c>
      <c r="M125" s="44" t="str">
        <f ca="1">IF(ISERROR(B125-2),"",C125+D125-F125-G125-K125+SUM($L$14:L125))</f>
        <v/>
      </c>
      <c r="U125" s="3" t="str">
        <f t="shared" si="10"/>
        <v/>
      </c>
      <c r="V125" s="3" t="str">
        <f t="shared" si="11"/>
        <v/>
      </c>
      <c r="Z125" s="3">
        <v>45953</v>
      </c>
      <c r="AA125" s="4">
        <v>244.25409999999999</v>
      </c>
      <c r="AB125" s="6">
        <v>45953</v>
      </c>
      <c r="AC125" s="4">
        <v>268.49799999999999</v>
      </c>
      <c r="AD125" s="6">
        <f t="shared" si="12"/>
        <v>45953</v>
      </c>
    </row>
    <row r="126" spans="1:30" x14ac:dyDescent="0.25">
      <c r="A126" s="39" t="str">
        <f t="shared" ca="1" si="13"/>
        <v/>
      </c>
      <c r="B126" s="40" t="str">
        <f ca="1">IF(COUNTIF($W$2:W1111,A126)=1,VLOOKUP(A126,O:P,2), IF(COUNTIF($W$2:W1111,A126)=0,$B$9,""))</f>
        <v/>
      </c>
      <c r="C126" s="2" t="str">
        <f t="shared" ca="1" si="14"/>
        <v/>
      </c>
      <c r="D126" s="43" t="str">
        <f t="shared" ca="1" si="15"/>
        <v/>
      </c>
      <c r="E126" s="40" t="str">
        <f ca="1">IF(COUNTIF($W$2:W1111,A126)=1,VLOOKUP(A126,Q:R,2), IF(COUNTIF($W$2:W1111,A126)=0,$C$9,""))</f>
        <v/>
      </c>
      <c r="F126" s="2" t="str">
        <f t="shared" ca="1" si="16"/>
        <v/>
      </c>
      <c r="G126" s="43" t="str">
        <f t="shared" ca="1" si="17"/>
        <v/>
      </c>
      <c r="H126" s="40" t="str">
        <f ca="1">IF(COUNTIF($W$2:W1111,A126)=1,VLOOKUP(A126,S:T,2), IF(COUNTIF($W$2:W1111,A126)=0,$D$9,""))</f>
        <v/>
      </c>
      <c r="I126" s="41" t="str">
        <f ca="1">IF(COUNTIF($X$2:X1111,INT(A126))=1,VLOOKUP(INT(A126),X:Y,2), IF(ISERROR(H126-2),"",I125*(1-$D$8*(H126-H125)*0.0001)))</f>
        <v/>
      </c>
      <c r="J126" s="41" t="str">
        <f t="shared" ca="1" si="18"/>
        <v/>
      </c>
      <c r="K126" s="43" t="str">
        <f t="shared" ca="1" si="19"/>
        <v/>
      </c>
      <c r="L126" s="43" t="str">
        <f ca="1">IF($A126="","",IF(COUNTIFS(Dividends!$G:$G,"&gt;"&amp;INT($A125),Dividends!$G:$G,"&lt;="&amp;INT($A126))=0,"",$H$2*SUMIFS(Dividends!$H:$H,Dividends!$G:$G,"&gt;"&amp;INT($A125),Dividends!$G:$G,"&lt;="&amp;INT($A126))))</f>
        <v/>
      </c>
      <c r="M126" s="44" t="str">
        <f ca="1">IF(ISERROR(B126-2),"",C126+D126-F126-G126-K126+SUM($L$14:L126))</f>
        <v/>
      </c>
      <c r="U126" s="3" t="str">
        <f t="shared" si="10"/>
        <v/>
      </c>
      <c r="V126" s="3" t="str">
        <f t="shared" si="11"/>
        <v/>
      </c>
      <c r="Z126" s="3">
        <v>45954</v>
      </c>
      <c r="AA126" s="4">
        <v>244.79400000000001</v>
      </c>
      <c r="AB126" s="6">
        <v>45954</v>
      </c>
      <c r="AC126" s="4">
        <v>265.077</v>
      </c>
      <c r="AD126" s="6">
        <f t="shared" si="12"/>
        <v>45954</v>
      </c>
    </row>
    <row r="127" spans="1:30" x14ac:dyDescent="0.25">
      <c r="A127" s="39" t="str">
        <f t="shared" ca="1" si="13"/>
        <v/>
      </c>
      <c r="B127" s="40" t="str">
        <f ca="1">IF(COUNTIF($W$2:W1112,A127)=1,VLOOKUP(A127,O:P,2), IF(COUNTIF($W$2:W1112,A127)=0,$B$9,""))</f>
        <v/>
      </c>
      <c r="C127" s="2" t="str">
        <f t="shared" ca="1" si="14"/>
        <v/>
      </c>
      <c r="D127" s="43" t="str">
        <f t="shared" ca="1" si="15"/>
        <v/>
      </c>
      <c r="E127" s="40" t="str">
        <f ca="1">IF(COUNTIF($W$2:W1112,A127)=1,VLOOKUP(A127,Q:R,2), IF(COUNTIF($W$2:W1112,A127)=0,$C$9,""))</f>
        <v/>
      </c>
      <c r="F127" s="2" t="str">
        <f t="shared" ca="1" si="16"/>
        <v/>
      </c>
      <c r="G127" s="43" t="str">
        <f t="shared" ca="1" si="17"/>
        <v/>
      </c>
      <c r="H127" s="40" t="str">
        <f ca="1">IF(COUNTIF($W$2:W1112,A127)=1,VLOOKUP(A127,S:T,2), IF(COUNTIF($W$2:W1112,A127)=0,$D$9,""))</f>
        <v/>
      </c>
      <c r="I127" s="41" t="str">
        <f ca="1">IF(COUNTIF($X$2:X1112,INT(A127))=1,VLOOKUP(INT(A127),X:Y,2), IF(ISERROR(H127-2),"",I126*(1-$D$8*(H127-H126)*0.0001)))</f>
        <v/>
      </c>
      <c r="J127" s="41" t="str">
        <f t="shared" ca="1" si="18"/>
        <v/>
      </c>
      <c r="K127" s="43" t="str">
        <f t="shared" ca="1" si="19"/>
        <v/>
      </c>
      <c r="L127" s="43" t="str">
        <f ca="1">IF($A127="","",IF(COUNTIFS(Dividends!$G:$G,"&gt;"&amp;INT($A126),Dividends!$G:$G,"&lt;="&amp;INT($A127))=0,"",$H$2*SUMIFS(Dividends!$H:$H,Dividends!$G:$G,"&gt;"&amp;INT($A126),Dividends!$G:$G,"&lt;="&amp;INT($A127))))</f>
        <v/>
      </c>
      <c r="M127" s="44" t="str">
        <f ca="1">IF(ISERROR(B127-2),"",C127+D127-F127-G127-K127+SUM($L$14:L127))</f>
        <v/>
      </c>
      <c r="U127" s="3" t="str">
        <f t="shared" si="10"/>
        <v/>
      </c>
      <c r="V127" s="3" t="str">
        <f t="shared" si="11"/>
        <v/>
      </c>
      <c r="Z127" s="3">
        <v>45957</v>
      </c>
      <c r="AA127" s="4">
        <v>245.7517</v>
      </c>
      <c r="AB127" s="6">
        <v>45957</v>
      </c>
      <c r="AC127" s="4">
        <v>256.41899999999998</v>
      </c>
      <c r="AD127" s="6">
        <f t="shared" si="12"/>
        <v>45957</v>
      </c>
    </row>
    <row r="128" spans="1:30" x14ac:dyDescent="0.25">
      <c r="A128" s="39" t="str">
        <f t="shared" ca="1" si="13"/>
        <v/>
      </c>
      <c r="B128" s="40" t="str">
        <f ca="1">IF(COUNTIF($W$2:W1113,A128)=1,VLOOKUP(A128,O:P,2), IF(COUNTIF($W$2:W1113,A128)=0,$B$9,""))</f>
        <v/>
      </c>
      <c r="C128" s="2" t="str">
        <f t="shared" ca="1" si="14"/>
        <v/>
      </c>
      <c r="D128" s="43" t="str">
        <f t="shared" ca="1" si="15"/>
        <v/>
      </c>
      <c r="E128" s="40" t="str">
        <f ca="1">IF(COUNTIF($W$2:W1113,A128)=1,VLOOKUP(A128,Q:R,2), IF(COUNTIF($W$2:W1113,A128)=0,$C$9,""))</f>
        <v/>
      </c>
      <c r="F128" s="2" t="str">
        <f t="shared" ca="1" si="16"/>
        <v/>
      </c>
      <c r="G128" s="43" t="str">
        <f t="shared" ca="1" si="17"/>
        <v/>
      </c>
      <c r="H128" s="40" t="str">
        <f ca="1">IF(COUNTIF($W$2:W1113,A128)=1,VLOOKUP(A128,S:T,2), IF(COUNTIF($W$2:W1113,A128)=0,$D$9,""))</f>
        <v/>
      </c>
      <c r="I128" s="41" t="str">
        <f ca="1">IF(COUNTIF($X$2:X1113,INT(A128))=1,VLOOKUP(INT(A128),X:Y,2), IF(ISERROR(H128-2),"",I127*(1-$D$8*(H128-H127)*0.0001)))</f>
        <v/>
      </c>
      <c r="J128" s="41" t="str">
        <f t="shared" ca="1" si="18"/>
        <v/>
      </c>
      <c r="K128" s="43" t="str">
        <f t="shared" ca="1" si="19"/>
        <v/>
      </c>
      <c r="L128" s="43" t="str">
        <f ca="1">IF($A128="","",IF(COUNTIFS(Dividends!$G:$G,"&gt;"&amp;INT($A127),Dividends!$G:$G,"&lt;="&amp;INT($A128))=0,"",$H$2*SUMIFS(Dividends!$H:$H,Dividends!$G:$G,"&gt;"&amp;INT($A127),Dividends!$G:$G,"&lt;="&amp;INT($A128))))</f>
        <v/>
      </c>
      <c r="M128" s="44" t="str">
        <f ca="1">IF(ISERROR(B128-2),"",C128+D128-F128-G128-K128+SUM($L$14:L128))</f>
        <v/>
      </c>
      <c r="U128" s="3" t="str">
        <f t="shared" si="10"/>
        <v/>
      </c>
      <c r="V128" s="3" t="str">
        <f t="shared" si="11"/>
        <v/>
      </c>
      <c r="Z128" s="3">
        <v>45958</v>
      </c>
      <c r="AA128" s="4">
        <v>245.49199999999999</v>
      </c>
      <c r="AB128" s="6">
        <v>45958</v>
      </c>
      <c r="AC128" s="4">
        <v>258.21699999999998</v>
      </c>
      <c r="AD128" s="6">
        <f t="shared" si="12"/>
        <v>45958</v>
      </c>
    </row>
    <row r="129" spans="1:30" x14ac:dyDescent="0.25">
      <c r="A129" s="39" t="str">
        <f t="shared" ca="1" si="13"/>
        <v/>
      </c>
      <c r="B129" s="40" t="str">
        <f ca="1">IF(COUNTIF($W$2:W1114,A129)=1,VLOOKUP(A129,O:P,2), IF(COUNTIF($W$2:W1114,A129)=0,$B$9,""))</f>
        <v/>
      </c>
      <c r="C129" s="2" t="str">
        <f t="shared" ca="1" si="14"/>
        <v/>
      </c>
      <c r="D129" s="43" t="str">
        <f t="shared" ca="1" si="15"/>
        <v/>
      </c>
      <c r="E129" s="40" t="str">
        <f ca="1">IF(COUNTIF($W$2:W1114,A129)=1,VLOOKUP(A129,Q:R,2), IF(COUNTIF($W$2:W1114,A129)=0,$C$9,""))</f>
        <v/>
      </c>
      <c r="F129" s="2" t="str">
        <f t="shared" ca="1" si="16"/>
        <v/>
      </c>
      <c r="G129" s="43" t="str">
        <f t="shared" ca="1" si="17"/>
        <v/>
      </c>
      <c r="H129" s="40" t="str">
        <f ca="1">IF(COUNTIF($W$2:W1114,A129)=1,VLOOKUP(A129,S:T,2), IF(COUNTIF($W$2:W1114,A129)=0,$D$9,""))</f>
        <v/>
      </c>
      <c r="I129" s="41" t="str">
        <f ca="1">IF(COUNTIF($X$2:X1114,INT(A129))=1,VLOOKUP(INT(A129),X:Y,2), IF(ISERROR(H129-2),"",I128*(1-$D$8*(H129-H128)*0.0001)))</f>
        <v/>
      </c>
      <c r="J129" s="41" t="str">
        <f t="shared" ca="1" si="18"/>
        <v/>
      </c>
      <c r="K129" s="43" t="str">
        <f t="shared" ca="1" si="19"/>
        <v/>
      </c>
      <c r="L129" s="43" t="str">
        <f ca="1">IF($A129="","",IF(COUNTIFS(Dividends!$G:$G,"&gt;"&amp;INT($A128),Dividends!$G:$G,"&lt;="&amp;INT($A129))=0,"",$H$2*SUMIFS(Dividends!$H:$H,Dividends!$G:$G,"&gt;"&amp;INT($A128),Dividends!$G:$G,"&lt;="&amp;INT($A129))))</f>
        <v/>
      </c>
      <c r="M129" s="44" t="str">
        <f ca="1">IF(ISERROR(B129-2),"",C129+D129-F129-G129-K129+SUM($L$14:L129))</f>
        <v/>
      </c>
      <c r="U129" s="3" t="str">
        <f t="shared" si="10"/>
        <v/>
      </c>
      <c r="V129" s="3" t="str">
        <f t="shared" si="11"/>
        <v/>
      </c>
      <c r="Z129" s="3">
        <v>45959</v>
      </c>
      <c r="AA129" s="4">
        <v>245.55119999999999</v>
      </c>
      <c r="AB129" s="6">
        <v>45959</v>
      </c>
      <c r="AC129" s="4">
        <v>258.82100000000003</v>
      </c>
      <c r="AD129" s="6">
        <f t="shared" si="12"/>
        <v>45959</v>
      </c>
    </row>
    <row r="130" spans="1:30" x14ac:dyDescent="0.25">
      <c r="A130" s="39" t="str">
        <f t="shared" ca="1" si="13"/>
        <v/>
      </c>
      <c r="B130" s="40" t="str">
        <f ca="1">IF(COUNTIF($W$2:W1115,A130)=1,VLOOKUP(A130,O:P,2), IF(COUNTIF($W$2:W1115,A130)=0,$B$9,""))</f>
        <v/>
      </c>
      <c r="C130" s="2" t="str">
        <f t="shared" ca="1" si="14"/>
        <v/>
      </c>
      <c r="D130" s="43" t="str">
        <f t="shared" ca="1" si="15"/>
        <v/>
      </c>
      <c r="E130" s="40" t="str">
        <f ca="1">IF(COUNTIF($W$2:W1115,A130)=1,VLOOKUP(A130,Q:R,2), IF(COUNTIF($W$2:W1115,A130)=0,$C$9,""))</f>
        <v/>
      </c>
      <c r="F130" s="2" t="str">
        <f t="shared" ca="1" si="16"/>
        <v/>
      </c>
      <c r="G130" s="43" t="str">
        <f t="shared" ca="1" si="17"/>
        <v/>
      </c>
      <c r="H130" s="40" t="str">
        <f ca="1">IF(COUNTIF($W$2:W1115,A130)=1,VLOOKUP(A130,S:T,2), IF(COUNTIF($W$2:W1115,A130)=0,$D$9,""))</f>
        <v/>
      </c>
      <c r="I130" s="41" t="str">
        <f ca="1">IF(COUNTIF($X$2:X1115,INT(A130))=1,VLOOKUP(INT(A130),X:Y,2), IF(ISERROR(H130-2),"",I129*(1-$D$8*(H130-H129)*0.0001)))</f>
        <v/>
      </c>
      <c r="J130" s="41" t="str">
        <f t="shared" ca="1" si="18"/>
        <v/>
      </c>
      <c r="K130" s="43" t="str">
        <f t="shared" ca="1" si="19"/>
        <v/>
      </c>
      <c r="L130" s="43" t="str">
        <f ca="1">IF($A130="","",IF(COUNTIFS(Dividends!$G:$G,"&gt;"&amp;INT($A129),Dividends!$G:$G,"&lt;="&amp;INT($A130))=0,"",$H$2*SUMIFS(Dividends!$H:$H,Dividends!$G:$G,"&gt;"&amp;INT($A129),Dividends!$G:$G,"&lt;="&amp;INT($A130))))</f>
        <v/>
      </c>
      <c r="M130" s="44" t="str">
        <f ca="1">IF(ISERROR(B130-2),"",C130+D130-F130-G130-K130+SUM($L$14:L130))</f>
        <v/>
      </c>
      <c r="U130" s="3" t="str">
        <f t="shared" si="10"/>
        <v/>
      </c>
      <c r="V130" s="3" t="str">
        <f t="shared" si="11"/>
        <v/>
      </c>
      <c r="Z130" s="3">
        <v>45960</v>
      </c>
      <c r="AA130" s="4">
        <v>245.16900000000001</v>
      </c>
      <c r="AB130" s="6">
        <v>45960</v>
      </c>
      <c r="AC130" s="4">
        <v>262.49700000000001</v>
      </c>
      <c r="AD130" s="6">
        <f t="shared" si="12"/>
        <v>45960</v>
      </c>
    </row>
    <row r="131" spans="1:30" x14ac:dyDescent="0.25">
      <c r="A131" s="39" t="str">
        <f t="shared" ca="1" si="13"/>
        <v/>
      </c>
      <c r="B131" s="40" t="str">
        <f ca="1">IF(COUNTIF($W$2:W1116,A131)=1,VLOOKUP(A131,O:P,2), IF(COUNTIF($W$2:W1116,A131)=0,$B$9,""))</f>
        <v/>
      </c>
      <c r="C131" s="2" t="str">
        <f t="shared" ca="1" si="14"/>
        <v/>
      </c>
      <c r="D131" s="43" t="str">
        <f t="shared" ca="1" si="15"/>
        <v/>
      </c>
      <c r="E131" s="40" t="str">
        <f ca="1">IF(COUNTIF($W$2:W1116,A131)=1,VLOOKUP(A131,Q:R,2), IF(COUNTIF($W$2:W1116,A131)=0,$C$9,""))</f>
        <v/>
      </c>
      <c r="F131" s="2" t="str">
        <f t="shared" ca="1" si="16"/>
        <v/>
      </c>
      <c r="G131" s="43" t="str">
        <f t="shared" ca="1" si="17"/>
        <v/>
      </c>
      <c r="H131" s="40" t="str">
        <f ca="1">IF(COUNTIF($W$2:W1116,A131)=1,VLOOKUP(A131,S:T,2), IF(COUNTIF($W$2:W1116,A131)=0,$D$9,""))</f>
        <v/>
      </c>
      <c r="I131" s="41" t="str">
        <f ca="1">IF(COUNTIF($X$2:X1116,INT(A131))=1,VLOOKUP(INT(A131),X:Y,2), IF(ISERROR(H131-2),"",I130*(1-$D$8*(H131-H130)*0.0001)))</f>
        <v/>
      </c>
      <c r="J131" s="41" t="str">
        <f t="shared" ca="1" si="18"/>
        <v/>
      </c>
      <c r="K131" s="43" t="str">
        <f t="shared" ca="1" si="19"/>
        <v/>
      </c>
      <c r="L131" s="43" t="str">
        <f ca="1">IF($A131="","",IF(COUNTIFS(Dividends!$G:$G,"&gt;"&amp;INT($A130),Dividends!$G:$G,"&lt;="&amp;INT($A131))=0,"",$H$2*SUMIFS(Dividends!$H:$H,Dividends!$G:$G,"&gt;"&amp;INT($A130),Dividends!$G:$G,"&lt;="&amp;INT($A131))))</f>
        <v/>
      </c>
      <c r="M131" s="44" t="str">
        <f ca="1">IF(ISERROR(B131-2),"",C131+D131-F131-G131-K131+SUM($L$14:L131))</f>
        <v/>
      </c>
      <c r="U131" s="3" t="str">
        <f t="shared" si="10"/>
        <v/>
      </c>
      <c r="V131" s="3" t="str">
        <f t="shared" si="11"/>
        <v/>
      </c>
      <c r="Z131" s="3">
        <v>45961</v>
      </c>
      <c r="AA131" s="4">
        <v>244.8545</v>
      </c>
      <c r="AB131" s="6">
        <v>45961</v>
      </c>
      <c r="AC131" s="4">
        <v>265.971</v>
      </c>
      <c r="AD131" s="6">
        <f t="shared" si="12"/>
        <v>45961</v>
      </c>
    </row>
    <row r="132" spans="1:30" x14ac:dyDescent="0.25">
      <c r="A132" s="39" t="str">
        <f t="shared" ca="1" si="13"/>
        <v/>
      </c>
      <c r="B132" s="40" t="str">
        <f ca="1">IF(COUNTIF($W$2:W1117,A132)=1,VLOOKUP(A132,O:P,2), IF(COUNTIF($W$2:W1117,A132)=0,$B$9,""))</f>
        <v/>
      </c>
      <c r="C132" s="2" t="str">
        <f t="shared" ca="1" si="14"/>
        <v/>
      </c>
      <c r="D132" s="43" t="str">
        <f t="shared" ca="1" si="15"/>
        <v/>
      </c>
      <c r="E132" s="40" t="str">
        <f ca="1">IF(COUNTIF($W$2:W1117,A132)=1,VLOOKUP(A132,Q:R,2), IF(COUNTIF($W$2:W1117,A132)=0,$C$9,""))</f>
        <v/>
      </c>
      <c r="F132" s="2" t="str">
        <f t="shared" ca="1" si="16"/>
        <v/>
      </c>
      <c r="G132" s="43" t="str">
        <f t="shared" ca="1" si="17"/>
        <v/>
      </c>
      <c r="H132" s="40" t="str">
        <f ca="1">IF(COUNTIF($W$2:W1117,A132)=1,VLOOKUP(A132,S:T,2), IF(COUNTIF($W$2:W1117,A132)=0,$D$9,""))</f>
        <v/>
      </c>
      <c r="I132" s="41" t="str">
        <f ca="1">IF(COUNTIF($X$2:X1117,INT(A132))=1,VLOOKUP(INT(A132),X:Y,2), IF(ISERROR(H132-2),"",I131*(1-$D$8*(H132-H131)*0.0001)))</f>
        <v/>
      </c>
      <c r="J132" s="41" t="str">
        <f t="shared" ca="1" si="18"/>
        <v/>
      </c>
      <c r="K132" s="43" t="str">
        <f t="shared" ca="1" si="19"/>
        <v/>
      </c>
      <c r="L132" s="43" t="str">
        <f ca="1">IF($A132="","",IF(COUNTIFS(Dividends!$G:$G,"&gt;"&amp;INT($A131),Dividends!$G:$G,"&lt;="&amp;INT($A132))=0,"",$H$2*SUMIFS(Dividends!$H:$H,Dividends!$G:$G,"&gt;"&amp;INT($A131),Dividends!$G:$G,"&lt;="&amp;INT($A132))))</f>
        <v/>
      </c>
      <c r="M132" s="44" t="str">
        <f ca="1">IF(ISERROR(B132-2),"",C132+D132-F132-G132-K132+SUM($L$14:L132))</f>
        <v/>
      </c>
      <c r="U132" s="3" t="str">
        <f t="shared" ref="U132:U195" si="20">IF(COUNTIF(Q:Q,O132)*COUNTIF(S:S,O132),O132,"")</f>
        <v/>
      </c>
      <c r="V132" s="3" t="str">
        <f t="shared" ref="V132:V195" si="21">IF(U132&gt;$A$14,U132,"")</f>
        <v/>
      </c>
      <c r="Z132" s="3">
        <v>45964</v>
      </c>
      <c r="AA132" s="4">
        <v>244.89699999999999</v>
      </c>
      <c r="AB132" s="6">
        <v>45964</v>
      </c>
      <c r="AC132" s="4">
        <v>264.774</v>
      </c>
      <c r="AD132" s="6">
        <f t="shared" ref="AD132:AD195" si="22">IF(COUNTIF(AB:AB,Z132),Z132,"")</f>
        <v>45964</v>
      </c>
    </row>
    <row r="133" spans="1:30" x14ac:dyDescent="0.25">
      <c r="A133" s="39" t="str">
        <f t="shared" ca="1" si="13"/>
        <v/>
      </c>
      <c r="B133" s="40" t="str">
        <f ca="1">IF(COUNTIF($W$2:W1118,A133)=1,VLOOKUP(A133,O:P,2), IF(COUNTIF($W$2:W1118,A133)=0,$B$9,""))</f>
        <v/>
      </c>
      <c r="C133" s="2" t="str">
        <f t="shared" ca="1" si="14"/>
        <v/>
      </c>
      <c r="D133" s="43" t="str">
        <f t="shared" ca="1" si="15"/>
        <v/>
      </c>
      <c r="E133" s="40" t="str">
        <f ca="1">IF(COUNTIF($W$2:W1118,A133)=1,VLOOKUP(A133,Q:R,2), IF(COUNTIF($W$2:W1118,A133)=0,$C$9,""))</f>
        <v/>
      </c>
      <c r="F133" s="2" t="str">
        <f t="shared" ca="1" si="16"/>
        <v/>
      </c>
      <c r="G133" s="43" t="str">
        <f t="shared" ca="1" si="17"/>
        <v/>
      </c>
      <c r="H133" s="40" t="str">
        <f ca="1">IF(COUNTIF($W$2:W1118,A133)=1,VLOOKUP(A133,S:T,2), IF(COUNTIF($W$2:W1118,A133)=0,$D$9,""))</f>
        <v/>
      </c>
      <c r="I133" s="41" t="str">
        <f ca="1">IF(COUNTIF($X$2:X1118,INT(A133))=1,VLOOKUP(INT(A133),X:Y,2), IF(ISERROR(H133-2),"",I132*(1-$D$8*(H133-H132)*0.0001)))</f>
        <v/>
      </c>
      <c r="J133" s="41" t="str">
        <f t="shared" ca="1" si="18"/>
        <v/>
      </c>
      <c r="K133" s="43" t="str">
        <f t="shared" ca="1" si="19"/>
        <v/>
      </c>
      <c r="L133" s="43" t="str">
        <f ca="1">IF($A133="","",IF(COUNTIFS(Dividends!$G:$G,"&gt;"&amp;INT($A132),Dividends!$G:$G,"&lt;="&amp;INT($A133))=0,"",$H$2*SUMIFS(Dividends!$H:$H,Dividends!$G:$G,"&gt;"&amp;INT($A132),Dividends!$G:$G,"&lt;="&amp;INT($A133))))</f>
        <v/>
      </c>
      <c r="M133" s="44" t="str">
        <f ca="1">IF(ISERROR(B133-2),"",C133+D133-F133-G133-K133+SUM($L$14:L133))</f>
        <v/>
      </c>
      <c r="U133" s="3" t="str">
        <f t="shared" si="20"/>
        <v/>
      </c>
      <c r="V133" s="3" t="str">
        <f t="shared" si="21"/>
        <v/>
      </c>
      <c r="Z133" s="3">
        <v>45965</v>
      </c>
      <c r="AA133" s="4">
        <v>244.79839999999999</v>
      </c>
      <c r="AB133" s="6">
        <v>45965</v>
      </c>
      <c r="AC133" s="4">
        <v>265.75200000000001</v>
      </c>
      <c r="AD133" s="6">
        <f t="shared" si="22"/>
        <v>45965</v>
      </c>
    </row>
    <row r="134" spans="1:30" x14ac:dyDescent="0.25">
      <c r="A134" s="39" t="str">
        <f t="shared" ca="1" si="13"/>
        <v/>
      </c>
      <c r="B134" s="40" t="str">
        <f ca="1">IF(COUNTIF($W$2:W1119,A134)=1,VLOOKUP(A134,O:P,2), IF(COUNTIF($W$2:W1119,A134)=0,$B$9,""))</f>
        <v/>
      </c>
      <c r="C134" s="2" t="str">
        <f t="shared" ca="1" si="14"/>
        <v/>
      </c>
      <c r="D134" s="43" t="str">
        <f t="shared" ca="1" si="15"/>
        <v/>
      </c>
      <c r="E134" s="40" t="str">
        <f ca="1">IF(COUNTIF($W$2:W1119,A134)=1,VLOOKUP(A134,Q:R,2), IF(COUNTIF($W$2:W1119,A134)=0,$C$9,""))</f>
        <v/>
      </c>
      <c r="F134" s="2" t="str">
        <f t="shared" ca="1" si="16"/>
        <v/>
      </c>
      <c r="G134" s="43" t="str">
        <f t="shared" ca="1" si="17"/>
        <v/>
      </c>
      <c r="H134" s="40" t="str">
        <f ca="1">IF(COUNTIF($W$2:W1119,A134)=1,VLOOKUP(A134,S:T,2), IF(COUNTIF($W$2:W1119,A134)=0,$D$9,""))</f>
        <v/>
      </c>
      <c r="I134" s="41" t="str">
        <f ca="1">IF(COUNTIF($X$2:X1119,INT(A134))=1,VLOOKUP(INT(A134),X:Y,2), IF(ISERROR(H134-2),"",I133*(1-$D$8*(H134-H133)*0.0001)))</f>
        <v/>
      </c>
      <c r="J134" s="41" t="str">
        <f t="shared" ca="1" si="18"/>
        <v/>
      </c>
      <c r="K134" s="43" t="str">
        <f t="shared" ca="1" si="19"/>
        <v/>
      </c>
      <c r="L134" s="43" t="str">
        <f ca="1">IF($A134="","",IF(COUNTIFS(Dividends!$G:$G,"&gt;"&amp;INT($A133),Dividends!$G:$G,"&lt;="&amp;INT($A134))=0,"",$H$2*SUMIFS(Dividends!$H:$H,Dividends!$G:$G,"&gt;"&amp;INT($A133),Dividends!$G:$G,"&lt;="&amp;INT($A134))))</f>
        <v/>
      </c>
      <c r="M134" s="44" t="str">
        <f ca="1">IF(ISERROR(B134-2),"",C134+D134-F134-G134-K134+SUM($L$14:L134))</f>
        <v/>
      </c>
      <c r="U134" s="3" t="str">
        <f t="shared" si="20"/>
        <v/>
      </c>
      <c r="V134" s="3" t="str">
        <f t="shared" si="21"/>
        <v/>
      </c>
      <c r="Z134" s="3">
        <v>45966</v>
      </c>
      <c r="AA134" s="4">
        <v>245.10939999999999</v>
      </c>
      <c r="AB134" s="6">
        <v>45966</v>
      </c>
      <c r="AC134" s="4">
        <v>262.87900000000002</v>
      </c>
      <c r="AD134" s="6">
        <f t="shared" si="22"/>
        <v>45966</v>
      </c>
    </row>
    <row r="135" spans="1:30" x14ac:dyDescent="0.25">
      <c r="A135" s="39" t="str">
        <f t="shared" ca="1" si="13"/>
        <v/>
      </c>
      <c r="B135" s="40" t="str">
        <f ca="1">IF(COUNTIF($W$2:W1120,A135)=1,VLOOKUP(A135,O:P,2), IF(COUNTIF($W$2:W1120,A135)=0,$B$9,""))</f>
        <v/>
      </c>
      <c r="C135" s="2" t="str">
        <f t="shared" ca="1" si="14"/>
        <v/>
      </c>
      <c r="D135" s="43" t="str">
        <f t="shared" ca="1" si="15"/>
        <v/>
      </c>
      <c r="E135" s="40" t="str">
        <f ca="1">IF(COUNTIF($W$2:W1120,A135)=1,VLOOKUP(A135,Q:R,2), IF(COUNTIF($W$2:W1120,A135)=0,$C$9,""))</f>
        <v/>
      </c>
      <c r="F135" s="2" t="str">
        <f t="shared" ca="1" si="16"/>
        <v/>
      </c>
      <c r="G135" s="43" t="str">
        <f t="shared" ca="1" si="17"/>
        <v/>
      </c>
      <c r="H135" s="40" t="str">
        <f ca="1">IF(COUNTIF($W$2:W1120,A135)=1,VLOOKUP(A135,S:T,2), IF(COUNTIF($W$2:W1120,A135)=0,$D$9,""))</f>
        <v/>
      </c>
      <c r="I135" s="41" t="str">
        <f ca="1">IF(COUNTIF($X$2:X1120,INT(A135))=1,VLOOKUP(INT(A135),X:Y,2), IF(ISERROR(H135-2),"",I134*(1-$D$8*(H135-H134)*0.0001)))</f>
        <v/>
      </c>
      <c r="J135" s="41" t="str">
        <f t="shared" ca="1" si="18"/>
        <v/>
      </c>
      <c r="K135" s="43" t="str">
        <f t="shared" ca="1" si="19"/>
        <v/>
      </c>
      <c r="L135" s="43" t="str">
        <f ca="1">IF($A135="","",IF(COUNTIFS(Dividends!$G:$G,"&gt;"&amp;INT($A134),Dividends!$G:$G,"&lt;="&amp;INT($A135))=0,"",$H$2*SUMIFS(Dividends!$H:$H,Dividends!$G:$G,"&gt;"&amp;INT($A134),Dividends!$G:$G,"&lt;="&amp;INT($A135))))</f>
        <v/>
      </c>
      <c r="M135" s="44" t="str">
        <f ca="1">IF(ISERROR(B135-2),"",C135+D135-F135-G135-K135+SUM($L$14:L135))</f>
        <v/>
      </c>
      <c r="U135" s="3" t="str">
        <f t="shared" si="20"/>
        <v/>
      </c>
      <c r="V135" s="3" t="str">
        <f t="shared" si="21"/>
        <v/>
      </c>
      <c r="Z135" s="3">
        <v>45967</v>
      </c>
      <c r="AA135" s="4">
        <v>244.75219999999999</v>
      </c>
      <c r="AB135" s="6">
        <v>45967</v>
      </c>
      <c r="AC135" s="4">
        <v>268.62700000000001</v>
      </c>
      <c r="AD135" s="6">
        <f t="shared" si="22"/>
        <v>45967</v>
      </c>
    </row>
    <row r="136" spans="1:30" x14ac:dyDescent="0.25">
      <c r="A136" s="39" t="str">
        <f t="shared" ca="1" si="13"/>
        <v/>
      </c>
      <c r="B136" s="40" t="str">
        <f ca="1">IF(COUNTIF($W$2:W1121,A136)=1,VLOOKUP(A136,O:P,2), IF(COUNTIF($W$2:W1121,A136)=0,$B$9,""))</f>
        <v/>
      </c>
      <c r="C136" s="2" t="str">
        <f t="shared" ca="1" si="14"/>
        <v/>
      </c>
      <c r="D136" s="43" t="str">
        <f t="shared" ca="1" si="15"/>
        <v/>
      </c>
      <c r="E136" s="40" t="str">
        <f ca="1">IF(COUNTIF($W$2:W1121,A136)=1,VLOOKUP(A136,Q:R,2), IF(COUNTIF($W$2:W1121,A136)=0,$C$9,""))</f>
        <v/>
      </c>
      <c r="F136" s="2" t="str">
        <f t="shared" ca="1" si="16"/>
        <v/>
      </c>
      <c r="G136" s="43" t="str">
        <f t="shared" ca="1" si="17"/>
        <v/>
      </c>
      <c r="H136" s="40" t="str">
        <f ca="1">IF(COUNTIF($W$2:W1121,A136)=1,VLOOKUP(A136,S:T,2), IF(COUNTIF($W$2:W1121,A136)=0,$D$9,""))</f>
        <v/>
      </c>
      <c r="I136" s="41" t="str">
        <f ca="1">IF(COUNTIF($X$2:X1121,INT(A136))=1,VLOOKUP(INT(A136),X:Y,2), IF(ISERROR(H136-2),"",I135*(1-$D$8*(H136-H135)*0.0001)))</f>
        <v/>
      </c>
      <c r="J136" s="41" t="str">
        <f t="shared" ca="1" si="18"/>
        <v/>
      </c>
      <c r="K136" s="43" t="str">
        <f t="shared" ca="1" si="19"/>
        <v/>
      </c>
      <c r="L136" s="43" t="str">
        <f ca="1">IF($A136="","",IF(COUNTIFS(Dividends!$G:$G,"&gt;"&amp;INT($A135),Dividends!$G:$G,"&lt;="&amp;INT($A136))=0,"",$H$2*SUMIFS(Dividends!$H:$H,Dividends!$G:$G,"&gt;"&amp;INT($A135),Dividends!$G:$G,"&lt;="&amp;INT($A136))))</f>
        <v/>
      </c>
      <c r="M136" s="44" t="str">
        <f ca="1">IF(ISERROR(B136-2),"",C136+D136-F136-G136-K136+SUM($L$14:L136))</f>
        <v/>
      </c>
      <c r="U136" s="3" t="str">
        <f t="shared" si="20"/>
        <v/>
      </c>
      <c r="V136" s="3" t="str">
        <f t="shared" si="21"/>
        <v/>
      </c>
      <c r="Z136" s="3">
        <v>45968</v>
      </c>
      <c r="AA136" s="4">
        <v>244.27430000000001</v>
      </c>
      <c r="AB136" s="6">
        <v>45968</v>
      </c>
      <c r="AC136" s="4">
        <v>272.18799999999999</v>
      </c>
      <c r="AD136" s="6">
        <f t="shared" si="22"/>
        <v>45968</v>
      </c>
    </row>
    <row r="137" spans="1:30" x14ac:dyDescent="0.25">
      <c r="A137" s="39" t="str">
        <f t="shared" ca="1" si="13"/>
        <v/>
      </c>
      <c r="B137" s="40" t="str">
        <f ca="1">IF(COUNTIF($W$2:W1122,A137)=1,VLOOKUP(A137,O:P,2), IF(COUNTIF($W$2:W1122,A137)=0,$B$9,""))</f>
        <v/>
      </c>
      <c r="C137" s="2" t="str">
        <f t="shared" ca="1" si="14"/>
        <v/>
      </c>
      <c r="D137" s="43" t="str">
        <f t="shared" ca="1" si="15"/>
        <v/>
      </c>
      <c r="E137" s="40" t="str">
        <f ca="1">IF(COUNTIF($W$2:W1122,A137)=1,VLOOKUP(A137,Q:R,2), IF(COUNTIF($W$2:W1122,A137)=0,$C$9,""))</f>
        <v/>
      </c>
      <c r="F137" s="2" t="str">
        <f t="shared" ca="1" si="16"/>
        <v/>
      </c>
      <c r="G137" s="43" t="str">
        <f t="shared" ca="1" si="17"/>
        <v/>
      </c>
      <c r="H137" s="40" t="str">
        <f ca="1">IF(COUNTIF($W$2:W1122,A137)=1,VLOOKUP(A137,S:T,2), IF(COUNTIF($W$2:W1122,A137)=0,$D$9,""))</f>
        <v/>
      </c>
      <c r="I137" s="41" t="str">
        <f ca="1">IF(COUNTIF($X$2:X1122,INT(A137))=1,VLOOKUP(INT(A137),X:Y,2), IF(ISERROR(H137-2),"",I136*(1-$D$8*(H137-H136)*0.0001)))</f>
        <v/>
      </c>
      <c r="J137" s="41" t="str">
        <f t="shared" ca="1" si="18"/>
        <v/>
      </c>
      <c r="K137" s="43" t="str">
        <f t="shared" ca="1" si="19"/>
        <v/>
      </c>
      <c r="L137" s="43" t="str">
        <f ca="1">IF($A137="","",IF(COUNTIFS(Dividends!$G:$G,"&gt;"&amp;INT($A136),Dividends!$G:$G,"&lt;="&amp;INT($A137))=0,"",$H$2*SUMIFS(Dividends!$H:$H,Dividends!$G:$G,"&gt;"&amp;INT($A136),Dividends!$G:$G,"&lt;="&amp;INT($A137))))</f>
        <v/>
      </c>
      <c r="M137" s="44" t="str">
        <f ca="1">IF(ISERROR(B137-2),"",C137+D137-F137-G137-K137+SUM($L$14:L137))</f>
        <v/>
      </c>
      <c r="U137" s="3" t="str">
        <f t="shared" si="20"/>
        <v/>
      </c>
      <c r="V137" s="3" t="str">
        <f t="shared" si="21"/>
        <v/>
      </c>
      <c r="Z137" s="3">
        <v>45971</v>
      </c>
      <c r="AA137" s="4">
        <v>245.4716</v>
      </c>
      <c r="AB137" s="6">
        <v>45971</v>
      </c>
      <c r="AC137" s="4">
        <v>261.46800000000002</v>
      </c>
      <c r="AD137" s="6">
        <f t="shared" si="22"/>
        <v>45971</v>
      </c>
    </row>
    <row r="138" spans="1:30" x14ac:dyDescent="0.25">
      <c r="A138" s="39" t="str">
        <f t="shared" ca="1" si="13"/>
        <v/>
      </c>
      <c r="B138" s="40" t="str">
        <f ca="1">IF(COUNTIF($W$2:W1123,A138)=1,VLOOKUP(A138,O:P,2), IF(COUNTIF($W$2:W1123,A138)=0,$B$9,""))</f>
        <v/>
      </c>
      <c r="C138" s="2" t="str">
        <f t="shared" ca="1" si="14"/>
        <v/>
      </c>
      <c r="D138" s="43" t="str">
        <f t="shared" ca="1" si="15"/>
        <v/>
      </c>
      <c r="E138" s="40" t="str">
        <f ca="1">IF(COUNTIF($W$2:W1123,A138)=1,VLOOKUP(A138,Q:R,2), IF(COUNTIF($W$2:W1123,A138)=0,$C$9,""))</f>
        <v/>
      </c>
      <c r="F138" s="2" t="str">
        <f t="shared" ca="1" si="16"/>
        <v/>
      </c>
      <c r="G138" s="43" t="str">
        <f t="shared" ca="1" si="17"/>
        <v/>
      </c>
      <c r="H138" s="40" t="str">
        <f ca="1">IF(COUNTIF($W$2:W1123,A138)=1,VLOOKUP(A138,S:T,2), IF(COUNTIF($W$2:W1123,A138)=0,$D$9,""))</f>
        <v/>
      </c>
      <c r="I138" s="41" t="str">
        <f ca="1">IF(COUNTIF($X$2:X1123,INT(A138))=1,VLOOKUP(INT(A138),X:Y,2), IF(ISERROR(H138-2),"",I137*(1-$D$8*(H138-H137)*0.0001)))</f>
        <v/>
      </c>
      <c r="J138" s="41" t="str">
        <f t="shared" ca="1" si="18"/>
        <v/>
      </c>
      <c r="K138" s="43" t="str">
        <f t="shared" ca="1" si="19"/>
        <v/>
      </c>
      <c r="L138" s="43" t="str">
        <f ca="1">IF($A138="","",IF(COUNTIFS(Dividends!$G:$G,"&gt;"&amp;INT($A137),Dividends!$G:$G,"&lt;="&amp;INT($A138))=0,"",$H$2*SUMIFS(Dividends!$H:$H,Dividends!$G:$G,"&gt;"&amp;INT($A137),Dividends!$G:$G,"&lt;="&amp;INT($A138))))</f>
        <v/>
      </c>
      <c r="M138" s="44" t="str">
        <f ca="1">IF(ISERROR(B138-2),"",C138+D138-F138-G138-K138+SUM($L$14:L138))</f>
        <v/>
      </c>
      <c r="U138" s="3" t="str">
        <f t="shared" si="20"/>
        <v/>
      </c>
      <c r="V138" s="3" t="str">
        <f t="shared" si="21"/>
        <v/>
      </c>
      <c r="Z138" s="3">
        <v>45972</v>
      </c>
      <c r="AA138" s="4">
        <v>245.6224</v>
      </c>
      <c r="AB138" s="6">
        <v>45972</v>
      </c>
      <c r="AC138" s="4">
        <v>260.42200000000003</v>
      </c>
      <c r="AD138" s="6">
        <f t="shared" si="22"/>
        <v>45972</v>
      </c>
    </row>
    <row r="139" spans="1:30" x14ac:dyDescent="0.25">
      <c r="A139" s="39" t="str">
        <f t="shared" ca="1" si="13"/>
        <v/>
      </c>
      <c r="B139" s="40" t="str">
        <f ca="1">IF(COUNTIF($W$2:W1124,A139)=1,VLOOKUP(A139,O:P,2), IF(COUNTIF($W$2:W1124,A139)=0,$B$9,""))</f>
        <v/>
      </c>
      <c r="C139" s="2" t="str">
        <f t="shared" ca="1" si="14"/>
        <v/>
      </c>
      <c r="D139" s="43" t="str">
        <f t="shared" ca="1" si="15"/>
        <v/>
      </c>
      <c r="E139" s="40" t="str">
        <f ca="1">IF(COUNTIF($W$2:W1124,A139)=1,VLOOKUP(A139,Q:R,2), IF(COUNTIF($W$2:W1124,A139)=0,$C$9,""))</f>
        <v/>
      </c>
      <c r="F139" s="2" t="str">
        <f t="shared" ca="1" si="16"/>
        <v/>
      </c>
      <c r="G139" s="43" t="str">
        <f t="shared" ca="1" si="17"/>
        <v/>
      </c>
      <c r="H139" s="40" t="str">
        <f ca="1">IF(COUNTIF($W$2:W1124,A139)=1,VLOOKUP(A139,S:T,2), IF(COUNTIF($W$2:W1124,A139)=0,$D$9,""))</f>
        <v/>
      </c>
      <c r="I139" s="41" t="str">
        <f ca="1">IF(COUNTIF($X$2:X1124,INT(A139))=1,VLOOKUP(INT(A139),X:Y,2), IF(ISERROR(H139-2),"",I138*(1-$D$8*(H139-H138)*0.0001)))</f>
        <v/>
      </c>
      <c r="J139" s="41" t="str">
        <f t="shared" ca="1" si="18"/>
        <v/>
      </c>
      <c r="K139" s="43" t="str">
        <f t="shared" ca="1" si="19"/>
        <v/>
      </c>
      <c r="L139" s="43" t="str">
        <f ca="1">IF($A139="","",IF(COUNTIFS(Dividends!$G:$G,"&gt;"&amp;INT($A138),Dividends!$G:$G,"&lt;="&amp;INT($A139))=0,"",$H$2*SUMIFS(Dividends!$H:$H,Dividends!$G:$G,"&gt;"&amp;INT($A138),Dividends!$G:$G,"&lt;="&amp;INT($A139))))</f>
        <v/>
      </c>
      <c r="M139" s="44" t="str">
        <f ca="1">IF(ISERROR(B139-2),"",C139+D139-F139-G139-K139+SUM($L$14:L139))</f>
        <v/>
      </c>
      <c r="U139" s="3" t="str">
        <f t="shared" si="20"/>
        <v/>
      </c>
      <c r="V139" s="3" t="str">
        <f t="shared" si="21"/>
        <v/>
      </c>
      <c r="Z139" s="3">
        <v>45973</v>
      </c>
      <c r="AA139" s="4">
        <v>245.78739999999999</v>
      </c>
      <c r="AB139" s="6">
        <v>45973</v>
      </c>
      <c r="AC139" s="4">
        <v>259.49700000000001</v>
      </c>
      <c r="AD139" s="6">
        <f t="shared" si="22"/>
        <v>45973</v>
      </c>
    </row>
    <row r="140" spans="1:30" x14ac:dyDescent="0.25">
      <c r="A140" s="39" t="str">
        <f t="shared" ca="1" si="13"/>
        <v/>
      </c>
      <c r="B140" s="40" t="str">
        <f ca="1">IF(COUNTIF($W$2:W1125,A140)=1,VLOOKUP(A140,O:P,2), IF(COUNTIF($W$2:W1125,A140)=0,$B$9,""))</f>
        <v/>
      </c>
      <c r="C140" s="2" t="str">
        <f t="shared" ca="1" si="14"/>
        <v/>
      </c>
      <c r="D140" s="43" t="str">
        <f t="shared" ca="1" si="15"/>
        <v/>
      </c>
      <c r="E140" s="40" t="str">
        <f ca="1">IF(COUNTIF($W$2:W1125,A140)=1,VLOOKUP(A140,Q:R,2), IF(COUNTIF($W$2:W1125,A140)=0,$C$9,""))</f>
        <v/>
      </c>
      <c r="F140" s="2" t="str">
        <f t="shared" ca="1" si="16"/>
        <v/>
      </c>
      <c r="G140" s="43" t="str">
        <f t="shared" ca="1" si="17"/>
        <v/>
      </c>
      <c r="H140" s="40" t="str">
        <f ca="1">IF(COUNTIF($W$2:W1125,A140)=1,VLOOKUP(A140,S:T,2), IF(COUNTIF($W$2:W1125,A140)=0,$D$9,""))</f>
        <v/>
      </c>
      <c r="I140" s="41" t="str">
        <f ca="1">IF(COUNTIF($X$2:X1125,INT(A140))=1,VLOOKUP(INT(A140),X:Y,2), IF(ISERROR(H140-2),"",I139*(1-$D$8*(H140-H139)*0.0001)))</f>
        <v/>
      </c>
      <c r="J140" s="41" t="str">
        <f t="shared" ca="1" si="18"/>
        <v/>
      </c>
      <c r="K140" s="43" t="str">
        <f t="shared" ca="1" si="19"/>
        <v/>
      </c>
      <c r="L140" s="43" t="str">
        <f ca="1">IF($A140="","",IF(COUNTIFS(Dividends!$G:$G,"&gt;"&amp;INT($A139),Dividends!$G:$G,"&lt;="&amp;INT($A140))=0,"",$H$2*SUMIFS(Dividends!$H:$H,Dividends!$G:$G,"&gt;"&amp;INT($A139),Dividends!$G:$G,"&lt;="&amp;INT($A140))))</f>
        <v/>
      </c>
      <c r="M140" s="44" t="str">
        <f ca="1">IF(ISERROR(B140-2),"",C140+D140-F140-G140-K140+SUM($L$14:L140))</f>
        <v/>
      </c>
      <c r="U140" s="3" t="str">
        <f t="shared" si="20"/>
        <v/>
      </c>
      <c r="V140" s="3" t="str">
        <f t="shared" si="21"/>
        <v/>
      </c>
      <c r="Z140" s="3">
        <v>45974</v>
      </c>
      <c r="AA140" s="4">
        <v>245.34219999999999</v>
      </c>
      <c r="AB140" s="6">
        <v>45974</v>
      </c>
      <c r="AC140" s="4">
        <v>263.71800000000002</v>
      </c>
      <c r="AD140" s="6">
        <f t="shared" si="22"/>
        <v>45974</v>
      </c>
    </row>
    <row r="141" spans="1:30" x14ac:dyDescent="0.25">
      <c r="A141" s="39" t="str">
        <f t="shared" ca="1" si="13"/>
        <v/>
      </c>
      <c r="B141" s="40" t="str">
        <f ca="1">IF(COUNTIF($W$2:W1126,A141)=1,VLOOKUP(A141,O:P,2), IF(COUNTIF($W$2:W1126,A141)=0,$B$9,""))</f>
        <v/>
      </c>
      <c r="C141" s="2" t="str">
        <f t="shared" ca="1" si="14"/>
        <v/>
      </c>
      <c r="D141" s="43" t="str">
        <f t="shared" ca="1" si="15"/>
        <v/>
      </c>
      <c r="E141" s="40" t="str">
        <f ca="1">IF(COUNTIF($W$2:W1126,A141)=1,VLOOKUP(A141,Q:R,2), IF(COUNTIF($W$2:W1126,A141)=0,$C$9,""))</f>
        <v/>
      </c>
      <c r="F141" s="2" t="str">
        <f t="shared" ca="1" si="16"/>
        <v/>
      </c>
      <c r="G141" s="43" t="str">
        <f t="shared" ca="1" si="17"/>
        <v/>
      </c>
      <c r="H141" s="40" t="str">
        <f ca="1">IF(COUNTIF($W$2:W1126,A141)=1,VLOOKUP(A141,S:T,2), IF(COUNTIF($W$2:W1126,A141)=0,$D$9,""))</f>
        <v/>
      </c>
      <c r="I141" s="41" t="str">
        <f ca="1">IF(COUNTIF($X$2:X1126,INT(A141))=1,VLOOKUP(INT(A141),X:Y,2), IF(ISERROR(H141-2),"",I140*(1-$D$8*(H141-H140)*0.0001)))</f>
        <v/>
      </c>
      <c r="J141" s="41" t="str">
        <f t="shared" ca="1" si="18"/>
        <v/>
      </c>
      <c r="K141" s="43" t="str">
        <f t="shared" ca="1" si="19"/>
        <v/>
      </c>
      <c r="L141" s="43" t="str">
        <f ca="1">IF($A141="","",IF(COUNTIFS(Dividends!$G:$G,"&gt;"&amp;INT($A140),Dividends!$G:$G,"&lt;="&amp;INT($A141))=0,"",$H$2*SUMIFS(Dividends!$H:$H,Dividends!$G:$G,"&gt;"&amp;INT($A140),Dividends!$G:$G,"&lt;="&amp;INT($A141))))</f>
        <v/>
      </c>
      <c r="M141" s="44" t="str">
        <f ca="1">IF(ISERROR(B141-2),"",C141+D141-F141-G141-K141+SUM($L$14:L141))</f>
        <v/>
      </c>
      <c r="U141" s="3" t="str">
        <f t="shared" si="20"/>
        <v/>
      </c>
      <c r="V141" s="3" t="str">
        <f t="shared" si="21"/>
        <v/>
      </c>
      <c r="Z141" s="3">
        <v>45975</v>
      </c>
      <c r="AA141" s="4">
        <v>245.24520000000001</v>
      </c>
      <c r="AB141" s="6">
        <v>45975</v>
      </c>
      <c r="AC141" s="4">
        <v>263.74200000000002</v>
      </c>
      <c r="AD141" s="6">
        <f t="shared" si="22"/>
        <v>45975</v>
      </c>
    </row>
    <row r="142" spans="1:30" x14ac:dyDescent="0.25">
      <c r="A142" s="39" t="str">
        <f t="shared" ca="1" si="13"/>
        <v/>
      </c>
      <c r="B142" s="40" t="str">
        <f ca="1">IF(COUNTIF($W$2:W1127,A142)=1,VLOOKUP(A142,O:P,2), IF(COUNTIF($W$2:W1127,A142)=0,$B$9,""))</f>
        <v/>
      </c>
      <c r="C142" s="2" t="str">
        <f t="shared" ca="1" si="14"/>
        <v/>
      </c>
      <c r="D142" s="43" t="str">
        <f t="shared" ca="1" si="15"/>
        <v/>
      </c>
      <c r="E142" s="40" t="str">
        <f ca="1">IF(COUNTIF($W$2:W1127,A142)=1,VLOOKUP(A142,Q:R,2), IF(COUNTIF($W$2:W1127,A142)=0,$C$9,""))</f>
        <v/>
      </c>
      <c r="F142" s="2" t="str">
        <f t="shared" ca="1" si="16"/>
        <v/>
      </c>
      <c r="G142" s="43" t="str">
        <f t="shared" ca="1" si="17"/>
        <v/>
      </c>
      <c r="H142" s="40" t="str">
        <f ca="1">IF(COUNTIF($W$2:W1127,A142)=1,VLOOKUP(A142,S:T,2), IF(COUNTIF($W$2:W1127,A142)=0,$D$9,""))</f>
        <v/>
      </c>
      <c r="I142" s="41" t="str">
        <f ca="1">IF(COUNTIF($X$2:X1127,INT(A142))=1,VLOOKUP(INT(A142),X:Y,2), IF(ISERROR(H142-2),"",I141*(1-$D$8*(H142-H141)*0.0001)))</f>
        <v/>
      </c>
      <c r="J142" s="41" t="str">
        <f t="shared" ca="1" si="18"/>
        <v/>
      </c>
      <c r="K142" s="43" t="str">
        <f t="shared" ca="1" si="19"/>
        <v/>
      </c>
      <c r="L142" s="43" t="str">
        <f ca="1">IF($A142="","",IF(COUNTIFS(Dividends!$G:$G,"&gt;"&amp;INT($A141),Dividends!$G:$G,"&lt;="&amp;INT($A142))=0,"",$H$2*SUMIFS(Dividends!$H:$H,Dividends!$G:$G,"&gt;"&amp;INT($A141),Dividends!$G:$G,"&lt;="&amp;INT($A142))))</f>
        <v/>
      </c>
      <c r="M142" s="44" t="str">
        <f ca="1">IF(ISERROR(B142-2),"",C142+D142-F142-G142-K142+SUM($L$14:L142))</f>
        <v/>
      </c>
      <c r="U142" s="3" t="str">
        <f t="shared" si="20"/>
        <v/>
      </c>
      <c r="V142" s="3" t="str">
        <f t="shared" si="21"/>
        <v/>
      </c>
      <c r="Z142" s="3">
        <v>45978</v>
      </c>
      <c r="AA142" s="4">
        <v>244.98150000000001</v>
      </c>
      <c r="AB142" s="6">
        <v>45978</v>
      </c>
      <c r="AC142" s="4">
        <v>266.43900000000002</v>
      </c>
      <c r="AD142" s="6">
        <f t="shared" si="22"/>
        <v>45978</v>
      </c>
    </row>
    <row r="143" spans="1:30" x14ac:dyDescent="0.25">
      <c r="A143" s="39" t="str">
        <f t="shared" ref="A143:A204" ca="1" si="23">IF(AND(ISBLANK(W132), A142 = $W$1),NOW(),IF(ISBLANK(W132),"",W132))</f>
        <v/>
      </c>
      <c r="B143" s="40" t="str">
        <f ca="1">IF(COUNTIF($W$2:W1128,A143)=1,VLOOKUP(A143,O:P,2), IF(COUNTIF($W$2:W1128,A143)=0,$B$9,""))</f>
        <v/>
      </c>
      <c r="C143" s="2" t="str">
        <f t="shared" ca="1" si="14"/>
        <v/>
      </c>
      <c r="D143" s="43" t="str">
        <f t="shared" ca="1" si="15"/>
        <v/>
      </c>
      <c r="E143" s="40" t="str">
        <f ca="1">IF(COUNTIF($W$2:W1128,A143)=1,VLOOKUP(A143,Q:R,2), IF(COUNTIF($W$2:W1128,A143)=0,$C$9,""))</f>
        <v/>
      </c>
      <c r="F143" s="2" t="str">
        <f t="shared" ca="1" si="16"/>
        <v/>
      </c>
      <c r="G143" s="43" t="str">
        <f t="shared" ca="1" si="17"/>
        <v/>
      </c>
      <c r="H143" s="40" t="str">
        <f ca="1">IF(COUNTIF($W$2:W1128,A143)=1,VLOOKUP(A143,S:T,2), IF(COUNTIF($W$2:W1128,A143)=0,$D$9,""))</f>
        <v/>
      </c>
      <c r="I143" s="41" t="str">
        <f ca="1">IF(COUNTIF($X$2:X1128,INT(A143))=1,VLOOKUP(INT(A143),X:Y,2), IF(ISERROR(H143-2),"",I142*(1-$D$8*(H143-H142)*0.0001)))</f>
        <v/>
      </c>
      <c r="J143" s="41" t="str">
        <f t="shared" ca="1" si="18"/>
        <v/>
      </c>
      <c r="K143" s="43" t="str">
        <f t="shared" ca="1" si="19"/>
        <v/>
      </c>
      <c r="L143" s="43" t="str">
        <f ca="1">IF($A143="","",IF(COUNTIFS(Dividends!$G:$G,"&gt;"&amp;INT($A142),Dividends!$G:$G,"&lt;="&amp;INT($A143))=0,"",$H$2*SUMIFS(Dividends!$H:$H,Dividends!$G:$G,"&gt;"&amp;INT($A142),Dividends!$G:$G,"&lt;="&amp;INT($A143))))</f>
        <v/>
      </c>
      <c r="M143" s="44" t="str">
        <f ca="1">IF(ISERROR(B143-2),"",C143+D143-F143-G143-K143+SUM($L$14:L143))</f>
        <v/>
      </c>
      <c r="U143" s="3" t="str">
        <f t="shared" si="20"/>
        <v/>
      </c>
      <c r="V143" s="3" t="str">
        <f t="shared" si="21"/>
        <v/>
      </c>
      <c r="Z143" s="3">
        <v>45979</v>
      </c>
      <c r="AA143" s="4">
        <v>244.39429999999999</v>
      </c>
      <c r="AB143" s="6">
        <v>45979</v>
      </c>
      <c r="AC143" s="4">
        <v>272.28399999999999</v>
      </c>
      <c r="AD143" s="6">
        <f t="shared" si="22"/>
        <v>45979</v>
      </c>
    </row>
    <row r="144" spans="1:30" x14ac:dyDescent="0.25">
      <c r="A144" s="39" t="str">
        <f t="shared" ca="1" si="23"/>
        <v/>
      </c>
      <c r="B144" s="40" t="str">
        <f ca="1">IF(COUNTIF($W$2:W1129,A144)=1,VLOOKUP(A144,O:P,2), IF(COUNTIF($W$2:W1129,A144)=0,$B$9,""))</f>
        <v/>
      </c>
      <c r="C144" s="2" t="str">
        <f t="shared" ref="C144:C204" ca="1" si="24">IF(ISERROR(B144-2),"",(B144/$B$14-1)*$B$5)</f>
        <v/>
      </c>
      <c r="D144" s="43" t="str">
        <f t="shared" ref="D144:D204" ca="1" si="25">IF(ISERROR(B144-2),"",-1*(INT(A144)-INT($A$14))/360*$B$7*$B$5)</f>
        <v/>
      </c>
      <c r="E144" s="40" t="str">
        <f ca="1">IF(COUNTIF($W$2:W1129,A144)=1,VLOOKUP(A144,Q:R,2), IF(COUNTIF($W$2:W1129,A144)=0,$C$9,""))</f>
        <v/>
      </c>
      <c r="F144" s="2" t="str">
        <f t="shared" ref="F144:F204" ca="1" si="26">IF(ISERROR(B144-2),"",(E144-$E$14)/100*$C$5)</f>
        <v/>
      </c>
      <c r="G144" s="43" t="str">
        <f t="shared" ref="G144:G204" ca="1" si="27">IF(ISERROR(B144-2),"",(INT(A144)-INT($A$14))/360*$C$6*$C$5-(INT(A144)-INT($A$14))/360*$C$7*$C$5*$E$14/100)</f>
        <v/>
      </c>
      <c r="H144" s="40" t="str">
        <f ca="1">IF(COUNTIF($W$2:W1129,A144)=1,VLOOKUP(A144,S:T,2), IF(COUNTIF($W$2:W1129,A144)=0,$D$9,""))</f>
        <v/>
      </c>
      <c r="I144" s="41" t="str">
        <f ca="1">IF(COUNTIF($X$2:X1129,INT(A144))=1,VLOOKUP(INT(A144),X:Y,2), IF(ISERROR(H144-2),"",I143*(1-$D$8*(H144-H143)*0.0001)))</f>
        <v/>
      </c>
      <c r="J144" s="41" t="str">
        <f t="shared" ref="J144:J204" ca="1" si="28">IF(ISERROR(H144-2),"",I144)</f>
        <v/>
      </c>
      <c r="K144" s="43" t="str">
        <f t="shared" ref="K144:K204" ca="1" si="29">IF(ISERROR(H144-2),"",(J144/$J$14-1)*$D$5)</f>
        <v/>
      </c>
      <c r="L144" s="43" t="str">
        <f ca="1">IF($A144="","",IF(COUNTIFS(Dividends!$G:$G,"&gt;"&amp;INT($A143),Dividends!$G:$G,"&lt;="&amp;INT($A144))=0,"",$H$2*SUMIFS(Dividends!$H:$H,Dividends!$G:$G,"&gt;"&amp;INT($A143),Dividends!$G:$G,"&lt;="&amp;INT($A144))))</f>
        <v/>
      </c>
      <c r="M144" s="44" t="str">
        <f ca="1">IF(ISERROR(B144-2),"",C144+D144-F144-G144-K144+SUM($L$14:L144))</f>
        <v/>
      </c>
      <c r="U144" s="3" t="str">
        <f t="shared" si="20"/>
        <v/>
      </c>
      <c r="V144" s="3" t="str">
        <f t="shared" si="21"/>
        <v/>
      </c>
      <c r="Z144" s="3">
        <v>45980</v>
      </c>
      <c r="AA144" s="4">
        <v>244.95580000000001</v>
      </c>
      <c r="AB144" s="6">
        <v>45980</v>
      </c>
      <c r="AC144" s="4">
        <v>267.14499999999998</v>
      </c>
      <c r="AD144" s="6">
        <f t="shared" si="22"/>
        <v>45980</v>
      </c>
    </row>
    <row r="145" spans="1:30" x14ac:dyDescent="0.25">
      <c r="A145" s="39" t="str">
        <f t="shared" ca="1" si="23"/>
        <v/>
      </c>
      <c r="B145" s="40" t="str">
        <f ca="1">IF(COUNTIF($W$2:W1130,A145)=1,VLOOKUP(A145,O:P,2), IF(COUNTIF($W$2:W1130,A145)=0,$B$9,""))</f>
        <v/>
      </c>
      <c r="C145" s="2" t="str">
        <f t="shared" ca="1" si="24"/>
        <v/>
      </c>
      <c r="D145" s="43" t="str">
        <f t="shared" ca="1" si="25"/>
        <v/>
      </c>
      <c r="E145" s="40" t="str">
        <f ca="1">IF(COUNTIF($W$2:W1130,A145)=1,VLOOKUP(A145,Q:R,2), IF(COUNTIF($W$2:W1130,A145)=0,$C$9,""))</f>
        <v/>
      </c>
      <c r="F145" s="2" t="str">
        <f t="shared" ca="1" si="26"/>
        <v/>
      </c>
      <c r="G145" s="43" t="str">
        <f t="shared" ca="1" si="27"/>
        <v/>
      </c>
      <c r="H145" s="40" t="str">
        <f ca="1">IF(COUNTIF($W$2:W1130,A145)=1,VLOOKUP(A145,S:T,2), IF(COUNTIF($W$2:W1130,A145)=0,$D$9,""))</f>
        <v/>
      </c>
      <c r="I145" s="41" t="str">
        <f ca="1">IF(COUNTIF($X$2:X1130,INT(A145))=1,VLOOKUP(INT(A145),X:Y,2), IF(ISERROR(H145-2),"",I144*(1-$D$8*(H145-H144)*0.0001)))</f>
        <v/>
      </c>
      <c r="J145" s="41" t="str">
        <f t="shared" ca="1" si="28"/>
        <v/>
      </c>
      <c r="K145" s="43" t="str">
        <f t="shared" ca="1" si="29"/>
        <v/>
      </c>
      <c r="L145" s="43" t="str">
        <f ca="1">IF($A145="","",IF(COUNTIFS(Dividends!$G:$G,"&gt;"&amp;INT($A144),Dividends!$G:$G,"&lt;="&amp;INT($A145))=0,"",$H$2*SUMIFS(Dividends!$H:$H,Dividends!$G:$G,"&gt;"&amp;INT($A144),Dividends!$G:$G,"&lt;="&amp;INT($A145))))</f>
        <v/>
      </c>
      <c r="M145" s="44" t="str">
        <f ca="1">IF(ISERROR(B145-2),"",C145+D145-F145-G145-K145+SUM($L$14:L145))</f>
        <v/>
      </c>
      <c r="U145" s="3" t="str">
        <f t="shared" si="20"/>
        <v/>
      </c>
      <c r="V145" s="3" t="str">
        <f t="shared" si="21"/>
        <v/>
      </c>
      <c r="Z145" s="3">
        <v>45981</v>
      </c>
      <c r="AA145" s="4">
        <v>245.47790000000001</v>
      </c>
      <c r="AB145" s="6">
        <v>45981</v>
      </c>
      <c r="AC145" s="4">
        <v>265.76900000000001</v>
      </c>
      <c r="AD145" s="6">
        <f t="shared" si="22"/>
        <v>45981</v>
      </c>
    </row>
    <row r="146" spans="1:30" x14ac:dyDescent="0.25">
      <c r="A146" s="39" t="str">
        <f t="shared" ca="1" si="23"/>
        <v/>
      </c>
      <c r="B146" s="40" t="str">
        <f ca="1">IF(COUNTIF($W$2:W1131,A146)=1,VLOOKUP(A146,O:P,2), IF(COUNTIF($W$2:W1131,A146)=0,$B$9,""))</f>
        <v/>
      </c>
      <c r="C146" s="2" t="str">
        <f t="shared" ca="1" si="24"/>
        <v/>
      </c>
      <c r="D146" s="43" t="str">
        <f t="shared" ca="1" si="25"/>
        <v/>
      </c>
      <c r="E146" s="40" t="str">
        <f ca="1">IF(COUNTIF($W$2:W1131,A146)=1,VLOOKUP(A146,Q:R,2), IF(COUNTIF($W$2:W1131,A146)=0,$C$9,""))</f>
        <v/>
      </c>
      <c r="F146" s="2" t="str">
        <f t="shared" ca="1" si="26"/>
        <v/>
      </c>
      <c r="G146" s="43" t="str">
        <f t="shared" ca="1" si="27"/>
        <v/>
      </c>
      <c r="H146" s="40" t="str">
        <f ca="1">IF(COUNTIF($W$2:W1131,A146)=1,VLOOKUP(A146,S:T,2), IF(COUNTIF($W$2:W1131,A146)=0,$D$9,""))</f>
        <v/>
      </c>
      <c r="I146" s="41" t="str">
        <f ca="1">IF(COUNTIF($X$2:X1131,INT(A146))=1,VLOOKUP(INT(A146),X:Y,2), IF(ISERROR(H146-2),"",I145*(1-$D$8*(H146-H145)*0.0001)))</f>
        <v/>
      </c>
      <c r="J146" s="41" t="str">
        <f t="shared" ca="1" si="28"/>
        <v/>
      </c>
      <c r="K146" s="43" t="str">
        <f t="shared" ca="1" si="29"/>
        <v/>
      </c>
      <c r="L146" s="43" t="str">
        <f ca="1">IF($A146="","",IF(COUNTIFS(Dividends!$G:$G,"&gt;"&amp;INT($A145),Dividends!$G:$G,"&lt;="&amp;INT($A146))=0,"",$H$2*SUMIFS(Dividends!$H:$H,Dividends!$G:$G,"&gt;"&amp;INT($A145),Dividends!$G:$G,"&lt;="&amp;INT($A146))))</f>
        <v/>
      </c>
      <c r="M146" s="44" t="str">
        <f ca="1">IF(ISERROR(B146-2),"",C146+D146-F146-G146-K146+SUM($L$14:L146))</f>
        <v/>
      </c>
      <c r="U146" s="3" t="str">
        <f t="shared" si="20"/>
        <v/>
      </c>
      <c r="V146" s="3" t="str">
        <f t="shared" si="21"/>
        <v/>
      </c>
      <c r="Z146" s="3">
        <v>45982</v>
      </c>
      <c r="AA146" s="4">
        <v>244.55760000000001</v>
      </c>
      <c r="AB146" s="6">
        <v>45982</v>
      </c>
      <c r="AC146" s="4">
        <v>267.34800000000001</v>
      </c>
      <c r="AD146" s="6">
        <f t="shared" si="22"/>
        <v>45982</v>
      </c>
    </row>
    <row r="147" spans="1:30" x14ac:dyDescent="0.25">
      <c r="A147" s="39" t="str">
        <f t="shared" ca="1" si="23"/>
        <v/>
      </c>
      <c r="B147" s="40" t="str">
        <f ca="1">IF(COUNTIF($W$2:W1132,A147)=1,VLOOKUP(A147,O:P,2), IF(COUNTIF($W$2:W1132,A147)=0,$B$9,""))</f>
        <v/>
      </c>
      <c r="C147" s="2" t="str">
        <f t="shared" ca="1" si="24"/>
        <v/>
      </c>
      <c r="D147" s="43" t="str">
        <f t="shared" ca="1" si="25"/>
        <v/>
      </c>
      <c r="E147" s="40" t="str">
        <f ca="1">IF(COUNTIF($W$2:W1132,A147)=1,VLOOKUP(A147,Q:R,2), IF(COUNTIF($W$2:W1132,A147)=0,$C$9,""))</f>
        <v/>
      </c>
      <c r="F147" s="2" t="str">
        <f t="shared" ca="1" si="26"/>
        <v/>
      </c>
      <c r="G147" s="43" t="str">
        <f t="shared" ca="1" si="27"/>
        <v/>
      </c>
      <c r="H147" s="40" t="str">
        <f ca="1">IF(COUNTIF($W$2:W1132,A147)=1,VLOOKUP(A147,S:T,2), IF(COUNTIF($W$2:W1132,A147)=0,$D$9,""))</f>
        <v/>
      </c>
      <c r="I147" s="41" t="str">
        <f ca="1">IF(COUNTIF($X$2:X1132,INT(A147))=1,VLOOKUP(INT(A147),X:Y,2), IF(ISERROR(H147-2),"",I146*(1-$D$8*(H147-H146)*0.0001)))</f>
        <v/>
      </c>
      <c r="J147" s="41" t="str">
        <f t="shared" ca="1" si="28"/>
        <v/>
      </c>
      <c r="K147" s="43" t="str">
        <f t="shared" ca="1" si="29"/>
        <v/>
      </c>
      <c r="L147" s="43" t="str">
        <f ca="1">IF($A147="","",IF(COUNTIFS(Dividends!$G:$G,"&gt;"&amp;INT($A146),Dividends!$G:$G,"&lt;="&amp;INT($A147))=0,"",$H$2*SUMIFS(Dividends!$H:$H,Dividends!$G:$G,"&gt;"&amp;INT($A146),Dividends!$G:$G,"&lt;="&amp;INT($A147))))</f>
        <v/>
      </c>
      <c r="M147" s="44" t="str">
        <f ca="1">IF(ISERROR(B147-2),"",C147+D147-F147-G147-K147+SUM($L$14:L147))</f>
        <v/>
      </c>
      <c r="U147" s="3" t="str">
        <f t="shared" si="20"/>
        <v/>
      </c>
      <c r="V147" s="3" t="str">
        <f t="shared" si="21"/>
        <v/>
      </c>
      <c r="Z147" s="3">
        <v>45985</v>
      </c>
      <c r="AA147" s="4">
        <v>245.57339999999999</v>
      </c>
      <c r="AB147" s="6">
        <v>45985</v>
      </c>
      <c r="AC147" s="4">
        <v>264.28199999999998</v>
      </c>
      <c r="AD147" s="6">
        <f t="shared" si="22"/>
        <v>45985</v>
      </c>
    </row>
    <row r="148" spans="1:30" x14ac:dyDescent="0.25">
      <c r="A148" s="39" t="str">
        <f t="shared" ca="1" si="23"/>
        <v/>
      </c>
      <c r="B148" s="40" t="str">
        <f ca="1">IF(COUNTIF($W$2:W1133,A148)=1,VLOOKUP(A148,O:P,2), IF(COUNTIF($W$2:W1133,A148)=0,$B$9,""))</f>
        <v/>
      </c>
      <c r="C148" s="2" t="str">
        <f t="shared" ca="1" si="24"/>
        <v/>
      </c>
      <c r="D148" s="43" t="str">
        <f t="shared" ca="1" si="25"/>
        <v/>
      </c>
      <c r="E148" s="40" t="str">
        <f ca="1">IF(COUNTIF($W$2:W1133,A148)=1,VLOOKUP(A148,Q:R,2), IF(COUNTIF($W$2:W1133,A148)=0,$C$9,""))</f>
        <v/>
      </c>
      <c r="F148" s="2" t="str">
        <f t="shared" ca="1" si="26"/>
        <v/>
      </c>
      <c r="G148" s="43" t="str">
        <f t="shared" ca="1" si="27"/>
        <v/>
      </c>
      <c r="H148" s="40" t="str">
        <f ca="1">IF(COUNTIF($W$2:W1133,A148)=1,VLOOKUP(A148,S:T,2), IF(COUNTIF($W$2:W1133,A148)=0,$D$9,""))</f>
        <v/>
      </c>
      <c r="I148" s="41" t="str">
        <f ca="1">IF(COUNTIF($X$2:X1133,INT(A148))=1,VLOOKUP(INT(A148),X:Y,2), IF(ISERROR(H148-2),"",I147*(1-$D$8*(H148-H147)*0.0001)))</f>
        <v/>
      </c>
      <c r="J148" s="41" t="str">
        <f t="shared" ca="1" si="28"/>
        <v/>
      </c>
      <c r="K148" s="43" t="str">
        <f t="shared" ca="1" si="29"/>
        <v/>
      </c>
      <c r="L148" s="43" t="str">
        <f ca="1">IF($A148="","",IF(COUNTIFS(Dividends!$G:$G,"&gt;"&amp;INT($A147),Dividends!$G:$G,"&lt;="&amp;INT($A148))=0,"",$H$2*SUMIFS(Dividends!$H:$H,Dividends!$G:$G,"&gt;"&amp;INT($A147),Dividends!$G:$G,"&lt;="&amp;INT($A148))))</f>
        <v/>
      </c>
      <c r="M148" s="44" t="str">
        <f ca="1">IF(ISERROR(B148-2),"",C148+D148-F148-G148-K148+SUM($L$14:L148))</f>
        <v/>
      </c>
      <c r="U148" s="3" t="str">
        <f t="shared" si="20"/>
        <v/>
      </c>
      <c r="V148" s="3" t="str">
        <f t="shared" si="21"/>
        <v/>
      </c>
      <c r="Z148" s="3">
        <v>45986</v>
      </c>
      <c r="AA148" s="4">
        <v>245.78149999999999</v>
      </c>
      <c r="AB148" s="6">
        <v>45986</v>
      </c>
      <c r="AC148" s="4">
        <v>260.93599999999998</v>
      </c>
      <c r="AD148" s="6">
        <f t="shared" si="22"/>
        <v>45986</v>
      </c>
    </row>
    <row r="149" spans="1:30" x14ac:dyDescent="0.25">
      <c r="A149" s="39" t="str">
        <f t="shared" ca="1" si="23"/>
        <v/>
      </c>
      <c r="B149" s="40" t="str">
        <f ca="1">IF(COUNTIF($W$2:W1134,A149)=1,VLOOKUP(A149,O:P,2), IF(COUNTIF($W$2:W1134,A149)=0,$B$9,""))</f>
        <v/>
      </c>
      <c r="C149" s="2" t="str">
        <f t="shared" ca="1" si="24"/>
        <v/>
      </c>
      <c r="D149" s="43" t="str">
        <f t="shared" ca="1" si="25"/>
        <v/>
      </c>
      <c r="E149" s="40" t="str">
        <f ca="1">IF(COUNTIF($W$2:W1134,A149)=1,VLOOKUP(A149,Q:R,2), IF(COUNTIF($W$2:W1134,A149)=0,$C$9,""))</f>
        <v/>
      </c>
      <c r="F149" s="2" t="str">
        <f t="shared" ca="1" si="26"/>
        <v/>
      </c>
      <c r="G149" s="43" t="str">
        <f t="shared" ca="1" si="27"/>
        <v/>
      </c>
      <c r="H149" s="40" t="str">
        <f ca="1">IF(COUNTIF($W$2:W1134,A149)=1,VLOOKUP(A149,S:T,2), IF(COUNTIF($W$2:W1134,A149)=0,$D$9,""))</f>
        <v/>
      </c>
      <c r="I149" s="41" t="str">
        <f ca="1">IF(COUNTIF($X$2:X1134,INT(A149))=1,VLOOKUP(INT(A149),X:Y,2), IF(ISERROR(H149-2),"",I148*(1-$D$8*(H149-H148)*0.0001)))</f>
        <v/>
      </c>
      <c r="J149" s="41" t="str">
        <f t="shared" ca="1" si="28"/>
        <v/>
      </c>
      <c r="K149" s="43" t="str">
        <f t="shared" ca="1" si="29"/>
        <v/>
      </c>
      <c r="L149" s="43" t="str">
        <f ca="1">IF($A149="","",IF(COUNTIFS(Dividends!$G:$G,"&gt;"&amp;INT($A148),Dividends!$G:$G,"&lt;="&amp;INT($A149))=0,"",$H$2*SUMIFS(Dividends!$H:$H,Dividends!$G:$G,"&gt;"&amp;INT($A148),Dividends!$G:$G,"&lt;="&amp;INT($A149))))</f>
        <v/>
      </c>
      <c r="M149" s="44" t="str">
        <f ca="1">IF(ISERROR(B149-2),"",C149+D149-F149-G149-K149+SUM($L$14:L149))</f>
        <v/>
      </c>
      <c r="U149" s="3" t="str">
        <f t="shared" si="20"/>
        <v/>
      </c>
      <c r="V149" s="3" t="str">
        <f t="shared" si="21"/>
        <v/>
      </c>
      <c r="Z149" s="3">
        <v>45987</v>
      </c>
      <c r="AA149" s="4">
        <v>246.1097</v>
      </c>
      <c r="AB149" s="6">
        <v>45987</v>
      </c>
      <c r="AC149" s="4">
        <v>258.24200000000002</v>
      </c>
      <c r="AD149" s="6">
        <f t="shared" si="22"/>
        <v>45987</v>
      </c>
    </row>
    <row r="150" spans="1:30" x14ac:dyDescent="0.25">
      <c r="A150" s="39" t="str">
        <f t="shared" ca="1" si="23"/>
        <v/>
      </c>
      <c r="B150" s="40" t="str">
        <f ca="1">IF(COUNTIF($W$2:W1135,A150)=1,VLOOKUP(A150,O:P,2), IF(COUNTIF($W$2:W1135,A150)=0,$B$9,""))</f>
        <v/>
      </c>
      <c r="C150" s="2" t="str">
        <f t="shared" ca="1" si="24"/>
        <v/>
      </c>
      <c r="D150" s="43" t="str">
        <f t="shared" ca="1" si="25"/>
        <v/>
      </c>
      <c r="E150" s="40" t="str">
        <f ca="1">IF(COUNTIF($W$2:W1135,A150)=1,VLOOKUP(A150,Q:R,2), IF(COUNTIF($W$2:W1135,A150)=0,$C$9,""))</f>
        <v/>
      </c>
      <c r="F150" s="2" t="str">
        <f t="shared" ca="1" si="26"/>
        <v/>
      </c>
      <c r="G150" s="43" t="str">
        <f t="shared" ca="1" si="27"/>
        <v/>
      </c>
      <c r="H150" s="40" t="str">
        <f ca="1">IF(COUNTIF($W$2:W1135,A150)=1,VLOOKUP(A150,S:T,2), IF(COUNTIF($W$2:W1135,A150)=0,$D$9,""))</f>
        <v/>
      </c>
      <c r="I150" s="41" t="str">
        <f ca="1">IF(COUNTIF($X$2:X1135,INT(A150))=1,VLOOKUP(INT(A150),X:Y,2), IF(ISERROR(H150-2),"",I149*(1-$D$8*(H150-H149)*0.0001)))</f>
        <v/>
      </c>
      <c r="J150" s="41" t="str">
        <f t="shared" ca="1" si="28"/>
        <v/>
      </c>
      <c r="K150" s="43" t="str">
        <f t="shared" ca="1" si="29"/>
        <v/>
      </c>
      <c r="L150" s="43" t="str">
        <f ca="1">IF($A150="","",IF(COUNTIFS(Dividends!$G:$G,"&gt;"&amp;INT($A149),Dividends!$G:$G,"&lt;="&amp;INT($A150))=0,"",$H$2*SUMIFS(Dividends!$H:$H,Dividends!$G:$G,"&gt;"&amp;INT($A149),Dividends!$G:$G,"&lt;="&amp;INT($A150))))</f>
        <v/>
      </c>
      <c r="M150" s="44" t="str">
        <f ca="1">IF(ISERROR(B150-2),"",C150+D150-F150-G150-K150+SUM($L$14:L150))</f>
        <v/>
      </c>
      <c r="U150" s="3" t="str">
        <f t="shared" si="20"/>
        <v/>
      </c>
      <c r="V150" s="3" t="str">
        <f t="shared" si="21"/>
        <v/>
      </c>
      <c r="Z150" s="3">
        <v>45988</v>
      </c>
      <c r="AA150" s="4">
        <v>246.30340000000001</v>
      </c>
      <c r="AB150" s="6">
        <v>45988</v>
      </c>
      <c r="AC150" s="4">
        <v>257.72500000000002</v>
      </c>
      <c r="AD150" s="6">
        <f t="shared" si="22"/>
        <v>45988</v>
      </c>
    </row>
    <row r="151" spans="1:30" x14ac:dyDescent="0.25">
      <c r="A151" s="39" t="str">
        <f t="shared" ca="1" si="23"/>
        <v/>
      </c>
      <c r="B151" s="40" t="str">
        <f ca="1">IF(COUNTIF($W$2:W1136,A151)=1,VLOOKUP(A151,O:P,2), IF(COUNTIF($W$2:W1136,A151)=0,$B$9,""))</f>
        <v/>
      </c>
      <c r="C151" s="2" t="str">
        <f t="shared" ca="1" si="24"/>
        <v/>
      </c>
      <c r="D151" s="43" t="str">
        <f t="shared" ca="1" si="25"/>
        <v/>
      </c>
      <c r="E151" s="40" t="str">
        <f ca="1">IF(COUNTIF($W$2:W1136,A151)=1,VLOOKUP(A151,Q:R,2), IF(COUNTIF($W$2:W1136,A151)=0,$C$9,""))</f>
        <v/>
      </c>
      <c r="F151" s="2" t="str">
        <f t="shared" ca="1" si="26"/>
        <v/>
      </c>
      <c r="G151" s="43" t="str">
        <f t="shared" ca="1" si="27"/>
        <v/>
      </c>
      <c r="H151" s="40" t="str">
        <f ca="1">IF(COUNTIF($W$2:W1136,A151)=1,VLOOKUP(A151,S:T,2), IF(COUNTIF($W$2:W1136,A151)=0,$D$9,""))</f>
        <v/>
      </c>
      <c r="I151" s="41" t="str">
        <f ca="1">IF(COUNTIF($X$2:X1136,INT(A151))=1,VLOOKUP(INT(A151),X:Y,2), IF(ISERROR(H151-2),"",I150*(1-$D$8*(H151-H150)*0.0001)))</f>
        <v/>
      </c>
      <c r="J151" s="41" t="str">
        <f t="shared" ca="1" si="28"/>
        <v/>
      </c>
      <c r="K151" s="43" t="str">
        <f t="shared" ca="1" si="29"/>
        <v/>
      </c>
      <c r="L151" s="43" t="str">
        <f ca="1">IF($A151="","",IF(COUNTIFS(Dividends!$G:$G,"&gt;"&amp;INT($A150),Dividends!$G:$G,"&lt;="&amp;INT($A151))=0,"",$H$2*SUMIFS(Dividends!$H:$H,Dividends!$G:$G,"&gt;"&amp;INT($A150),Dividends!$G:$G,"&lt;="&amp;INT($A151))))</f>
        <v/>
      </c>
      <c r="M151" s="44" t="str">
        <f ca="1">IF(ISERROR(B151-2),"",C151+D151-F151-G151-K151+SUM($L$14:L151))</f>
        <v/>
      </c>
      <c r="U151" s="3" t="str">
        <f t="shared" si="20"/>
        <v/>
      </c>
      <c r="V151" s="3" t="str">
        <f t="shared" si="21"/>
        <v/>
      </c>
      <c r="Z151" s="3">
        <v>45989</v>
      </c>
      <c r="AA151" s="4">
        <v>246.51609999999999</v>
      </c>
      <c r="AB151" s="6">
        <v>45989</v>
      </c>
      <c r="AC151" s="4">
        <v>255.52199999999999</v>
      </c>
      <c r="AD151" s="6">
        <f t="shared" si="22"/>
        <v>45989</v>
      </c>
    </row>
    <row r="152" spans="1:30" x14ac:dyDescent="0.25">
      <c r="A152" s="39" t="str">
        <f t="shared" ca="1" si="23"/>
        <v/>
      </c>
      <c r="B152" s="40" t="str">
        <f ca="1">IF(COUNTIF($W$2:W1137,A152)=1,VLOOKUP(A152,O:P,2), IF(COUNTIF($W$2:W1137,A152)=0,$B$9,""))</f>
        <v/>
      </c>
      <c r="C152" s="2" t="str">
        <f t="shared" ca="1" si="24"/>
        <v/>
      </c>
      <c r="D152" s="43" t="str">
        <f t="shared" ca="1" si="25"/>
        <v/>
      </c>
      <c r="E152" s="40" t="str">
        <f ca="1">IF(COUNTIF($W$2:W1137,A152)=1,VLOOKUP(A152,Q:R,2), IF(COUNTIF($W$2:W1137,A152)=0,$C$9,""))</f>
        <v/>
      </c>
      <c r="F152" s="2" t="str">
        <f t="shared" ca="1" si="26"/>
        <v/>
      </c>
      <c r="G152" s="43" t="str">
        <f t="shared" ca="1" si="27"/>
        <v/>
      </c>
      <c r="H152" s="40" t="str">
        <f ca="1">IF(COUNTIF($W$2:W1137,A152)=1,VLOOKUP(A152,S:T,2), IF(COUNTIF($W$2:W1137,A152)=0,$D$9,""))</f>
        <v/>
      </c>
      <c r="I152" s="41" t="str">
        <f ca="1">IF(COUNTIF($X$2:X1137,INT(A152))=1,VLOOKUP(INT(A152),X:Y,2), IF(ISERROR(H152-2),"",I151*(1-$D$8*(H152-H151)*0.0001)))</f>
        <v/>
      </c>
      <c r="J152" s="41" t="str">
        <f t="shared" ca="1" si="28"/>
        <v/>
      </c>
      <c r="K152" s="43" t="str">
        <f t="shared" ca="1" si="29"/>
        <v/>
      </c>
      <c r="L152" s="43" t="str">
        <f ca="1">IF($A152="","",IF(COUNTIFS(Dividends!$G:$G,"&gt;"&amp;INT($A151),Dividends!$G:$G,"&lt;="&amp;INT($A152))=0,"",$H$2*SUMIFS(Dividends!$H:$H,Dividends!$G:$G,"&gt;"&amp;INT($A151),Dividends!$G:$G,"&lt;="&amp;INT($A152))))</f>
        <v/>
      </c>
      <c r="M152" s="44" t="str">
        <f ca="1">IF(ISERROR(B152-2),"",C152+D152-F152-G152-K152+SUM($L$14:L152))</f>
        <v/>
      </c>
      <c r="U152" s="3" t="str">
        <f t="shared" si="20"/>
        <v/>
      </c>
      <c r="V152" s="3" t="str">
        <f t="shared" si="21"/>
        <v/>
      </c>
      <c r="Z152" s="3">
        <v>45992</v>
      </c>
      <c r="AA152" s="4">
        <v>246.52199999999999</v>
      </c>
      <c r="AB152" s="6">
        <v>45992</v>
      </c>
      <c r="AC152" s="4">
        <v>256.12799999999999</v>
      </c>
      <c r="AD152" s="6">
        <f t="shared" si="22"/>
        <v>45992</v>
      </c>
    </row>
    <row r="153" spans="1:30" x14ac:dyDescent="0.25">
      <c r="A153" s="39" t="str">
        <f t="shared" ca="1" si="23"/>
        <v/>
      </c>
      <c r="B153" s="40" t="str">
        <f ca="1">IF(COUNTIF($W$2:W1138,A153)=1,VLOOKUP(A153,O:P,2), IF(COUNTIF($W$2:W1138,A153)=0,$B$9,""))</f>
        <v/>
      </c>
      <c r="C153" s="2" t="str">
        <f t="shared" ca="1" si="24"/>
        <v/>
      </c>
      <c r="D153" s="43" t="str">
        <f t="shared" ca="1" si="25"/>
        <v/>
      </c>
      <c r="E153" s="40" t="str">
        <f ca="1">IF(COUNTIF($W$2:W1138,A153)=1,VLOOKUP(A153,Q:R,2), IF(COUNTIF($W$2:W1138,A153)=0,$C$9,""))</f>
        <v/>
      </c>
      <c r="F153" s="2" t="str">
        <f t="shared" ca="1" si="26"/>
        <v/>
      </c>
      <c r="G153" s="43" t="str">
        <f t="shared" ca="1" si="27"/>
        <v/>
      </c>
      <c r="H153" s="40" t="str">
        <f ca="1">IF(COUNTIF($W$2:W1138,A153)=1,VLOOKUP(A153,S:T,2), IF(COUNTIF($W$2:W1138,A153)=0,$D$9,""))</f>
        <v/>
      </c>
      <c r="I153" s="41" t="str">
        <f ca="1">IF(COUNTIF($X$2:X1138,INT(A153))=1,VLOOKUP(INT(A153),X:Y,2), IF(ISERROR(H153-2),"",I152*(1-$D$8*(H153-H152)*0.0001)))</f>
        <v/>
      </c>
      <c r="J153" s="41" t="str">
        <f t="shared" ca="1" si="28"/>
        <v/>
      </c>
      <c r="K153" s="43" t="str">
        <f t="shared" ca="1" si="29"/>
        <v/>
      </c>
      <c r="L153" s="43" t="str">
        <f ca="1">IF($A153="","",IF(COUNTIFS(Dividends!$G:$G,"&gt;"&amp;INT($A152),Dividends!$G:$G,"&lt;="&amp;INT($A153))=0,"",$H$2*SUMIFS(Dividends!$H:$H,Dividends!$G:$G,"&gt;"&amp;INT($A152),Dividends!$G:$G,"&lt;="&amp;INT($A153))))</f>
        <v/>
      </c>
      <c r="M153" s="44" t="str">
        <f ca="1">IF(ISERROR(B153-2),"",C153+D153-F153-G153-K153+SUM($L$14:L153))</f>
        <v/>
      </c>
      <c r="U153" s="3" t="str">
        <f t="shared" si="20"/>
        <v/>
      </c>
      <c r="V153" s="3" t="str">
        <f t="shared" si="21"/>
        <v/>
      </c>
      <c r="Z153" s="3">
        <v>45993</v>
      </c>
      <c r="AA153" s="4">
        <v>246.64009999999999</v>
      </c>
      <c r="AB153" s="6">
        <v>45993</v>
      </c>
      <c r="AC153" s="4">
        <v>255.16499999999999</v>
      </c>
      <c r="AD153" s="6">
        <f t="shared" si="22"/>
        <v>45993</v>
      </c>
    </row>
    <row r="154" spans="1:30" x14ac:dyDescent="0.25">
      <c r="A154" s="39" t="str">
        <f t="shared" ca="1" si="23"/>
        <v/>
      </c>
      <c r="B154" s="40" t="str">
        <f ca="1">IF(COUNTIF($W$2:W1139,A154)=1,VLOOKUP(A154,O:P,2), IF(COUNTIF($W$2:W1139,A154)=0,$B$9,""))</f>
        <v/>
      </c>
      <c r="C154" s="2" t="str">
        <f t="shared" ca="1" si="24"/>
        <v/>
      </c>
      <c r="D154" s="43" t="str">
        <f t="shared" ca="1" si="25"/>
        <v/>
      </c>
      <c r="E154" s="40" t="str">
        <f ca="1">IF(COUNTIF($W$2:W1139,A154)=1,VLOOKUP(A154,Q:R,2), IF(COUNTIF($W$2:W1139,A154)=0,$C$9,""))</f>
        <v/>
      </c>
      <c r="F154" s="2" t="str">
        <f t="shared" ca="1" si="26"/>
        <v/>
      </c>
      <c r="G154" s="43" t="str">
        <f t="shared" ca="1" si="27"/>
        <v/>
      </c>
      <c r="H154" s="40" t="str">
        <f ca="1">IF(COUNTIF($W$2:W1139,A154)=1,VLOOKUP(A154,S:T,2), IF(COUNTIF($W$2:W1139,A154)=0,$D$9,""))</f>
        <v/>
      </c>
      <c r="I154" s="41" t="str">
        <f ca="1">IF(COUNTIF($X$2:X1139,INT(A154))=1,VLOOKUP(INT(A154),X:Y,2), IF(ISERROR(H154-2),"",I153*(1-$D$8*(H154-H153)*0.0001)))</f>
        <v/>
      </c>
      <c r="J154" s="41" t="str">
        <f t="shared" ca="1" si="28"/>
        <v/>
      </c>
      <c r="K154" s="43" t="str">
        <f t="shared" ca="1" si="29"/>
        <v/>
      </c>
      <c r="L154" s="43" t="str">
        <f ca="1">IF($A154="","",IF(COUNTIFS(Dividends!$G:$G,"&gt;"&amp;INT($A153),Dividends!$G:$G,"&lt;="&amp;INT($A154))=0,"",$H$2*SUMIFS(Dividends!$H:$H,Dividends!$G:$G,"&gt;"&amp;INT($A153),Dividends!$G:$G,"&lt;="&amp;INT($A154))))</f>
        <v/>
      </c>
      <c r="M154" s="44" t="str">
        <f ca="1">IF(ISERROR(B154-2),"",C154+D154-F154-G154-K154+SUM($L$14:L154))</f>
        <v/>
      </c>
      <c r="U154" s="3" t="str">
        <f t="shared" si="20"/>
        <v/>
      </c>
      <c r="V154" s="3" t="str">
        <f t="shared" si="21"/>
        <v/>
      </c>
      <c r="Z154" s="3">
        <v>45994</v>
      </c>
      <c r="AA154" s="4">
        <v>246.69659999999999</v>
      </c>
      <c r="AB154" s="6">
        <v>45994</v>
      </c>
      <c r="AC154" s="4">
        <v>254.90700000000001</v>
      </c>
      <c r="AD154" s="6">
        <f t="shared" si="22"/>
        <v>45994</v>
      </c>
    </row>
    <row r="155" spans="1:30" x14ac:dyDescent="0.25">
      <c r="A155" s="39" t="str">
        <f t="shared" ca="1" si="23"/>
        <v/>
      </c>
      <c r="B155" s="40" t="str">
        <f ca="1">IF(COUNTIF($W$2:W1140,A155)=1,VLOOKUP(A155,O:P,2), IF(COUNTIF($W$2:W1140,A155)=0,$B$9,""))</f>
        <v/>
      </c>
      <c r="C155" s="2" t="str">
        <f t="shared" ca="1" si="24"/>
        <v/>
      </c>
      <c r="D155" s="43" t="str">
        <f t="shared" ca="1" si="25"/>
        <v/>
      </c>
      <c r="E155" s="40" t="str">
        <f ca="1">IF(COUNTIF($W$2:W1140,A155)=1,VLOOKUP(A155,Q:R,2), IF(COUNTIF($W$2:W1140,A155)=0,$C$9,""))</f>
        <v/>
      </c>
      <c r="F155" s="2" t="str">
        <f t="shared" ca="1" si="26"/>
        <v/>
      </c>
      <c r="G155" s="43" t="str">
        <f t="shared" ca="1" si="27"/>
        <v/>
      </c>
      <c r="H155" s="40" t="str">
        <f ca="1">IF(COUNTIF($W$2:W1140,A155)=1,VLOOKUP(A155,S:T,2), IF(COUNTIF($W$2:W1140,A155)=0,$D$9,""))</f>
        <v/>
      </c>
      <c r="I155" s="41" t="str">
        <f ca="1">IF(COUNTIF($X$2:X1140,INT(A155))=1,VLOOKUP(INT(A155),X:Y,2), IF(ISERROR(H155-2),"",I154*(1-$D$8*(H155-H154)*0.0001)))</f>
        <v/>
      </c>
      <c r="J155" s="41" t="str">
        <f t="shared" ca="1" si="28"/>
        <v/>
      </c>
      <c r="K155" s="43" t="str">
        <f t="shared" ca="1" si="29"/>
        <v/>
      </c>
      <c r="L155" s="43" t="str">
        <f ca="1">IF($A155="","",IF(COUNTIFS(Dividends!$G:$G,"&gt;"&amp;INT($A154),Dividends!$G:$G,"&lt;="&amp;INT($A155))=0,"",$H$2*SUMIFS(Dividends!$H:$H,Dividends!$G:$G,"&gt;"&amp;INT($A154),Dividends!$G:$G,"&lt;="&amp;INT($A155))))</f>
        <v/>
      </c>
      <c r="M155" s="44" t="str">
        <f ca="1">IF(ISERROR(B155-2),"",C155+D155-F155-G155-K155+SUM($L$14:L155))</f>
        <v/>
      </c>
      <c r="U155" s="3" t="str">
        <f t="shared" si="20"/>
        <v/>
      </c>
      <c r="V155" s="3" t="str">
        <f t="shared" si="21"/>
        <v/>
      </c>
      <c r="Z155" s="3">
        <v>45995</v>
      </c>
      <c r="AA155" s="4">
        <v>246.7276</v>
      </c>
      <c r="AB155" s="6">
        <v>45995</v>
      </c>
      <c r="AC155" s="4">
        <v>254.619</v>
      </c>
      <c r="AD155" s="6">
        <f t="shared" si="22"/>
        <v>45995</v>
      </c>
    </row>
    <row r="156" spans="1:30" x14ac:dyDescent="0.25">
      <c r="A156" s="39" t="str">
        <f t="shared" ca="1" si="23"/>
        <v/>
      </c>
      <c r="B156" s="40" t="str">
        <f ca="1">IF(COUNTIF($W$2:W1141,A156)=1,VLOOKUP(A156,O:P,2), IF(COUNTIF($W$2:W1141,A156)=0,$B$9,""))</f>
        <v/>
      </c>
      <c r="C156" s="2" t="str">
        <f t="shared" ca="1" si="24"/>
        <v/>
      </c>
      <c r="D156" s="43" t="str">
        <f t="shared" ca="1" si="25"/>
        <v/>
      </c>
      <c r="E156" s="40" t="str">
        <f ca="1">IF(COUNTIF($W$2:W1141,A156)=1,VLOOKUP(A156,Q:R,2), IF(COUNTIF($W$2:W1141,A156)=0,$C$9,""))</f>
        <v/>
      </c>
      <c r="F156" s="2" t="str">
        <f t="shared" ca="1" si="26"/>
        <v/>
      </c>
      <c r="G156" s="43" t="str">
        <f t="shared" ca="1" si="27"/>
        <v/>
      </c>
      <c r="H156" s="40" t="str">
        <f ca="1">IF(COUNTIF($W$2:W1141,A156)=1,VLOOKUP(A156,S:T,2), IF(COUNTIF($W$2:W1141,A156)=0,$D$9,""))</f>
        <v/>
      </c>
      <c r="I156" s="41" t="str">
        <f ca="1">IF(COUNTIF($X$2:X1141,INT(A156))=1,VLOOKUP(INT(A156),X:Y,2), IF(ISERROR(H156-2),"",I155*(1-$D$8*(H156-H155)*0.0001)))</f>
        <v/>
      </c>
      <c r="J156" s="41" t="str">
        <f t="shared" ca="1" si="28"/>
        <v/>
      </c>
      <c r="K156" s="43" t="str">
        <f t="shared" ca="1" si="29"/>
        <v/>
      </c>
      <c r="L156" s="43" t="str">
        <f ca="1">IF($A156="","",IF(COUNTIFS(Dividends!$G:$G,"&gt;"&amp;INT($A155),Dividends!$G:$G,"&lt;="&amp;INT($A156))=0,"",$H$2*SUMIFS(Dividends!$H:$H,Dividends!$G:$G,"&gt;"&amp;INT($A155),Dividends!$G:$G,"&lt;="&amp;INT($A156))))</f>
        <v/>
      </c>
      <c r="M156" s="44" t="str">
        <f ca="1">IF(ISERROR(B156-2),"",C156+D156-F156-G156-K156+SUM($L$14:L156))</f>
        <v/>
      </c>
      <c r="U156" s="3" t="str">
        <f t="shared" si="20"/>
        <v/>
      </c>
      <c r="V156" s="3" t="str">
        <f t="shared" si="21"/>
        <v/>
      </c>
      <c r="Z156" s="3">
        <v>45996</v>
      </c>
      <c r="AA156" s="4">
        <v>246.92910000000001</v>
      </c>
      <c r="AB156" s="6">
        <v>45996</v>
      </c>
      <c r="AC156" s="4">
        <v>252.95500000000001</v>
      </c>
      <c r="AD156" s="6">
        <f t="shared" si="22"/>
        <v>45996</v>
      </c>
    </row>
    <row r="157" spans="1:30" x14ac:dyDescent="0.25">
      <c r="A157" s="39" t="str">
        <f t="shared" ca="1" si="23"/>
        <v/>
      </c>
      <c r="B157" s="40" t="str">
        <f ca="1">IF(COUNTIF($W$2:W1142,A157)=1,VLOOKUP(A157,O:P,2), IF(COUNTIF($W$2:W1142,A157)=0,$B$9,""))</f>
        <v/>
      </c>
      <c r="C157" s="2" t="str">
        <f t="shared" ca="1" si="24"/>
        <v/>
      </c>
      <c r="D157" s="43" t="str">
        <f t="shared" ca="1" si="25"/>
        <v/>
      </c>
      <c r="E157" s="40" t="str">
        <f ca="1">IF(COUNTIF($W$2:W1142,A157)=1,VLOOKUP(A157,Q:R,2), IF(COUNTIF($W$2:W1142,A157)=0,$C$9,""))</f>
        <v/>
      </c>
      <c r="F157" s="2" t="str">
        <f t="shared" ca="1" si="26"/>
        <v/>
      </c>
      <c r="G157" s="43" t="str">
        <f t="shared" ca="1" si="27"/>
        <v/>
      </c>
      <c r="H157" s="40" t="str">
        <f ca="1">IF(COUNTIF($W$2:W1142,A157)=1,VLOOKUP(A157,S:T,2), IF(COUNTIF($W$2:W1142,A157)=0,$D$9,""))</f>
        <v/>
      </c>
      <c r="I157" s="41" t="str">
        <f ca="1">IF(COUNTIF($X$2:X1142,INT(A157))=1,VLOOKUP(INT(A157),X:Y,2), IF(ISERROR(H157-2),"",I156*(1-$D$8*(H157-H156)*0.0001)))</f>
        <v/>
      </c>
      <c r="J157" s="41" t="str">
        <f t="shared" ca="1" si="28"/>
        <v/>
      </c>
      <c r="K157" s="43" t="str">
        <f t="shared" ca="1" si="29"/>
        <v/>
      </c>
      <c r="L157" s="43" t="str">
        <f ca="1">IF($A157="","",IF(COUNTIFS(Dividends!$G:$G,"&gt;"&amp;INT($A156),Dividends!$G:$G,"&lt;="&amp;INT($A157))=0,"",$H$2*SUMIFS(Dividends!$H:$H,Dividends!$G:$G,"&gt;"&amp;INT($A156),Dividends!$G:$G,"&lt;="&amp;INT($A157))))</f>
        <v/>
      </c>
      <c r="M157" s="44" t="str">
        <f ca="1">IF(ISERROR(B157-2),"",C157+D157-F157-G157-K157+SUM($L$14:L157))</f>
        <v/>
      </c>
      <c r="U157" s="3" t="str">
        <f t="shared" si="20"/>
        <v/>
      </c>
      <c r="V157" s="3" t="str">
        <f t="shared" si="21"/>
        <v/>
      </c>
      <c r="Z157" s="3">
        <v>45999</v>
      </c>
      <c r="AA157" s="4">
        <v>246.71809999999999</v>
      </c>
      <c r="AB157" s="6">
        <v>45999</v>
      </c>
      <c r="AC157" s="4">
        <v>256.38</v>
      </c>
      <c r="AD157" s="6">
        <f t="shared" si="22"/>
        <v>45999</v>
      </c>
    </row>
    <row r="158" spans="1:30" x14ac:dyDescent="0.25">
      <c r="A158" s="39" t="str">
        <f t="shared" ca="1" si="23"/>
        <v/>
      </c>
      <c r="B158" s="40" t="str">
        <f ca="1">IF(COUNTIF($W$2:W1143,A158)=1,VLOOKUP(A158,O:P,2), IF(COUNTIF($W$2:W1143,A158)=0,$B$9,""))</f>
        <v/>
      </c>
      <c r="C158" s="2" t="str">
        <f t="shared" ca="1" si="24"/>
        <v/>
      </c>
      <c r="D158" s="43" t="str">
        <f t="shared" ca="1" si="25"/>
        <v/>
      </c>
      <c r="E158" s="40" t="str">
        <f ca="1">IF(COUNTIF($W$2:W1143,A158)=1,VLOOKUP(A158,Q:R,2), IF(COUNTIF($W$2:W1143,A158)=0,$C$9,""))</f>
        <v/>
      </c>
      <c r="F158" s="2" t="str">
        <f t="shared" ca="1" si="26"/>
        <v/>
      </c>
      <c r="G158" s="43" t="str">
        <f t="shared" ca="1" si="27"/>
        <v/>
      </c>
      <c r="H158" s="40" t="str">
        <f ca="1">IF(COUNTIF($W$2:W1143,A158)=1,VLOOKUP(A158,S:T,2), IF(COUNTIF($W$2:W1143,A158)=0,$D$9,""))</f>
        <v/>
      </c>
      <c r="I158" s="41" t="str">
        <f ca="1">IF(COUNTIF($X$2:X1143,INT(A158))=1,VLOOKUP(INT(A158),X:Y,2), IF(ISERROR(H158-2),"",I157*(1-$D$8*(H158-H157)*0.0001)))</f>
        <v/>
      </c>
      <c r="J158" s="41" t="str">
        <f t="shared" ca="1" si="28"/>
        <v/>
      </c>
      <c r="K158" s="43" t="str">
        <f t="shared" ca="1" si="29"/>
        <v/>
      </c>
      <c r="L158" s="43" t="str">
        <f ca="1">IF($A158="","",IF(COUNTIFS(Dividends!$G:$G,"&gt;"&amp;INT($A157),Dividends!$G:$G,"&lt;="&amp;INT($A158))=0,"",$H$2*SUMIFS(Dividends!$H:$H,Dividends!$G:$G,"&gt;"&amp;INT($A157),Dividends!$G:$G,"&lt;="&amp;INT($A158))))</f>
        <v/>
      </c>
      <c r="M158" s="44" t="str">
        <f ca="1">IF(ISERROR(B158-2),"",C158+D158-F158-G158-K158+SUM($L$14:L158))</f>
        <v/>
      </c>
      <c r="U158" s="3" t="str">
        <f t="shared" si="20"/>
        <v/>
      </c>
      <c r="V158" s="3" t="str">
        <f t="shared" si="21"/>
        <v/>
      </c>
      <c r="Z158" s="3">
        <v>46000</v>
      </c>
      <c r="AA158" s="4">
        <v>246.76429999999999</v>
      </c>
      <c r="AB158" s="6">
        <v>46000</v>
      </c>
      <c r="AC158" s="4">
        <v>254.755</v>
      </c>
      <c r="AD158" s="6">
        <f t="shared" si="22"/>
        <v>46000</v>
      </c>
    </row>
    <row r="159" spans="1:30" x14ac:dyDescent="0.25">
      <c r="A159" s="39" t="str">
        <f t="shared" ca="1" si="23"/>
        <v/>
      </c>
      <c r="B159" s="40" t="str">
        <f ca="1">IF(COUNTIF($W$2:W1144,A159)=1,VLOOKUP(A159,O:P,2), IF(COUNTIF($W$2:W1144,A159)=0,$B$9,""))</f>
        <v/>
      </c>
      <c r="C159" s="2" t="str">
        <f t="shared" ca="1" si="24"/>
        <v/>
      </c>
      <c r="D159" s="43" t="str">
        <f t="shared" ca="1" si="25"/>
        <v/>
      </c>
      <c r="E159" s="40" t="str">
        <f ca="1">IF(COUNTIF($W$2:W1144,A159)=1,VLOOKUP(A159,Q:R,2), IF(COUNTIF($W$2:W1144,A159)=0,$C$9,""))</f>
        <v/>
      </c>
      <c r="F159" s="2" t="str">
        <f t="shared" ca="1" si="26"/>
        <v/>
      </c>
      <c r="G159" s="43" t="str">
        <f t="shared" ca="1" si="27"/>
        <v/>
      </c>
      <c r="H159" s="40" t="str">
        <f ca="1">IF(COUNTIF($W$2:W1144,A159)=1,VLOOKUP(A159,S:T,2), IF(COUNTIF($W$2:W1144,A159)=0,$D$9,""))</f>
        <v/>
      </c>
      <c r="I159" s="41" t="str">
        <f ca="1">IF(COUNTIF($X$2:X1144,INT(A159))=1,VLOOKUP(INT(A159),X:Y,2), IF(ISERROR(H159-2),"",I158*(1-$D$8*(H159-H158)*0.0001)))</f>
        <v/>
      </c>
      <c r="J159" s="41" t="str">
        <f t="shared" ca="1" si="28"/>
        <v/>
      </c>
      <c r="K159" s="43" t="str">
        <f t="shared" ca="1" si="29"/>
        <v/>
      </c>
      <c r="L159" s="43" t="str">
        <f ca="1">IF($A159="","",IF(COUNTIFS(Dividends!$G:$G,"&gt;"&amp;INT($A158),Dividends!$G:$G,"&lt;="&amp;INT($A159))=0,"",$H$2*SUMIFS(Dividends!$H:$H,Dividends!$G:$G,"&gt;"&amp;INT($A158),Dividends!$G:$G,"&lt;="&amp;INT($A159))))</f>
        <v/>
      </c>
      <c r="M159" s="44" t="str">
        <f ca="1">IF(ISERROR(B159-2),"",C159+D159-F159-G159-K159+SUM($L$14:L159))</f>
        <v/>
      </c>
      <c r="U159" s="3" t="str">
        <f t="shared" si="20"/>
        <v/>
      </c>
      <c r="V159" s="3" t="str">
        <f t="shared" si="21"/>
        <v/>
      </c>
      <c r="Z159" s="3">
        <v>46001</v>
      </c>
      <c r="AA159" s="4">
        <v>246.89660000000001</v>
      </c>
      <c r="AB159" s="6">
        <v>46001</v>
      </c>
      <c r="AC159" s="4">
        <v>253.602</v>
      </c>
      <c r="AD159" s="6">
        <f t="shared" si="22"/>
        <v>46001</v>
      </c>
    </row>
    <row r="160" spans="1:30" x14ac:dyDescent="0.25">
      <c r="A160" s="39" t="str">
        <f t="shared" ca="1" si="23"/>
        <v/>
      </c>
      <c r="B160" s="40" t="str">
        <f ca="1">IF(COUNTIF($W$2:W1145,A160)=1,VLOOKUP(A160,O:P,2), IF(COUNTIF($W$2:W1145,A160)=0,$B$9,""))</f>
        <v/>
      </c>
      <c r="C160" s="2" t="str">
        <f t="shared" ca="1" si="24"/>
        <v/>
      </c>
      <c r="D160" s="43" t="str">
        <f t="shared" ca="1" si="25"/>
        <v/>
      </c>
      <c r="E160" s="40" t="str">
        <f ca="1">IF(COUNTIF($W$2:W1145,A160)=1,VLOOKUP(A160,Q:R,2), IF(COUNTIF($W$2:W1145,A160)=0,$C$9,""))</f>
        <v/>
      </c>
      <c r="F160" s="2" t="str">
        <f t="shared" ca="1" si="26"/>
        <v/>
      </c>
      <c r="G160" s="43" t="str">
        <f t="shared" ca="1" si="27"/>
        <v/>
      </c>
      <c r="H160" s="40" t="str">
        <f ca="1">IF(COUNTIF($W$2:W1145,A160)=1,VLOOKUP(A160,S:T,2), IF(COUNTIF($W$2:W1145,A160)=0,$D$9,""))</f>
        <v/>
      </c>
      <c r="I160" s="41" t="str">
        <f ca="1">IF(COUNTIF($X$2:X1145,INT(A160))=1,VLOOKUP(INT(A160),X:Y,2), IF(ISERROR(H160-2),"",I159*(1-$D$8*(H160-H159)*0.0001)))</f>
        <v/>
      </c>
      <c r="J160" s="41" t="str">
        <f t="shared" ca="1" si="28"/>
        <v/>
      </c>
      <c r="K160" s="43" t="str">
        <f t="shared" ca="1" si="29"/>
        <v/>
      </c>
      <c r="L160" s="43" t="str">
        <f ca="1">IF($A160="","",IF(COUNTIFS(Dividends!$G:$G,"&gt;"&amp;INT($A159),Dividends!$G:$G,"&lt;="&amp;INT($A160))=0,"",$H$2*SUMIFS(Dividends!$H:$H,Dividends!$G:$G,"&gt;"&amp;INT($A159),Dividends!$G:$G,"&lt;="&amp;INT($A160))))</f>
        <v/>
      </c>
      <c r="M160" s="44" t="str">
        <f ca="1">IF(ISERROR(B160-2),"",C160+D160-F160-G160-K160+SUM($L$14:L160))</f>
        <v/>
      </c>
      <c r="U160" s="3" t="str">
        <f t="shared" si="20"/>
        <v/>
      </c>
      <c r="V160" s="3" t="str">
        <f t="shared" si="21"/>
        <v/>
      </c>
      <c r="Z160" s="3">
        <v>46002</v>
      </c>
      <c r="AA160" s="4">
        <v>247.6378</v>
      </c>
      <c r="AB160" s="6">
        <v>46002</v>
      </c>
      <c r="AC160" s="4">
        <v>247.48400000000001</v>
      </c>
      <c r="AD160" s="6">
        <f t="shared" si="22"/>
        <v>46002</v>
      </c>
    </row>
    <row r="161" spans="1:30" x14ac:dyDescent="0.25">
      <c r="A161" s="39" t="str">
        <f t="shared" ca="1" si="23"/>
        <v/>
      </c>
      <c r="B161" s="40" t="str">
        <f ca="1">IF(COUNTIF($W$2:W1146,A161)=1,VLOOKUP(A161,O:P,2), IF(COUNTIF($W$2:W1146,A161)=0,$B$9,""))</f>
        <v/>
      </c>
      <c r="C161" s="2" t="str">
        <f t="shared" ca="1" si="24"/>
        <v/>
      </c>
      <c r="D161" s="43" t="str">
        <f t="shared" ca="1" si="25"/>
        <v/>
      </c>
      <c r="E161" s="40" t="str">
        <f ca="1">IF(COUNTIF($W$2:W1146,A161)=1,VLOOKUP(A161,Q:R,2), IF(COUNTIF($W$2:W1146,A161)=0,$C$9,""))</f>
        <v/>
      </c>
      <c r="F161" s="2" t="str">
        <f t="shared" ca="1" si="26"/>
        <v/>
      </c>
      <c r="G161" s="43" t="str">
        <f t="shared" ca="1" si="27"/>
        <v/>
      </c>
      <c r="H161" s="40" t="str">
        <f ca="1">IF(COUNTIF($W$2:W1146,A161)=1,VLOOKUP(A161,S:T,2), IF(COUNTIF($W$2:W1146,A161)=0,$D$9,""))</f>
        <v/>
      </c>
      <c r="I161" s="41" t="str">
        <f ca="1">IF(COUNTIF($X$2:X1146,INT(A161))=1,VLOOKUP(INT(A161),X:Y,2), IF(ISERROR(H161-2),"",I160*(1-$D$8*(H161-H160)*0.0001)))</f>
        <v/>
      </c>
      <c r="J161" s="41" t="str">
        <f t="shared" ca="1" si="28"/>
        <v/>
      </c>
      <c r="K161" s="43" t="str">
        <f t="shared" ca="1" si="29"/>
        <v/>
      </c>
      <c r="L161" s="43" t="str">
        <f ca="1">IF($A161="","",IF(COUNTIFS(Dividends!$G:$G,"&gt;"&amp;INT($A160),Dividends!$G:$G,"&lt;="&amp;INT($A161))=0,"",$H$2*SUMIFS(Dividends!$H:$H,Dividends!$G:$G,"&gt;"&amp;INT($A160),Dividends!$G:$G,"&lt;="&amp;INT($A161))))</f>
        <v/>
      </c>
      <c r="M161" s="44" t="str">
        <f ca="1">IF(ISERROR(B161-2),"",C161+D161-F161-G161-K161+SUM($L$14:L161))</f>
        <v/>
      </c>
      <c r="U161" s="3" t="str">
        <f t="shared" si="20"/>
        <v/>
      </c>
      <c r="V161" s="3" t="str">
        <f t="shared" si="21"/>
        <v/>
      </c>
      <c r="Z161" s="3">
        <v>46003</v>
      </c>
      <c r="AA161" s="4">
        <v>247.29140000000001</v>
      </c>
      <c r="AB161" s="6">
        <v>46003</v>
      </c>
      <c r="AC161" s="4">
        <v>251.251</v>
      </c>
      <c r="AD161" s="6">
        <f t="shared" si="22"/>
        <v>46003</v>
      </c>
    </row>
    <row r="162" spans="1:30" x14ac:dyDescent="0.25">
      <c r="A162" s="39" t="str">
        <f t="shared" ca="1" si="23"/>
        <v/>
      </c>
      <c r="B162" s="40" t="str">
        <f ca="1">IF(COUNTIF($W$2:W1147,A162)=1,VLOOKUP(A162,O:P,2), IF(COUNTIF($W$2:W1147,A162)=0,$B$9,""))</f>
        <v/>
      </c>
      <c r="C162" s="2" t="str">
        <f t="shared" ca="1" si="24"/>
        <v/>
      </c>
      <c r="D162" s="43" t="str">
        <f t="shared" ca="1" si="25"/>
        <v/>
      </c>
      <c r="E162" s="40" t="str">
        <f ca="1">IF(COUNTIF($W$2:W1147,A162)=1,VLOOKUP(A162,Q:R,2), IF(COUNTIF($W$2:W1147,A162)=0,$C$9,""))</f>
        <v/>
      </c>
      <c r="F162" s="2" t="str">
        <f t="shared" ca="1" si="26"/>
        <v/>
      </c>
      <c r="G162" s="43" t="str">
        <f t="shared" ca="1" si="27"/>
        <v/>
      </c>
      <c r="H162" s="40" t="str">
        <f ca="1">IF(COUNTIF($W$2:W1147,A162)=1,VLOOKUP(A162,S:T,2), IF(COUNTIF($W$2:W1147,A162)=0,$D$9,""))</f>
        <v/>
      </c>
      <c r="I162" s="41" t="str">
        <f ca="1">IF(COUNTIF($X$2:X1147,INT(A162))=1,VLOOKUP(INT(A162),X:Y,2), IF(ISERROR(H162-2),"",I161*(1-$D$8*(H162-H161)*0.0001)))</f>
        <v/>
      </c>
      <c r="J162" s="41" t="str">
        <f t="shared" ca="1" si="28"/>
        <v/>
      </c>
      <c r="K162" s="43" t="str">
        <f t="shared" ca="1" si="29"/>
        <v/>
      </c>
      <c r="L162" s="43" t="str">
        <f ca="1">IF($A162="","",IF(COUNTIFS(Dividends!$G:$G,"&gt;"&amp;INT($A161),Dividends!$G:$G,"&lt;="&amp;INT($A162))=0,"",$H$2*SUMIFS(Dividends!$H:$H,Dividends!$G:$G,"&gt;"&amp;INT($A161),Dividends!$G:$G,"&lt;="&amp;INT($A162))))</f>
        <v/>
      </c>
      <c r="M162" s="44" t="str">
        <f ca="1">IF(ISERROR(B162-2),"",C162+D162-F162-G162-K162+SUM($L$14:L162))</f>
        <v/>
      </c>
      <c r="U162" s="3" t="str">
        <f t="shared" si="20"/>
        <v/>
      </c>
      <c r="V162" s="3" t="str">
        <f t="shared" si="21"/>
        <v/>
      </c>
      <c r="Z162" s="3">
        <v>46006</v>
      </c>
      <c r="AA162" s="4">
        <v>247.6292</v>
      </c>
      <c r="AB162" s="6">
        <v>46006</v>
      </c>
      <c r="AC162" s="4">
        <v>248.71100000000001</v>
      </c>
      <c r="AD162" s="6">
        <f t="shared" si="22"/>
        <v>46006</v>
      </c>
    </row>
    <row r="163" spans="1:30" x14ac:dyDescent="0.25">
      <c r="A163" s="39" t="str">
        <f t="shared" ca="1" si="23"/>
        <v/>
      </c>
      <c r="B163" s="40" t="str">
        <f ca="1">IF(COUNTIF($W$2:W1148,A163)=1,VLOOKUP(A163,O:P,2), IF(COUNTIF($W$2:W1148,A163)=0,$B$9,""))</f>
        <v/>
      </c>
      <c r="C163" s="2" t="str">
        <f t="shared" ca="1" si="24"/>
        <v/>
      </c>
      <c r="D163" s="43" t="str">
        <f t="shared" ca="1" si="25"/>
        <v/>
      </c>
      <c r="E163" s="40" t="str">
        <f ca="1">IF(COUNTIF($W$2:W1148,A163)=1,VLOOKUP(A163,Q:R,2), IF(COUNTIF($W$2:W1148,A163)=0,$C$9,""))</f>
        <v/>
      </c>
      <c r="F163" s="2" t="str">
        <f t="shared" ca="1" si="26"/>
        <v/>
      </c>
      <c r="G163" s="43" t="str">
        <f t="shared" ca="1" si="27"/>
        <v/>
      </c>
      <c r="H163" s="40" t="str">
        <f ca="1">IF(COUNTIF($W$2:W1148,A163)=1,VLOOKUP(A163,S:T,2), IF(COUNTIF($W$2:W1148,A163)=0,$D$9,""))</f>
        <v/>
      </c>
      <c r="I163" s="41" t="str">
        <f ca="1">IF(COUNTIF($X$2:X1148,INT(A163))=1,VLOOKUP(INT(A163),X:Y,2), IF(ISERROR(H163-2),"",I162*(1-$D$8*(H163-H162)*0.0001)))</f>
        <v/>
      </c>
      <c r="J163" s="41" t="str">
        <f t="shared" ca="1" si="28"/>
        <v/>
      </c>
      <c r="K163" s="43" t="str">
        <f t="shared" ca="1" si="29"/>
        <v/>
      </c>
      <c r="L163" s="43" t="str">
        <f ca="1">IF($A163="","",IF(COUNTIFS(Dividends!$G:$G,"&gt;"&amp;INT($A162),Dividends!$G:$G,"&lt;="&amp;INT($A163))=0,"",$H$2*SUMIFS(Dividends!$H:$H,Dividends!$G:$G,"&gt;"&amp;INT($A162),Dividends!$G:$G,"&lt;="&amp;INT($A163))))</f>
        <v/>
      </c>
      <c r="M163" s="44" t="str">
        <f ca="1">IF(ISERROR(B163-2),"",C163+D163-F163-G163-K163+SUM($L$14:L163))</f>
        <v/>
      </c>
      <c r="U163" s="3" t="str">
        <f t="shared" si="20"/>
        <v/>
      </c>
      <c r="V163" s="3" t="str">
        <f t="shared" si="21"/>
        <v/>
      </c>
      <c r="Z163" s="3">
        <v>46007</v>
      </c>
      <c r="AA163" s="4">
        <v>247.4761</v>
      </c>
      <c r="AB163" s="6">
        <v>46007</v>
      </c>
      <c r="AC163" s="4">
        <v>250.40600000000001</v>
      </c>
      <c r="AD163" s="6">
        <f t="shared" si="22"/>
        <v>46007</v>
      </c>
    </row>
    <row r="164" spans="1:30" x14ac:dyDescent="0.25">
      <c r="A164" s="39" t="str">
        <f t="shared" ca="1" si="23"/>
        <v/>
      </c>
      <c r="B164" s="40" t="str">
        <f ca="1">IF(COUNTIF($W$2:W1149,A164)=1,VLOOKUP(A164,O:P,2), IF(COUNTIF($W$2:W1149,A164)=0,$B$9,""))</f>
        <v/>
      </c>
      <c r="C164" s="2" t="str">
        <f t="shared" ca="1" si="24"/>
        <v/>
      </c>
      <c r="D164" s="43" t="str">
        <f t="shared" ca="1" si="25"/>
        <v/>
      </c>
      <c r="E164" s="40" t="str">
        <f ca="1">IF(COUNTIF($W$2:W1149,A164)=1,VLOOKUP(A164,Q:R,2), IF(COUNTIF($W$2:W1149,A164)=0,$C$9,""))</f>
        <v/>
      </c>
      <c r="F164" s="2" t="str">
        <f t="shared" ca="1" si="26"/>
        <v/>
      </c>
      <c r="G164" s="43" t="str">
        <f t="shared" ca="1" si="27"/>
        <v/>
      </c>
      <c r="H164" s="40" t="str">
        <f ca="1">IF(COUNTIF($W$2:W1149,A164)=1,VLOOKUP(A164,S:T,2), IF(COUNTIF($W$2:W1149,A164)=0,$D$9,""))</f>
        <v/>
      </c>
      <c r="I164" s="41" t="str">
        <f ca="1">IF(COUNTIF($X$2:X1149,INT(A164))=1,VLOOKUP(INT(A164),X:Y,2), IF(ISERROR(H164-2),"",I163*(1-$D$8*(H164-H163)*0.0001)))</f>
        <v/>
      </c>
      <c r="J164" s="41" t="str">
        <f t="shared" ca="1" si="28"/>
        <v/>
      </c>
      <c r="K164" s="43" t="str">
        <f t="shared" ca="1" si="29"/>
        <v/>
      </c>
      <c r="L164" s="43" t="str">
        <f ca="1">IF($A164="","",IF(COUNTIFS(Dividends!$G:$G,"&gt;"&amp;INT($A163),Dividends!$G:$G,"&lt;="&amp;INT($A164))=0,"",$H$2*SUMIFS(Dividends!$H:$H,Dividends!$G:$G,"&gt;"&amp;INT($A163),Dividends!$G:$G,"&lt;="&amp;INT($A164))))</f>
        <v/>
      </c>
      <c r="M164" s="44" t="str">
        <f ca="1">IF(ISERROR(B164-2),"",C164+D164-F164-G164-K164+SUM($L$14:L164))</f>
        <v/>
      </c>
      <c r="U164" s="3" t="str">
        <f t="shared" si="20"/>
        <v/>
      </c>
      <c r="V164" s="3" t="str">
        <f t="shared" si="21"/>
        <v/>
      </c>
      <c r="Z164" s="3">
        <v>46008</v>
      </c>
      <c r="AA164" s="4">
        <v>247.34719999999999</v>
      </c>
      <c r="AB164" s="6">
        <v>46008</v>
      </c>
      <c r="AC164" s="4">
        <v>251.99100000000001</v>
      </c>
      <c r="AD164" s="6">
        <f t="shared" si="22"/>
        <v>46008</v>
      </c>
    </row>
    <row r="165" spans="1:30" x14ac:dyDescent="0.25">
      <c r="A165" s="39" t="str">
        <f t="shared" ca="1" si="23"/>
        <v/>
      </c>
      <c r="B165" s="40" t="str">
        <f ca="1">IF(COUNTIF($W$2:W1150,A165)=1,VLOOKUP(A165,O:P,2), IF(COUNTIF($W$2:W1150,A165)=0,$B$9,""))</f>
        <v/>
      </c>
      <c r="C165" s="2" t="str">
        <f t="shared" ca="1" si="24"/>
        <v/>
      </c>
      <c r="D165" s="43" t="str">
        <f t="shared" ca="1" si="25"/>
        <v/>
      </c>
      <c r="E165" s="40" t="str">
        <f ca="1">IF(COUNTIF($W$2:W1150,A165)=1,VLOOKUP(A165,Q:R,2), IF(COUNTIF($W$2:W1150,A165)=0,$C$9,""))</f>
        <v/>
      </c>
      <c r="F165" s="2" t="str">
        <f t="shared" ca="1" si="26"/>
        <v/>
      </c>
      <c r="G165" s="43" t="str">
        <f t="shared" ca="1" si="27"/>
        <v/>
      </c>
      <c r="H165" s="40" t="str">
        <f ca="1">IF(COUNTIF($W$2:W1150,A165)=1,VLOOKUP(A165,S:T,2), IF(COUNTIF($W$2:W1150,A165)=0,$D$9,""))</f>
        <v/>
      </c>
      <c r="I165" s="41" t="str">
        <f ca="1">IF(COUNTIF($X$2:X1150,INT(A165))=1,VLOOKUP(INT(A165),X:Y,2), IF(ISERROR(H165-2),"",I164*(1-$D$8*(H165-H164)*0.0001)))</f>
        <v/>
      </c>
      <c r="J165" s="41" t="str">
        <f t="shared" ca="1" si="28"/>
        <v/>
      </c>
      <c r="K165" s="43" t="str">
        <f t="shared" ca="1" si="29"/>
        <v/>
      </c>
      <c r="L165" s="43" t="str">
        <f ca="1">IF($A165="","",IF(COUNTIFS(Dividends!$G:$G,"&gt;"&amp;INT($A164),Dividends!$G:$G,"&lt;="&amp;INT($A165))=0,"",$H$2*SUMIFS(Dividends!$H:$H,Dividends!$G:$G,"&gt;"&amp;INT($A164),Dividends!$G:$G,"&lt;="&amp;INT($A165))))</f>
        <v/>
      </c>
      <c r="M165" s="44" t="str">
        <f ca="1">IF(ISERROR(B165-2),"",C165+D165-F165-G165-K165+SUM($L$14:L165))</f>
        <v/>
      </c>
      <c r="U165" s="3" t="str">
        <f t="shared" si="20"/>
        <v/>
      </c>
      <c r="V165" s="3" t="str">
        <f t="shared" si="21"/>
        <v/>
      </c>
      <c r="Z165" s="3">
        <v>46009</v>
      </c>
      <c r="AA165" s="4">
        <v>248.1044</v>
      </c>
      <c r="AB165" s="6">
        <v>46009</v>
      </c>
      <c r="AC165" s="4">
        <v>245.59399999999999</v>
      </c>
      <c r="AD165" s="6">
        <f t="shared" si="22"/>
        <v>46009</v>
      </c>
    </row>
    <row r="166" spans="1:30" x14ac:dyDescent="0.25">
      <c r="A166" s="39" t="str">
        <f t="shared" ca="1" si="23"/>
        <v/>
      </c>
      <c r="B166" s="40" t="str">
        <f ca="1">IF(COUNTIF($W$2:W1151,A166)=1,VLOOKUP(A166,O:P,2), IF(COUNTIF($W$2:W1151,A166)=0,$B$9,""))</f>
        <v/>
      </c>
      <c r="C166" s="2" t="str">
        <f t="shared" ca="1" si="24"/>
        <v/>
      </c>
      <c r="D166" s="43" t="str">
        <f t="shared" ca="1" si="25"/>
        <v/>
      </c>
      <c r="E166" s="40" t="str">
        <f ca="1">IF(COUNTIF($W$2:W1151,A166)=1,VLOOKUP(A166,Q:R,2), IF(COUNTIF($W$2:W1151,A166)=0,$C$9,""))</f>
        <v/>
      </c>
      <c r="F166" s="2" t="str">
        <f t="shared" ca="1" si="26"/>
        <v/>
      </c>
      <c r="G166" s="43" t="str">
        <f t="shared" ca="1" si="27"/>
        <v/>
      </c>
      <c r="H166" s="40" t="str">
        <f ca="1">IF(COUNTIF($W$2:W1151,A166)=1,VLOOKUP(A166,S:T,2), IF(COUNTIF($W$2:W1151,A166)=0,$D$9,""))</f>
        <v/>
      </c>
      <c r="I166" s="41" t="str">
        <f ca="1">IF(COUNTIF($X$2:X1151,INT(A166))=1,VLOOKUP(INT(A166),X:Y,2), IF(ISERROR(H166-2),"",I165*(1-$D$8*(H166-H165)*0.0001)))</f>
        <v/>
      </c>
      <c r="J166" s="41" t="str">
        <f t="shared" ca="1" si="28"/>
        <v/>
      </c>
      <c r="K166" s="43" t="str">
        <f t="shared" ca="1" si="29"/>
        <v/>
      </c>
      <c r="L166" s="43" t="str">
        <f ca="1">IF($A166="","",IF(COUNTIFS(Dividends!$G:$G,"&gt;"&amp;INT($A165),Dividends!$G:$G,"&lt;="&amp;INT($A166))=0,"",$H$2*SUMIFS(Dividends!$H:$H,Dividends!$G:$G,"&gt;"&amp;INT($A165),Dividends!$G:$G,"&lt;="&amp;INT($A166))))</f>
        <v/>
      </c>
      <c r="M166" s="44" t="str">
        <f ca="1">IF(ISERROR(B166-2),"",C166+D166-F166-G166-K166+SUM($L$14:L166))</f>
        <v/>
      </c>
      <c r="U166" s="3" t="str">
        <f t="shared" si="20"/>
        <v/>
      </c>
      <c r="V166" s="3" t="str">
        <f t="shared" si="21"/>
        <v/>
      </c>
      <c r="Z166" s="3">
        <v>46010</v>
      </c>
      <c r="AA166" s="4">
        <v>248.1113</v>
      </c>
      <c r="AB166" s="6">
        <v>46010</v>
      </c>
      <c r="AC166" s="4">
        <v>245.69</v>
      </c>
      <c r="AD166" s="6">
        <f t="shared" si="22"/>
        <v>46010</v>
      </c>
    </row>
    <row r="167" spans="1:30" x14ac:dyDescent="0.25">
      <c r="A167" s="39" t="str">
        <f t="shared" ca="1" si="23"/>
        <v/>
      </c>
      <c r="B167" s="40" t="str">
        <f ca="1">IF(COUNTIF($W$2:W1152,A167)=1,VLOOKUP(A167,O:P,2), IF(COUNTIF($W$2:W1152,A167)=0,$B$9,""))</f>
        <v/>
      </c>
      <c r="C167" s="2" t="str">
        <f t="shared" ca="1" si="24"/>
        <v/>
      </c>
      <c r="D167" s="43" t="str">
        <f t="shared" ca="1" si="25"/>
        <v/>
      </c>
      <c r="E167" s="40" t="str">
        <f ca="1">IF(COUNTIF($W$2:W1152,A167)=1,VLOOKUP(A167,Q:R,2), IF(COUNTIF($W$2:W1152,A167)=0,$C$9,""))</f>
        <v/>
      </c>
      <c r="F167" s="2" t="str">
        <f t="shared" ca="1" si="26"/>
        <v/>
      </c>
      <c r="G167" s="43" t="str">
        <f t="shared" ca="1" si="27"/>
        <v/>
      </c>
      <c r="H167" s="40" t="str">
        <f ca="1">IF(COUNTIF($W$2:W1152,A167)=1,VLOOKUP(A167,S:T,2), IF(COUNTIF($W$2:W1152,A167)=0,$D$9,""))</f>
        <v/>
      </c>
      <c r="I167" s="41" t="str">
        <f ca="1">IF(COUNTIF($X$2:X1152,INT(A167))=1,VLOOKUP(INT(A167),X:Y,2), IF(ISERROR(H167-2),"",I166*(1-$D$8*(H167-H166)*0.0001)))</f>
        <v/>
      </c>
      <c r="J167" s="41" t="str">
        <f t="shared" ca="1" si="28"/>
        <v/>
      </c>
      <c r="K167" s="43" t="str">
        <f t="shared" ca="1" si="29"/>
        <v/>
      </c>
      <c r="L167" s="43" t="str">
        <f ca="1">IF($A167="","",IF(COUNTIFS(Dividends!$G:$G,"&gt;"&amp;INT($A166),Dividends!$G:$G,"&lt;="&amp;INT($A167))=0,"",$H$2*SUMIFS(Dividends!$H:$H,Dividends!$G:$G,"&gt;"&amp;INT($A166),Dividends!$G:$G,"&lt;="&amp;INT($A167))))</f>
        <v/>
      </c>
      <c r="M167" s="44" t="str">
        <f ca="1">IF(ISERROR(B167-2),"",C167+D167-F167-G167-K167+SUM($L$14:L167))</f>
        <v/>
      </c>
      <c r="U167" s="3" t="str">
        <f t="shared" si="20"/>
        <v/>
      </c>
      <c r="V167" s="3" t="str">
        <f t="shared" si="21"/>
        <v/>
      </c>
      <c r="Z167" s="3">
        <v>46013</v>
      </c>
      <c r="AA167" s="4">
        <v>248.3845</v>
      </c>
      <c r="AB167" s="6">
        <v>46013</v>
      </c>
      <c r="AC167" s="4">
        <v>244.00800000000001</v>
      </c>
      <c r="AD167" s="6">
        <f t="shared" si="22"/>
        <v>46013</v>
      </c>
    </row>
    <row r="168" spans="1:30" x14ac:dyDescent="0.25">
      <c r="A168" s="39" t="str">
        <f t="shared" ca="1" si="23"/>
        <v/>
      </c>
      <c r="B168" s="40" t="str">
        <f ca="1">IF(COUNTIF($W$2:W1153,A168)=1,VLOOKUP(A168,O:P,2), IF(COUNTIF($W$2:W1153,A168)=0,$B$9,""))</f>
        <v/>
      </c>
      <c r="C168" s="2" t="str">
        <f t="shared" ca="1" si="24"/>
        <v/>
      </c>
      <c r="D168" s="43" t="str">
        <f t="shared" ca="1" si="25"/>
        <v/>
      </c>
      <c r="E168" s="40" t="str">
        <f ca="1">IF(COUNTIF($W$2:W1153,A168)=1,VLOOKUP(A168,Q:R,2), IF(COUNTIF($W$2:W1153,A168)=0,$C$9,""))</f>
        <v/>
      </c>
      <c r="F168" s="2" t="str">
        <f t="shared" ca="1" si="26"/>
        <v/>
      </c>
      <c r="G168" s="43" t="str">
        <f t="shared" ca="1" si="27"/>
        <v/>
      </c>
      <c r="H168" s="40" t="str">
        <f ca="1">IF(COUNTIF($W$2:W1153,A168)=1,VLOOKUP(A168,S:T,2), IF(COUNTIF($W$2:W1153,A168)=0,$D$9,""))</f>
        <v/>
      </c>
      <c r="I168" s="41" t="str">
        <f ca="1">IF(COUNTIF($X$2:X1153,INT(A168))=1,VLOOKUP(INT(A168),X:Y,2), IF(ISERROR(H168-2),"",I167*(1-$D$8*(H168-H167)*0.0001)))</f>
        <v/>
      </c>
      <c r="J168" s="41" t="str">
        <f t="shared" ca="1" si="28"/>
        <v/>
      </c>
      <c r="K168" s="43" t="str">
        <f t="shared" ca="1" si="29"/>
        <v/>
      </c>
      <c r="L168" s="43" t="str">
        <f ca="1">IF($A168="","",IF(COUNTIFS(Dividends!$G:$G,"&gt;"&amp;INT($A167),Dividends!$G:$G,"&lt;="&amp;INT($A168))=0,"",$H$2*SUMIFS(Dividends!$H:$H,Dividends!$G:$G,"&gt;"&amp;INT($A167),Dividends!$G:$G,"&lt;="&amp;INT($A168))))</f>
        <v/>
      </c>
      <c r="M168" s="44" t="str">
        <f ca="1">IF(ISERROR(B168-2),"",C168+D168-F168-G168-K168+SUM($L$14:L168))</f>
        <v/>
      </c>
      <c r="U168" s="3" t="str">
        <f t="shared" si="20"/>
        <v/>
      </c>
      <c r="V168" s="3" t="str">
        <f t="shared" si="21"/>
        <v/>
      </c>
      <c r="Z168" s="3">
        <v>46014</v>
      </c>
      <c r="AA168" s="4">
        <v>248.27979999999999</v>
      </c>
      <c r="AB168" s="6">
        <v>46014</v>
      </c>
      <c r="AC168" s="4">
        <v>244.649</v>
      </c>
      <c r="AD168" s="6">
        <f t="shared" si="22"/>
        <v>46014</v>
      </c>
    </row>
    <row r="169" spans="1:30" x14ac:dyDescent="0.25">
      <c r="A169" s="39" t="str">
        <f t="shared" ca="1" si="23"/>
        <v/>
      </c>
      <c r="B169" s="40" t="str">
        <f ca="1">IF(COUNTIF($W$2:W1154,A169)=1,VLOOKUP(A169,O:P,2), IF(COUNTIF($W$2:W1154,A169)=0,$B$9,""))</f>
        <v/>
      </c>
      <c r="C169" s="2" t="str">
        <f t="shared" ca="1" si="24"/>
        <v/>
      </c>
      <c r="D169" s="43" t="str">
        <f t="shared" ca="1" si="25"/>
        <v/>
      </c>
      <c r="E169" s="40" t="str">
        <f ca="1">IF(COUNTIF($W$2:W1154,A169)=1,VLOOKUP(A169,Q:R,2), IF(COUNTIF($W$2:W1154,A169)=0,$C$9,""))</f>
        <v/>
      </c>
      <c r="F169" s="2" t="str">
        <f t="shared" ca="1" si="26"/>
        <v/>
      </c>
      <c r="G169" s="43" t="str">
        <f t="shared" ca="1" si="27"/>
        <v/>
      </c>
      <c r="H169" s="40" t="str">
        <f ca="1">IF(COUNTIF($W$2:W1154,A169)=1,VLOOKUP(A169,S:T,2), IF(COUNTIF($W$2:W1154,A169)=0,$D$9,""))</f>
        <v/>
      </c>
      <c r="I169" s="41" t="str">
        <f ca="1">IF(COUNTIF($X$2:X1154,INT(A169))=1,VLOOKUP(INT(A169),X:Y,2), IF(ISERROR(H169-2),"",I168*(1-$D$8*(H169-H168)*0.0001)))</f>
        <v/>
      </c>
      <c r="J169" s="41" t="str">
        <f t="shared" ca="1" si="28"/>
        <v/>
      </c>
      <c r="K169" s="43" t="str">
        <f t="shared" ca="1" si="29"/>
        <v/>
      </c>
      <c r="L169" s="43" t="str">
        <f ca="1">IF($A169="","",IF(COUNTIFS(Dividends!$G:$G,"&gt;"&amp;INT($A168),Dividends!$G:$G,"&lt;="&amp;INT($A169))=0,"",$H$2*SUMIFS(Dividends!$H:$H,Dividends!$G:$G,"&gt;"&amp;INT($A168),Dividends!$G:$G,"&lt;="&amp;INT($A169))))</f>
        <v/>
      </c>
      <c r="M169" s="44" t="str">
        <f ca="1">IF(ISERROR(B169-2),"",C169+D169-F169-G169-K169+SUM($L$14:L169))</f>
        <v/>
      </c>
      <c r="U169" s="3" t="str">
        <f t="shared" si="20"/>
        <v/>
      </c>
      <c r="V169" s="3" t="str">
        <f t="shared" si="21"/>
        <v/>
      </c>
      <c r="Z169" s="3">
        <v>46015</v>
      </c>
      <c r="AA169" s="4">
        <v>248.3295</v>
      </c>
      <c r="AB169" s="6">
        <v>46015</v>
      </c>
      <c r="AC169" s="4">
        <v>244.44200000000001</v>
      </c>
      <c r="AD169" s="6">
        <f t="shared" si="22"/>
        <v>46015</v>
      </c>
    </row>
    <row r="170" spans="1:30" x14ac:dyDescent="0.25">
      <c r="A170" s="39" t="str">
        <f t="shared" ca="1" si="23"/>
        <v/>
      </c>
      <c r="B170" s="40" t="str">
        <f ca="1">IF(COUNTIF($W$2:W1155,A170)=1,VLOOKUP(A170,O:P,2), IF(COUNTIF($W$2:W1155,A170)=0,$B$9,""))</f>
        <v/>
      </c>
      <c r="C170" s="2" t="str">
        <f t="shared" ca="1" si="24"/>
        <v/>
      </c>
      <c r="D170" s="43" t="str">
        <f t="shared" ca="1" si="25"/>
        <v/>
      </c>
      <c r="E170" s="40" t="str">
        <f ca="1">IF(COUNTIF($W$2:W1155,A170)=1,VLOOKUP(A170,Q:R,2), IF(COUNTIF($W$2:W1155,A170)=0,$C$9,""))</f>
        <v/>
      </c>
      <c r="F170" s="2" t="str">
        <f t="shared" ca="1" si="26"/>
        <v/>
      </c>
      <c r="G170" s="43" t="str">
        <f t="shared" ca="1" si="27"/>
        <v/>
      </c>
      <c r="H170" s="40" t="str">
        <f ca="1">IF(COUNTIF($W$2:W1155,A170)=1,VLOOKUP(A170,S:T,2), IF(COUNTIF($W$2:W1155,A170)=0,$D$9,""))</f>
        <v/>
      </c>
      <c r="I170" s="41" t="str">
        <f ca="1">IF(COUNTIF($X$2:X1155,INT(A170))=1,VLOOKUP(INT(A170),X:Y,2), IF(ISERROR(H170-2),"",I169*(1-$D$8*(H170-H169)*0.0001)))</f>
        <v/>
      </c>
      <c r="J170" s="41" t="str">
        <f t="shared" ca="1" si="28"/>
        <v/>
      </c>
      <c r="K170" s="43" t="str">
        <f t="shared" ca="1" si="29"/>
        <v/>
      </c>
      <c r="L170" s="43" t="str">
        <f ca="1">IF($A170="","",IF(COUNTIFS(Dividends!$G:$G,"&gt;"&amp;INT($A169),Dividends!$G:$G,"&lt;="&amp;INT($A170))=0,"",$H$2*SUMIFS(Dividends!$H:$H,Dividends!$G:$G,"&gt;"&amp;INT($A169),Dividends!$G:$G,"&lt;="&amp;INT($A170))))</f>
        <v/>
      </c>
      <c r="M170" s="44" t="str">
        <f ca="1">IF(ISERROR(B170-2),"",C170+D170-F170-G170-K170+SUM($L$14:L170))</f>
        <v/>
      </c>
      <c r="U170" s="3" t="str">
        <f t="shared" si="20"/>
        <v/>
      </c>
      <c r="V170" s="3" t="str">
        <f t="shared" si="21"/>
        <v/>
      </c>
      <c r="Z170" s="3">
        <v>46020</v>
      </c>
      <c r="AA170" s="4">
        <v>248.321</v>
      </c>
      <c r="AB170" s="6">
        <v>46020</v>
      </c>
      <c r="AC170" s="4">
        <v>245.09</v>
      </c>
      <c r="AD170" s="6">
        <f t="shared" si="22"/>
        <v>46020</v>
      </c>
    </row>
    <row r="171" spans="1:30" x14ac:dyDescent="0.25">
      <c r="A171" s="39" t="str">
        <f t="shared" ca="1" si="23"/>
        <v/>
      </c>
      <c r="B171" s="40" t="str">
        <f ca="1">IF(COUNTIF($W$2:W1156,A171)=1,VLOOKUP(A171,O:P,2), IF(COUNTIF($W$2:W1156,A171)=0,$B$9,""))</f>
        <v/>
      </c>
      <c r="C171" s="2" t="str">
        <f t="shared" ca="1" si="24"/>
        <v/>
      </c>
      <c r="D171" s="43" t="str">
        <f t="shared" ca="1" si="25"/>
        <v/>
      </c>
      <c r="E171" s="40" t="str">
        <f ca="1">IF(COUNTIF($W$2:W1156,A171)=1,VLOOKUP(A171,Q:R,2), IF(COUNTIF($W$2:W1156,A171)=0,$C$9,""))</f>
        <v/>
      </c>
      <c r="F171" s="2" t="str">
        <f t="shared" ca="1" si="26"/>
        <v/>
      </c>
      <c r="G171" s="43" t="str">
        <f t="shared" ca="1" si="27"/>
        <v/>
      </c>
      <c r="H171" s="40" t="str">
        <f ca="1">IF(COUNTIF($W$2:W1156,A171)=1,VLOOKUP(A171,S:T,2), IF(COUNTIF($W$2:W1156,A171)=0,$D$9,""))</f>
        <v/>
      </c>
      <c r="I171" s="41" t="str">
        <f ca="1">IF(COUNTIF($X$2:X1156,INT(A171))=1,VLOOKUP(INT(A171),X:Y,2), IF(ISERROR(H171-2),"",I170*(1-$D$8*(H171-H170)*0.0001)))</f>
        <v/>
      </c>
      <c r="J171" s="41" t="str">
        <f t="shared" ca="1" si="28"/>
        <v/>
      </c>
      <c r="K171" s="43" t="str">
        <f t="shared" ca="1" si="29"/>
        <v/>
      </c>
      <c r="L171" s="43" t="str">
        <f ca="1">IF($A171="","",IF(COUNTIFS(Dividends!$G:$G,"&gt;"&amp;INT($A170),Dividends!$G:$G,"&lt;="&amp;INT($A171))=0,"",$H$2*SUMIFS(Dividends!$H:$H,Dividends!$G:$G,"&gt;"&amp;INT($A170),Dividends!$G:$G,"&lt;="&amp;INT($A171))))</f>
        <v/>
      </c>
      <c r="M171" s="44" t="str">
        <f ca="1">IF(ISERROR(B171-2),"",C171+D171-F171-G171-K171+SUM($L$14:L171))</f>
        <v/>
      </c>
      <c r="U171" s="3" t="str">
        <f t="shared" si="20"/>
        <v/>
      </c>
      <c r="V171" s="3" t="str">
        <f t="shared" si="21"/>
        <v/>
      </c>
      <c r="Z171" s="3">
        <v>46021</v>
      </c>
      <c r="AA171" s="4">
        <v>248.6404</v>
      </c>
      <c r="AB171" s="6">
        <v>46021</v>
      </c>
      <c r="AC171" s="4">
        <v>244.19900000000001</v>
      </c>
      <c r="AD171" s="6">
        <f t="shared" si="22"/>
        <v>46021</v>
      </c>
    </row>
    <row r="172" spans="1:30" x14ac:dyDescent="0.25">
      <c r="A172" s="39" t="str">
        <f t="shared" ca="1" si="23"/>
        <v/>
      </c>
      <c r="B172" s="40" t="str">
        <f ca="1">IF(COUNTIF($W$2:W1157,A172)=1,VLOOKUP(A172,O:P,2), IF(COUNTIF($W$2:W1157,A172)=0,$B$9,""))</f>
        <v/>
      </c>
      <c r="C172" s="2" t="str">
        <f t="shared" ca="1" si="24"/>
        <v/>
      </c>
      <c r="D172" s="43" t="str">
        <f t="shared" ca="1" si="25"/>
        <v/>
      </c>
      <c r="E172" s="40" t="str">
        <f ca="1">IF(COUNTIF($W$2:W1157,A172)=1,VLOOKUP(A172,Q:R,2), IF(COUNTIF($W$2:W1157,A172)=0,$C$9,""))</f>
        <v/>
      </c>
      <c r="F172" s="2" t="str">
        <f t="shared" ca="1" si="26"/>
        <v/>
      </c>
      <c r="G172" s="43" t="str">
        <f t="shared" ca="1" si="27"/>
        <v/>
      </c>
      <c r="H172" s="40" t="str">
        <f ca="1">IF(COUNTIF($W$2:W1157,A172)=1,VLOOKUP(A172,S:T,2), IF(COUNTIF($W$2:W1157,A172)=0,$D$9,""))</f>
        <v/>
      </c>
      <c r="I172" s="41" t="str">
        <f ca="1">IF(COUNTIF($X$2:X1157,INT(A172))=1,VLOOKUP(INT(A172),X:Y,2), IF(ISERROR(H172-2),"",I171*(1-$D$8*(H172-H171)*0.0001)))</f>
        <v/>
      </c>
      <c r="J172" s="41" t="str">
        <f t="shared" ca="1" si="28"/>
        <v/>
      </c>
      <c r="K172" s="43" t="str">
        <f t="shared" ca="1" si="29"/>
        <v/>
      </c>
      <c r="L172" s="43" t="str">
        <f ca="1">IF($A172="","",IF(COUNTIFS(Dividends!$G:$G,"&gt;"&amp;INT($A171),Dividends!$G:$G,"&lt;="&amp;INT($A172))=0,"",$H$2*SUMIFS(Dividends!$H:$H,Dividends!$G:$G,"&gt;"&amp;INT($A171),Dividends!$G:$G,"&lt;="&amp;INT($A172))))</f>
        <v/>
      </c>
      <c r="M172" s="44" t="str">
        <f ca="1">IF(ISERROR(B172-2),"",C172+D172-F172-G172-K172+SUM($L$14:L172))</f>
        <v/>
      </c>
      <c r="U172" s="3" t="str">
        <f t="shared" si="20"/>
        <v/>
      </c>
      <c r="V172" s="3" t="str">
        <f t="shared" si="21"/>
        <v/>
      </c>
      <c r="Z172" s="3">
        <v>46022</v>
      </c>
      <c r="AA172" s="4">
        <v>248.5951</v>
      </c>
      <c r="AB172" s="6">
        <v>46022</v>
      </c>
      <c r="AC172" s="4">
        <v>244.239</v>
      </c>
      <c r="AD172" s="6">
        <f t="shared" si="22"/>
        <v>46022</v>
      </c>
    </row>
    <row r="173" spans="1:30" x14ac:dyDescent="0.25">
      <c r="A173" s="39" t="str">
        <f t="shared" ca="1" si="23"/>
        <v/>
      </c>
      <c r="B173" s="40" t="str">
        <f ca="1">IF(COUNTIF($W$2:W1158,A173)=1,VLOOKUP(A173,O:P,2), IF(COUNTIF($W$2:W1158,A173)=0,$B$9,""))</f>
        <v/>
      </c>
      <c r="C173" s="2" t="str">
        <f t="shared" ca="1" si="24"/>
        <v/>
      </c>
      <c r="D173" s="43" t="str">
        <f t="shared" ca="1" si="25"/>
        <v/>
      </c>
      <c r="E173" s="40" t="str">
        <f ca="1">IF(COUNTIF($W$2:W1158,A173)=1,VLOOKUP(A173,Q:R,2), IF(COUNTIF($W$2:W1158,A173)=0,$C$9,""))</f>
        <v/>
      </c>
      <c r="F173" s="2" t="str">
        <f t="shared" ca="1" si="26"/>
        <v/>
      </c>
      <c r="G173" s="43" t="str">
        <f t="shared" ca="1" si="27"/>
        <v/>
      </c>
      <c r="H173" s="40" t="str">
        <f ca="1">IF(COUNTIF($W$2:W1158,A173)=1,VLOOKUP(A173,S:T,2), IF(COUNTIF($W$2:W1158,A173)=0,$D$9,""))</f>
        <v/>
      </c>
      <c r="I173" s="41" t="str">
        <f ca="1">IF(COUNTIF($X$2:X1158,INT(A173))=1,VLOOKUP(INT(A173),X:Y,2), IF(ISERROR(H173-2),"",I172*(1-$D$8*(H173-H172)*0.0001)))</f>
        <v/>
      </c>
      <c r="J173" s="41" t="str">
        <f t="shared" ca="1" si="28"/>
        <v/>
      </c>
      <c r="K173" s="43" t="str">
        <f t="shared" ca="1" si="29"/>
        <v/>
      </c>
      <c r="L173" s="43" t="str">
        <f ca="1">IF($A173="","",IF(COUNTIFS(Dividends!$G:$G,"&gt;"&amp;INT($A172),Dividends!$G:$G,"&lt;="&amp;INT($A173))=0,"",$H$2*SUMIFS(Dividends!$H:$H,Dividends!$G:$G,"&gt;"&amp;INT($A172),Dividends!$G:$G,"&lt;="&amp;INT($A173))))</f>
        <v/>
      </c>
      <c r="M173" s="44" t="str">
        <f ca="1">IF(ISERROR(B173-2),"",C173+D173-F173-G173-K173+SUM($L$14:L173))</f>
        <v/>
      </c>
      <c r="U173" s="3" t="str">
        <f t="shared" si="20"/>
        <v/>
      </c>
      <c r="V173" s="3" t="str">
        <f t="shared" si="21"/>
        <v/>
      </c>
      <c r="Z173" s="3">
        <v>46024</v>
      </c>
      <c r="AA173" s="4">
        <v>248.6541</v>
      </c>
      <c r="AB173" s="6">
        <v>46024</v>
      </c>
      <c r="AC173" s="4">
        <v>243.732</v>
      </c>
      <c r="AD173" s="6">
        <f t="shared" si="22"/>
        <v>46024</v>
      </c>
    </row>
    <row r="174" spans="1:30" x14ac:dyDescent="0.25">
      <c r="A174" s="39" t="str">
        <f t="shared" ca="1" si="23"/>
        <v/>
      </c>
      <c r="B174" s="40" t="str">
        <f ca="1">IF(COUNTIF($W$2:W1159,A174)=1,VLOOKUP(A174,O:P,2), IF(COUNTIF($W$2:W1159,A174)=0,$B$9,""))</f>
        <v/>
      </c>
      <c r="C174" s="2" t="str">
        <f t="shared" ca="1" si="24"/>
        <v/>
      </c>
      <c r="D174" s="43" t="str">
        <f t="shared" ca="1" si="25"/>
        <v/>
      </c>
      <c r="E174" s="40" t="str">
        <f ca="1">IF(COUNTIF($W$2:W1159,A174)=1,VLOOKUP(A174,Q:R,2), IF(COUNTIF($W$2:W1159,A174)=0,$C$9,""))</f>
        <v/>
      </c>
      <c r="F174" s="2" t="str">
        <f t="shared" ca="1" si="26"/>
        <v/>
      </c>
      <c r="G174" s="43" t="str">
        <f t="shared" ca="1" si="27"/>
        <v/>
      </c>
      <c r="H174" s="40" t="str">
        <f ca="1">IF(COUNTIF($W$2:W1159,A174)=1,VLOOKUP(A174,S:T,2), IF(COUNTIF($W$2:W1159,A174)=0,$D$9,""))</f>
        <v/>
      </c>
      <c r="I174" s="41" t="str">
        <f ca="1">IF(COUNTIF($X$2:X1159,INT(A174))=1,VLOOKUP(INT(A174),X:Y,2), IF(ISERROR(H174-2),"",I173*(1-$D$8*(H174-H173)*0.0001)))</f>
        <v/>
      </c>
      <c r="J174" s="41" t="str">
        <f t="shared" ca="1" si="28"/>
        <v/>
      </c>
      <c r="K174" s="43" t="str">
        <f t="shared" ca="1" si="29"/>
        <v/>
      </c>
      <c r="L174" s="43" t="str">
        <f ca="1">IF($A174="","",IF(COUNTIFS(Dividends!$G:$G,"&gt;"&amp;INT($A173),Dividends!$G:$G,"&lt;="&amp;INT($A174))=0,"",$H$2*SUMIFS(Dividends!$H:$H,Dividends!$G:$G,"&gt;"&amp;INT($A173),Dividends!$G:$G,"&lt;="&amp;INT($A174))))</f>
        <v/>
      </c>
      <c r="M174" s="44" t="str">
        <f ca="1">IF(ISERROR(B174-2),"",C174+D174-F174-G174-K174+SUM($L$14:L174))</f>
        <v/>
      </c>
      <c r="U174" s="3" t="str">
        <f t="shared" si="20"/>
        <v/>
      </c>
      <c r="V174" s="3" t="str">
        <f t="shared" si="21"/>
        <v/>
      </c>
      <c r="Z174" s="3">
        <v>46027</v>
      </c>
      <c r="AA174" s="4">
        <v>248.83519999999999</v>
      </c>
      <c r="AB174" s="6">
        <v>46027</v>
      </c>
      <c r="AC174" s="4">
        <v>242.14599999999999</v>
      </c>
      <c r="AD174" s="6">
        <f t="shared" si="22"/>
        <v>46027</v>
      </c>
    </row>
    <row r="175" spans="1:30" x14ac:dyDescent="0.25">
      <c r="A175" s="39" t="str">
        <f t="shared" ca="1" si="23"/>
        <v/>
      </c>
      <c r="B175" s="40" t="str">
        <f ca="1">IF(COUNTIF($W$2:W1160,A175)=1,VLOOKUP(A175,O:P,2), IF(COUNTIF($W$2:W1160,A175)=0,$B$9,""))</f>
        <v/>
      </c>
      <c r="C175" s="2" t="str">
        <f t="shared" ca="1" si="24"/>
        <v/>
      </c>
      <c r="D175" s="43" t="str">
        <f t="shared" ca="1" si="25"/>
        <v/>
      </c>
      <c r="E175" s="40" t="str">
        <f ca="1">IF(COUNTIF($W$2:W1160,A175)=1,VLOOKUP(A175,Q:R,2), IF(COUNTIF($W$2:W1160,A175)=0,$C$9,""))</f>
        <v/>
      </c>
      <c r="F175" s="2" t="str">
        <f t="shared" ca="1" si="26"/>
        <v/>
      </c>
      <c r="G175" s="43" t="str">
        <f t="shared" ca="1" si="27"/>
        <v/>
      </c>
      <c r="H175" s="40" t="str">
        <f ca="1">IF(COUNTIF($W$2:W1160,A175)=1,VLOOKUP(A175,S:T,2), IF(COUNTIF($W$2:W1160,A175)=0,$D$9,""))</f>
        <v/>
      </c>
      <c r="I175" s="41" t="str">
        <f ca="1">IF(COUNTIF($X$2:X1160,INT(A175))=1,VLOOKUP(INT(A175),X:Y,2), IF(ISERROR(H175-2),"",I174*(1-$D$8*(H175-H174)*0.0001)))</f>
        <v/>
      </c>
      <c r="J175" s="41" t="str">
        <f t="shared" ca="1" si="28"/>
        <v/>
      </c>
      <c r="K175" s="43" t="str">
        <f t="shared" ca="1" si="29"/>
        <v/>
      </c>
      <c r="L175" s="43" t="str">
        <f ca="1">IF($A175="","",IF(COUNTIFS(Dividends!$G:$G,"&gt;"&amp;INT($A174),Dividends!$G:$G,"&lt;="&amp;INT($A175))=0,"",$H$2*SUMIFS(Dividends!$H:$H,Dividends!$G:$G,"&gt;"&amp;INT($A174),Dividends!$G:$G,"&lt;="&amp;INT($A175))))</f>
        <v/>
      </c>
      <c r="M175" s="44" t="str">
        <f ca="1">IF(ISERROR(B175-2),"",C175+D175-F175-G175-K175+SUM($L$14:L175))</f>
        <v/>
      </c>
      <c r="U175" s="3" t="str">
        <f t="shared" si="20"/>
        <v/>
      </c>
      <c r="V175" s="3" t="str">
        <f t="shared" si="21"/>
        <v/>
      </c>
      <c r="Z175" s="3">
        <v>46028</v>
      </c>
      <c r="AA175" s="4">
        <v>248.91249999999999</v>
      </c>
      <c r="AB175" s="6">
        <v>46028</v>
      </c>
      <c r="AC175" s="4">
        <v>242.20400000000001</v>
      </c>
      <c r="AD175" s="6">
        <f t="shared" si="22"/>
        <v>46028</v>
      </c>
    </row>
    <row r="176" spans="1:30" x14ac:dyDescent="0.25">
      <c r="A176" s="39" t="str">
        <f t="shared" ca="1" si="23"/>
        <v/>
      </c>
      <c r="B176" s="40" t="str">
        <f ca="1">IF(COUNTIF($W$2:W1161,A176)=1,VLOOKUP(A176,O:P,2), IF(COUNTIF($W$2:W1161,A176)=0,$B$9,""))</f>
        <v/>
      </c>
      <c r="C176" s="2" t="str">
        <f t="shared" ca="1" si="24"/>
        <v/>
      </c>
      <c r="D176" s="43" t="str">
        <f t="shared" ca="1" si="25"/>
        <v/>
      </c>
      <c r="E176" s="40" t="str">
        <f ca="1">IF(COUNTIF($W$2:W1161,A176)=1,VLOOKUP(A176,Q:R,2), IF(COUNTIF($W$2:W1161,A176)=0,$C$9,""))</f>
        <v/>
      </c>
      <c r="F176" s="2" t="str">
        <f t="shared" ca="1" si="26"/>
        <v/>
      </c>
      <c r="G176" s="43" t="str">
        <f t="shared" ca="1" si="27"/>
        <v/>
      </c>
      <c r="H176" s="40" t="str">
        <f ca="1">IF(COUNTIF($W$2:W1161,A176)=1,VLOOKUP(A176,S:T,2), IF(COUNTIF($W$2:W1161,A176)=0,$D$9,""))</f>
        <v/>
      </c>
      <c r="I176" s="41" t="str">
        <f ca="1">IF(COUNTIF($X$2:X1161,INT(A176))=1,VLOOKUP(INT(A176),X:Y,2), IF(ISERROR(H176-2),"",I175*(1-$D$8*(H176-H175)*0.0001)))</f>
        <v/>
      </c>
      <c r="J176" s="41" t="str">
        <f t="shared" ca="1" si="28"/>
        <v/>
      </c>
      <c r="K176" s="43" t="str">
        <f t="shared" ca="1" si="29"/>
        <v/>
      </c>
      <c r="L176" s="43" t="str">
        <f ca="1">IF($A176="","",IF(COUNTIFS(Dividends!$G:$G,"&gt;"&amp;INT($A175),Dividends!$G:$G,"&lt;="&amp;INT($A176))=0,"",$H$2*SUMIFS(Dividends!$H:$H,Dividends!$G:$G,"&gt;"&amp;INT($A175),Dividends!$G:$G,"&lt;="&amp;INT($A176))))</f>
        <v/>
      </c>
      <c r="M176" s="44" t="str">
        <f ca="1">IF(ISERROR(B176-2),"",C176+D176-F176-G176-K176+SUM($L$14:L176))</f>
        <v/>
      </c>
      <c r="U176" s="3" t="str">
        <f t="shared" si="20"/>
        <v/>
      </c>
      <c r="V176" s="3" t="str">
        <f t="shared" si="21"/>
        <v/>
      </c>
      <c r="Z176" s="3">
        <v>46029</v>
      </c>
      <c r="AA176" s="4">
        <v>248.8612</v>
      </c>
      <c r="AB176" s="6">
        <v>46029</v>
      </c>
      <c r="AC176" s="4">
        <v>242.517</v>
      </c>
      <c r="AD176" s="6">
        <f t="shared" si="22"/>
        <v>46029</v>
      </c>
    </row>
    <row r="177" spans="1:30" x14ac:dyDescent="0.25">
      <c r="A177" s="39" t="str">
        <f t="shared" ca="1" si="23"/>
        <v/>
      </c>
      <c r="B177" s="40" t="str">
        <f ca="1">IF(COUNTIF($W$2:W1162,A177)=1,VLOOKUP(A177,O:P,2), IF(COUNTIF($W$2:W1162,A177)=0,$B$9,""))</f>
        <v/>
      </c>
      <c r="C177" s="2" t="str">
        <f t="shared" ca="1" si="24"/>
        <v/>
      </c>
      <c r="D177" s="43" t="str">
        <f t="shared" ca="1" si="25"/>
        <v/>
      </c>
      <c r="E177" s="40" t="str">
        <f ca="1">IF(COUNTIF($W$2:W1162,A177)=1,VLOOKUP(A177,Q:R,2), IF(COUNTIF($W$2:W1162,A177)=0,$C$9,""))</f>
        <v/>
      </c>
      <c r="F177" s="2" t="str">
        <f t="shared" ca="1" si="26"/>
        <v/>
      </c>
      <c r="G177" s="43" t="str">
        <f t="shared" ca="1" si="27"/>
        <v/>
      </c>
      <c r="H177" s="40" t="str">
        <f ca="1">IF(COUNTIF($W$2:W1162,A177)=1,VLOOKUP(A177,S:T,2), IF(COUNTIF($W$2:W1162,A177)=0,$D$9,""))</f>
        <v/>
      </c>
      <c r="I177" s="41" t="str">
        <f ca="1">IF(COUNTIF($X$2:X1162,INT(A177))=1,VLOOKUP(INT(A177),X:Y,2), IF(ISERROR(H177-2),"",I176*(1-$D$8*(H177-H176)*0.0001)))</f>
        <v/>
      </c>
      <c r="J177" s="41" t="str">
        <f t="shared" ca="1" si="28"/>
        <v/>
      </c>
      <c r="K177" s="43" t="str">
        <f t="shared" ca="1" si="29"/>
        <v/>
      </c>
      <c r="L177" s="43" t="str">
        <f ca="1">IF($A177="","",IF(COUNTIFS(Dividends!$G:$G,"&gt;"&amp;INT($A176),Dividends!$G:$G,"&lt;="&amp;INT($A177))=0,"",$H$2*SUMIFS(Dividends!$H:$H,Dividends!$G:$G,"&gt;"&amp;INT($A176),Dividends!$G:$G,"&lt;="&amp;INT($A177))))</f>
        <v/>
      </c>
      <c r="M177" s="44" t="str">
        <f ca="1">IF(ISERROR(B177-2),"",C177+D177-F177-G177-K177+SUM($L$14:L177))</f>
        <v/>
      </c>
      <c r="U177" s="3" t="str">
        <f t="shared" si="20"/>
        <v/>
      </c>
      <c r="V177" s="3" t="str">
        <f t="shared" si="21"/>
        <v/>
      </c>
      <c r="Z177" s="3">
        <v>46030</v>
      </c>
      <c r="AA177" s="4">
        <v>248.84979999999999</v>
      </c>
      <c r="AB177" s="6">
        <v>46030</v>
      </c>
      <c r="AC177" s="4">
        <v>242.678</v>
      </c>
      <c r="AD177" s="6">
        <f t="shared" si="22"/>
        <v>46030</v>
      </c>
    </row>
    <row r="178" spans="1:30" x14ac:dyDescent="0.25">
      <c r="A178" s="39" t="str">
        <f t="shared" ca="1" si="23"/>
        <v/>
      </c>
      <c r="B178" s="40" t="str">
        <f ca="1">IF(COUNTIF($W$2:W1163,A178)=1,VLOOKUP(A178,O:P,2), IF(COUNTIF($W$2:W1163,A178)=0,$B$9,""))</f>
        <v/>
      </c>
      <c r="C178" s="2" t="str">
        <f t="shared" ca="1" si="24"/>
        <v/>
      </c>
      <c r="D178" s="43" t="str">
        <f t="shared" ca="1" si="25"/>
        <v/>
      </c>
      <c r="E178" s="40" t="str">
        <f ca="1">IF(COUNTIF($W$2:W1163,A178)=1,VLOOKUP(A178,Q:R,2), IF(COUNTIF($W$2:W1163,A178)=0,$C$9,""))</f>
        <v/>
      </c>
      <c r="F178" s="2" t="str">
        <f t="shared" ca="1" si="26"/>
        <v/>
      </c>
      <c r="G178" s="43" t="str">
        <f t="shared" ca="1" si="27"/>
        <v/>
      </c>
      <c r="H178" s="40" t="str">
        <f ca="1">IF(COUNTIF($W$2:W1163,A178)=1,VLOOKUP(A178,S:T,2), IF(COUNTIF($W$2:W1163,A178)=0,$D$9,""))</f>
        <v/>
      </c>
      <c r="I178" s="41" t="str">
        <f ca="1">IF(COUNTIF($X$2:X1163,INT(A178))=1,VLOOKUP(INT(A178),X:Y,2), IF(ISERROR(H178-2),"",I177*(1-$D$8*(H178-H177)*0.0001)))</f>
        <v/>
      </c>
      <c r="J178" s="41" t="str">
        <f t="shared" ca="1" si="28"/>
        <v/>
      </c>
      <c r="K178" s="43" t="str">
        <f t="shared" ca="1" si="29"/>
        <v/>
      </c>
      <c r="L178" s="43" t="str">
        <f ca="1">IF($A178="","",IF(COUNTIFS(Dividends!$G:$G,"&gt;"&amp;INT($A177),Dividends!$G:$G,"&lt;="&amp;INT($A178))=0,"",$H$2*SUMIFS(Dividends!$H:$H,Dividends!$G:$G,"&gt;"&amp;INT($A177),Dividends!$G:$G,"&lt;="&amp;INT($A178))))</f>
        <v/>
      </c>
      <c r="M178" s="44" t="str">
        <f ca="1">IF(ISERROR(B178-2),"",C178+D178-F178-G178-K178+SUM($L$14:L178))</f>
        <v/>
      </c>
      <c r="U178" s="3" t="str">
        <f t="shared" si="20"/>
        <v/>
      </c>
      <c r="V178" s="3" t="str">
        <f t="shared" si="21"/>
        <v/>
      </c>
      <c r="Z178" s="3">
        <v>46031</v>
      </c>
      <c r="AA178" s="4">
        <v>249.13050000000001</v>
      </c>
      <c r="AB178" s="6">
        <v>46031</v>
      </c>
      <c r="AC178" s="4">
        <v>240.93600000000001</v>
      </c>
      <c r="AD178" s="6">
        <f t="shared" si="22"/>
        <v>46031</v>
      </c>
    </row>
    <row r="179" spans="1:30" x14ac:dyDescent="0.25">
      <c r="A179" s="39" t="str">
        <f t="shared" ca="1" si="23"/>
        <v/>
      </c>
      <c r="B179" s="40" t="str">
        <f ca="1">IF(COUNTIF($W$2:W1164,A179)=1,VLOOKUP(A179,O:P,2), IF(COUNTIF($W$2:W1164,A179)=0,$B$9,""))</f>
        <v/>
      </c>
      <c r="C179" s="2" t="str">
        <f t="shared" ca="1" si="24"/>
        <v/>
      </c>
      <c r="D179" s="43" t="str">
        <f t="shared" ca="1" si="25"/>
        <v/>
      </c>
      <c r="E179" s="40" t="str">
        <f ca="1">IF(COUNTIF($W$2:W1164,A179)=1,VLOOKUP(A179,Q:R,2), IF(COUNTIF($W$2:W1164,A179)=0,$C$9,""))</f>
        <v/>
      </c>
      <c r="F179" s="2" t="str">
        <f t="shared" ca="1" si="26"/>
        <v/>
      </c>
      <c r="G179" s="43" t="str">
        <f t="shared" ca="1" si="27"/>
        <v/>
      </c>
      <c r="H179" s="40" t="str">
        <f ca="1">IF(COUNTIF($W$2:W1164,A179)=1,VLOOKUP(A179,S:T,2), IF(COUNTIF($W$2:W1164,A179)=0,$D$9,""))</f>
        <v/>
      </c>
      <c r="I179" s="41" t="str">
        <f ca="1">IF(COUNTIF($X$2:X1164,INT(A179))=1,VLOOKUP(INT(A179),X:Y,2), IF(ISERROR(H179-2),"",I178*(1-$D$8*(H179-H178)*0.0001)))</f>
        <v/>
      </c>
      <c r="J179" s="41" t="str">
        <f t="shared" ca="1" si="28"/>
        <v/>
      </c>
      <c r="K179" s="43" t="str">
        <f t="shared" ca="1" si="29"/>
        <v/>
      </c>
      <c r="L179" s="43" t="str">
        <f ca="1">IF($A179="","",IF(COUNTIFS(Dividends!$G:$G,"&gt;"&amp;INT($A178),Dividends!$G:$G,"&lt;="&amp;INT($A179))=0,"",$H$2*SUMIFS(Dividends!$H:$H,Dividends!$G:$G,"&gt;"&amp;INT($A178),Dividends!$G:$G,"&lt;="&amp;INT($A179))))</f>
        <v/>
      </c>
      <c r="M179" s="44" t="str">
        <f ca="1">IF(ISERROR(B179-2),"",C179+D179-F179-G179-K179+SUM($L$14:L179))</f>
        <v/>
      </c>
      <c r="U179" s="3" t="str">
        <f t="shared" si="20"/>
        <v/>
      </c>
      <c r="V179" s="3" t="str">
        <f t="shared" si="21"/>
        <v/>
      </c>
      <c r="Z179" s="3">
        <v>46034</v>
      </c>
      <c r="AA179" s="4">
        <v>249.25470000000001</v>
      </c>
      <c r="AB179" s="6">
        <v>46034</v>
      </c>
      <c r="AC179" s="4">
        <v>240.25800000000001</v>
      </c>
      <c r="AD179" s="6">
        <f t="shared" si="22"/>
        <v>46034</v>
      </c>
    </row>
    <row r="180" spans="1:30" x14ac:dyDescent="0.25">
      <c r="A180" s="39" t="str">
        <f t="shared" ca="1" si="23"/>
        <v/>
      </c>
      <c r="B180" s="40" t="str">
        <f ca="1">IF(COUNTIF($W$2:W1165,A180)=1,VLOOKUP(A180,O:P,2), IF(COUNTIF($W$2:W1165,A180)=0,$B$9,""))</f>
        <v/>
      </c>
      <c r="C180" s="2" t="str">
        <f t="shared" ca="1" si="24"/>
        <v/>
      </c>
      <c r="D180" s="43" t="str">
        <f t="shared" ca="1" si="25"/>
        <v/>
      </c>
      <c r="E180" s="40" t="str">
        <f ca="1">IF(COUNTIF($W$2:W1165,A180)=1,VLOOKUP(A180,Q:R,2), IF(COUNTIF($W$2:W1165,A180)=0,$C$9,""))</f>
        <v/>
      </c>
      <c r="F180" s="2" t="str">
        <f t="shared" ca="1" si="26"/>
        <v/>
      </c>
      <c r="G180" s="43" t="str">
        <f t="shared" ca="1" si="27"/>
        <v/>
      </c>
      <c r="H180" s="40" t="str">
        <f ca="1">IF(COUNTIF($W$2:W1165,A180)=1,VLOOKUP(A180,S:T,2), IF(COUNTIF($W$2:W1165,A180)=0,$D$9,""))</f>
        <v/>
      </c>
      <c r="I180" s="41" t="str">
        <f ca="1">IF(COUNTIF($X$2:X1165,INT(A180))=1,VLOOKUP(INT(A180),X:Y,2), IF(ISERROR(H180-2),"",I179*(1-$D$8*(H180-H179)*0.0001)))</f>
        <v/>
      </c>
      <c r="J180" s="41" t="str">
        <f t="shared" ca="1" si="28"/>
        <v/>
      </c>
      <c r="K180" s="43" t="str">
        <f t="shared" ca="1" si="29"/>
        <v/>
      </c>
      <c r="L180" s="43" t="str">
        <f ca="1">IF($A180="","",IF(COUNTIFS(Dividends!$G:$G,"&gt;"&amp;INT($A179),Dividends!$G:$G,"&lt;="&amp;INT($A180))=0,"",$H$2*SUMIFS(Dividends!$H:$H,Dividends!$G:$G,"&gt;"&amp;INT($A179),Dividends!$G:$G,"&lt;="&amp;INT($A180))))</f>
        <v/>
      </c>
      <c r="M180" s="44" t="str">
        <f ca="1">IF(ISERROR(B180-2),"",C180+D180-F180-G180-K180+SUM($L$14:L180))</f>
        <v/>
      </c>
      <c r="U180" s="3" t="str">
        <f t="shared" si="20"/>
        <v/>
      </c>
      <c r="V180" s="3" t="str">
        <f t="shared" si="21"/>
        <v/>
      </c>
      <c r="Z180" s="3">
        <v>46035</v>
      </c>
      <c r="AA180" s="4">
        <v>249.17660000000001</v>
      </c>
      <c r="AB180" s="6">
        <v>46035</v>
      </c>
      <c r="AC180" s="4">
        <v>240.88900000000001</v>
      </c>
      <c r="AD180" s="6">
        <f t="shared" si="22"/>
        <v>46035</v>
      </c>
    </row>
    <row r="181" spans="1:30" x14ac:dyDescent="0.25">
      <c r="A181" s="39" t="str">
        <f t="shared" ca="1" si="23"/>
        <v/>
      </c>
      <c r="B181" s="40" t="str">
        <f ca="1">IF(COUNTIF($W$2:W1166,A181)=1,VLOOKUP(A181,O:P,2), IF(COUNTIF($W$2:W1166,A181)=0,$B$9,""))</f>
        <v/>
      </c>
      <c r="C181" s="2" t="str">
        <f t="shared" ca="1" si="24"/>
        <v/>
      </c>
      <c r="D181" s="43" t="str">
        <f t="shared" ca="1" si="25"/>
        <v/>
      </c>
      <c r="E181" s="40" t="str">
        <f ca="1">IF(COUNTIF($W$2:W1166,A181)=1,VLOOKUP(A181,Q:R,2), IF(COUNTIF($W$2:W1166,A181)=0,$C$9,""))</f>
        <v/>
      </c>
      <c r="F181" s="2" t="str">
        <f t="shared" ca="1" si="26"/>
        <v/>
      </c>
      <c r="G181" s="43" t="str">
        <f t="shared" ca="1" si="27"/>
        <v/>
      </c>
      <c r="H181" s="40" t="str">
        <f ca="1">IF(COUNTIF($W$2:W1166,A181)=1,VLOOKUP(A181,S:T,2), IF(COUNTIF($W$2:W1166,A181)=0,$D$9,""))</f>
        <v/>
      </c>
      <c r="I181" s="41" t="str">
        <f ca="1">IF(COUNTIF($X$2:X1166,INT(A181))=1,VLOOKUP(INT(A181),X:Y,2), IF(ISERROR(H181-2),"",I180*(1-$D$8*(H181-H180)*0.0001)))</f>
        <v/>
      </c>
      <c r="J181" s="41" t="str">
        <f t="shared" ca="1" si="28"/>
        <v/>
      </c>
      <c r="K181" s="43" t="str">
        <f t="shared" ca="1" si="29"/>
        <v/>
      </c>
      <c r="L181" s="43" t="str">
        <f ca="1">IF($A181="","",IF(COUNTIFS(Dividends!$G:$G,"&gt;"&amp;INT($A180),Dividends!$G:$G,"&lt;="&amp;INT($A181))=0,"",$H$2*SUMIFS(Dividends!$H:$H,Dividends!$G:$G,"&gt;"&amp;INT($A180),Dividends!$G:$G,"&lt;="&amp;INT($A181))))</f>
        <v/>
      </c>
      <c r="M181" s="44" t="str">
        <f ca="1">IF(ISERROR(B181-2),"",C181+D181-F181-G181-K181+SUM($L$14:L181))</f>
        <v/>
      </c>
      <c r="U181" s="3" t="str">
        <f t="shared" si="20"/>
        <v/>
      </c>
      <c r="V181" s="3" t="str">
        <f t="shared" si="21"/>
        <v/>
      </c>
      <c r="Z181" s="3">
        <v>46036</v>
      </c>
      <c r="AA181" s="4">
        <v>248.81209999999999</v>
      </c>
      <c r="AB181" s="6">
        <v>46036</v>
      </c>
      <c r="AC181" s="4">
        <v>244.88200000000001</v>
      </c>
      <c r="AD181" s="6">
        <f t="shared" si="22"/>
        <v>46036</v>
      </c>
    </row>
    <row r="182" spans="1:30" x14ac:dyDescent="0.25">
      <c r="A182" s="39" t="str">
        <f t="shared" ca="1" si="23"/>
        <v/>
      </c>
      <c r="B182" s="40" t="str">
        <f ca="1">IF(COUNTIF($W$2:W1167,A182)=1,VLOOKUP(A182,O:P,2), IF(COUNTIF($W$2:W1167,A182)=0,$B$9,""))</f>
        <v/>
      </c>
      <c r="C182" s="2" t="str">
        <f t="shared" ca="1" si="24"/>
        <v/>
      </c>
      <c r="D182" s="43" t="str">
        <f t="shared" ca="1" si="25"/>
        <v/>
      </c>
      <c r="E182" s="40" t="str">
        <f ca="1">IF(COUNTIF($W$2:W1167,A182)=1,VLOOKUP(A182,Q:R,2), IF(COUNTIF($W$2:W1167,A182)=0,$C$9,""))</f>
        <v/>
      </c>
      <c r="F182" s="2" t="str">
        <f t="shared" ca="1" si="26"/>
        <v/>
      </c>
      <c r="G182" s="43" t="str">
        <f t="shared" ca="1" si="27"/>
        <v/>
      </c>
      <c r="H182" s="40" t="str">
        <f ca="1">IF(COUNTIF($W$2:W1167,A182)=1,VLOOKUP(A182,S:T,2), IF(COUNTIF($W$2:W1167,A182)=0,$D$9,""))</f>
        <v/>
      </c>
      <c r="I182" s="41" t="str">
        <f ca="1">IF(COUNTIF($X$2:X1167,INT(A182))=1,VLOOKUP(INT(A182),X:Y,2), IF(ISERROR(H182-2),"",I181*(1-$D$8*(H182-H181)*0.0001)))</f>
        <v/>
      </c>
      <c r="J182" s="41" t="str">
        <f t="shared" ca="1" si="28"/>
        <v/>
      </c>
      <c r="K182" s="43" t="str">
        <f t="shared" ca="1" si="29"/>
        <v/>
      </c>
      <c r="L182" s="43" t="str">
        <f ca="1">IF($A182="","",IF(COUNTIFS(Dividends!$G:$G,"&gt;"&amp;INT($A181),Dividends!$G:$G,"&lt;="&amp;INT($A182))=0,"",$H$2*SUMIFS(Dividends!$H:$H,Dividends!$G:$G,"&gt;"&amp;INT($A181),Dividends!$G:$G,"&lt;="&amp;INT($A182))))</f>
        <v/>
      </c>
      <c r="M182" s="44" t="str">
        <f ca="1">IF(ISERROR(B182-2),"",C182+D182-F182-G182-K182+SUM($L$14:L182))</f>
        <v/>
      </c>
      <c r="U182" s="3" t="str">
        <f t="shared" si="20"/>
        <v/>
      </c>
      <c r="V182" s="3" t="str">
        <f t="shared" si="21"/>
        <v/>
      </c>
      <c r="Z182" s="3">
        <v>46037</v>
      </c>
      <c r="AA182" s="4">
        <v>249.15880000000001</v>
      </c>
      <c r="AB182" s="6">
        <v>46037</v>
      </c>
      <c r="AC182" s="4">
        <v>241.666</v>
      </c>
      <c r="AD182" s="6">
        <f t="shared" si="22"/>
        <v>46037</v>
      </c>
    </row>
    <row r="183" spans="1:30" x14ac:dyDescent="0.25">
      <c r="A183" s="39" t="str">
        <f t="shared" ca="1" si="23"/>
        <v/>
      </c>
      <c r="B183" s="40" t="str">
        <f ca="1">IF(COUNTIF($W$2:W1168,A183)=1,VLOOKUP(A183,O:P,2), IF(COUNTIF($W$2:W1168,A183)=0,$B$9,""))</f>
        <v/>
      </c>
      <c r="C183" s="2" t="str">
        <f t="shared" ca="1" si="24"/>
        <v/>
      </c>
      <c r="D183" s="43" t="str">
        <f t="shared" ca="1" si="25"/>
        <v/>
      </c>
      <c r="E183" s="40" t="str">
        <f ca="1">IF(COUNTIF($W$2:W1168,A183)=1,VLOOKUP(A183,Q:R,2), IF(COUNTIF($W$2:W1168,A183)=0,$C$9,""))</f>
        <v/>
      </c>
      <c r="F183" s="2" t="str">
        <f t="shared" ca="1" si="26"/>
        <v/>
      </c>
      <c r="G183" s="43" t="str">
        <f t="shared" ca="1" si="27"/>
        <v/>
      </c>
      <c r="H183" s="40" t="str">
        <f ca="1">IF(COUNTIF($W$2:W1168,A183)=1,VLOOKUP(A183,S:T,2), IF(COUNTIF($W$2:W1168,A183)=0,$D$9,""))</f>
        <v/>
      </c>
      <c r="I183" s="41" t="str">
        <f ca="1">IF(COUNTIF($X$2:X1168,INT(A183))=1,VLOOKUP(INT(A183),X:Y,2), IF(ISERROR(H183-2),"",I182*(1-$D$8*(H183-H182)*0.0001)))</f>
        <v/>
      </c>
      <c r="J183" s="41" t="str">
        <f t="shared" ca="1" si="28"/>
        <v/>
      </c>
      <c r="K183" s="43" t="str">
        <f t="shared" ca="1" si="29"/>
        <v/>
      </c>
      <c r="L183" s="43" t="str">
        <f ca="1">IF($A183="","",IF(COUNTIFS(Dividends!$G:$G,"&gt;"&amp;INT($A182),Dividends!$G:$G,"&lt;="&amp;INT($A183))=0,"",$H$2*SUMIFS(Dividends!$H:$H,Dividends!$G:$G,"&gt;"&amp;INT($A182),Dividends!$G:$G,"&lt;="&amp;INT($A183))))</f>
        <v/>
      </c>
      <c r="M183" s="44" t="str">
        <f ca="1">IF(ISERROR(B183-2),"",C183+D183-F183-G183-K183+SUM($L$14:L183))</f>
        <v/>
      </c>
      <c r="U183" s="3" t="str">
        <f t="shared" si="20"/>
        <v/>
      </c>
      <c r="V183" s="3" t="str">
        <f t="shared" si="21"/>
        <v/>
      </c>
      <c r="Z183" s="3">
        <v>46038</v>
      </c>
      <c r="AA183" s="4">
        <v>249.01169999999999</v>
      </c>
      <c r="AB183" s="6">
        <v>46038</v>
      </c>
      <c r="AC183" s="4">
        <v>243.13399999999999</v>
      </c>
      <c r="AD183" s="6">
        <f t="shared" si="22"/>
        <v>46038</v>
      </c>
    </row>
    <row r="184" spans="1:30" x14ac:dyDescent="0.25">
      <c r="A184" s="39" t="str">
        <f t="shared" ca="1" si="23"/>
        <v/>
      </c>
      <c r="B184" s="40" t="str">
        <f ca="1">IF(COUNTIF($W$2:W1169,A184)=1,VLOOKUP(A184,O:P,2), IF(COUNTIF($W$2:W1169,A184)=0,$B$9,""))</f>
        <v/>
      </c>
      <c r="C184" s="2" t="str">
        <f t="shared" ca="1" si="24"/>
        <v/>
      </c>
      <c r="D184" s="43" t="str">
        <f t="shared" ca="1" si="25"/>
        <v/>
      </c>
      <c r="E184" s="40" t="str">
        <f ca="1">IF(COUNTIF($W$2:W1169,A184)=1,VLOOKUP(A184,Q:R,2), IF(COUNTIF($W$2:W1169,A184)=0,$C$9,""))</f>
        <v/>
      </c>
      <c r="F184" s="2" t="str">
        <f t="shared" ca="1" si="26"/>
        <v/>
      </c>
      <c r="G184" s="43" t="str">
        <f t="shared" ca="1" si="27"/>
        <v/>
      </c>
      <c r="H184" s="40" t="str">
        <f ca="1">IF(COUNTIF($W$2:W1169,A184)=1,VLOOKUP(A184,S:T,2), IF(COUNTIF($W$2:W1169,A184)=0,$D$9,""))</f>
        <v/>
      </c>
      <c r="I184" s="41" t="str">
        <f ca="1">IF(COUNTIF($X$2:X1169,INT(A184))=1,VLOOKUP(INT(A184),X:Y,2), IF(ISERROR(H184-2),"",I183*(1-$D$8*(H184-H183)*0.0001)))</f>
        <v/>
      </c>
      <c r="J184" s="41" t="str">
        <f t="shared" ca="1" si="28"/>
        <v/>
      </c>
      <c r="K184" s="43" t="str">
        <f t="shared" ca="1" si="29"/>
        <v/>
      </c>
      <c r="L184" s="43" t="str">
        <f ca="1">IF($A184="","",IF(COUNTIFS(Dividends!$G:$G,"&gt;"&amp;INT($A183),Dividends!$G:$G,"&lt;="&amp;INT($A184))=0,"",$H$2*SUMIFS(Dividends!$H:$H,Dividends!$G:$G,"&gt;"&amp;INT($A183),Dividends!$G:$G,"&lt;="&amp;INT($A184))))</f>
        <v/>
      </c>
      <c r="M184" s="44" t="str">
        <f ca="1">IF(ISERROR(B184-2),"",C184+D184-F184-G184-K184+SUM($L$14:L184))</f>
        <v/>
      </c>
      <c r="U184" s="3" t="str">
        <f t="shared" si="20"/>
        <v/>
      </c>
      <c r="V184" s="3" t="str">
        <f t="shared" si="21"/>
        <v/>
      </c>
      <c r="Z184" s="3">
        <v>46041</v>
      </c>
      <c r="AA184" s="4">
        <v>248.35810000000001</v>
      </c>
      <c r="AB184" s="6">
        <v>46041</v>
      </c>
      <c r="AC184" s="4">
        <v>250.24199999999999</v>
      </c>
      <c r="AD184" s="6">
        <f t="shared" si="22"/>
        <v>46041</v>
      </c>
    </row>
    <row r="185" spans="1:30" x14ac:dyDescent="0.25">
      <c r="A185" s="39" t="str">
        <f t="shared" ca="1" si="23"/>
        <v/>
      </c>
      <c r="B185" s="40" t="str">
        <f ca="1">IF(COUNTIF($W$2:W1170,A185)=1,VLOOKUP(A185,O:P,2), IF(COUNTIF($W$2:W1170,A185)=0,$B$9,""))</f>
        <v/>
      </c>
      <c r="C185" s="2" t="str">
        <f t="shared" ca="1" si="24"/>
        <v/>
      </c>
      <c r="D185" s="43" t="str">
        <f t="shared" ca="1" si="25"/>
        <v/>
      </c>
      <c r="E185" s="40" t="str">
        <f ca="1">IF(COUNTIF($W$2:W1170,A185)=1,VLOOKUP(A185,Q:R,2), IF(COUNTIF($W$2:W1170,A185)=0,$C$9,""))</f>
        <v/>
      </c>
      <c r="F185" s="2" t="str">
        <f t="shared" ca="1" si="26"/>
        <v/>
      </c>
      <c r="G185" s="43" t="str">
        <f t="shared" ca="1" si="27"/>
        <v/>
      </c>
      <c r="H185" s="40" t="str">
        <f ca="1">IF(COUNTIF($W$2:W1170,A185)=1,VLOOKUP(A185,S:T,2), IF(COUNTIF($W$2:W1170,A185)=0,$D$9,""))</f>
        <v/>
      </c>
      <c r="I185" s="41" t="str">
        <f ca="1">IF(COUNTIF($X$2:X1170,INT(A185))=1,VLOOKUP(INT(A185),X:Y,2), IF(ISERROR(H185-2),"",I184*(1-$D$8*(H185-H184)*0.0001)))</f>
        <v/>
      </c>
      <c r="J185" s="41" t="str">
        <f t="shared" ca="1" si="28"/>
        <v/>
      </c>
      <c r="K185" s="43" t="str">
        <f t="shared" ca="1" si="29"/>
        <v/>
      </c>
      <c r="L185" s="43" t="str">
        <f ca="1">IF($A185="","",IF(COUNTIFS(Dividends!$G:$G,"&gt;"&amp;INT($A184),Dividends!$G:$G,"&lt;="&amp;INT($A185))=0,"",$H$2*SUMIFS(Dividends!$H:$H,Dividends!$G:$G,"&gt;"&amp;INT($A184),Dividends!$G:$G,"&lt;="&amp;INT($A185))))</f>
        <v/>
      </c>
      <c r="M185" s="44" t="str">
        <f ca="1">IF(ISERROR(B185-2),"",C185+D185-F185-G185-K185+SUM($L$14:L185))</f>
        <v/>
      </c>
      <c r="U185" s="3" t="str">
        <f t="shared" si="20"/>
        <v/>
      </c>
      <c r="V185" s="3" t="str">
        <f t="shared" si="21"/>
        <v/>
      </c>
      <c r="Z185" s="3">
        <v>46042</v>
      </c>
      <c r="AA185" s="4">
        <v>248.08500000000001</v>
      </c>
      <c r="AB185" s="6">
        <v>46042</v>
      </c>
      <c r="AC185" s="4">
        <v>252.017</v>
      </c>
      <c r="AD185" s="6">
        <f t="shared" si="22"/>
        <v>46042</v>
      </c>
    </row>
    <row r="186" spans="1:30" x14ac:dyDescent="0.25">
      <c r="A186" s="39" t="str">
        <f t="shared" ca="1" si="23"/>
        <v/>
      </c>
      <c r="B186" s="40" t="str">
        <f ca="1">IF(COUNTIF($W$2:W1171,A186)=1,VLOOKUP(A186,O:P,2), IF(COUNTIF($W$2:W1171,A186)=0,$B$9,""))</f>
        <v/>
      </c>
      <c r="C186" s="2" t="str">
        <f t="shared" ca="1" si="24"/>
        <v/>
      </c>
      <c r="D186" s="43" t="str">
        <f t="shared" ca="1" si="25"/>
        <v/>
      </c>
      <c r="E186" s="40" t="str">
        <f ca="1">IF(COUNTIF($W$2:W1171,A186)=1,VLOOKUP(A186,Q:R,2), IF(COUNTIF($W$2:W1171,A186)=0,$C$9,""))</f>
        <v/>
      </c>
      <c r="F186" s="2" t="str">
        <f t="shared" ca="1" si="26"/>
        <v/>
      </c>
      <c r="G186" s="43" t="str">
        <f t="shared" ca="1" si="27"/>
        <v/>
      </c>
      <c r="H186" s="40" t="str">
        <f ca="1">IF(COUNTIF($W$2:W1171,A186)=1,VLOOKUP(A186,S:T,2), IF(COUNTIF($W$2:W1171,A186)=0,$D$9,""))</f>
        <v/>
      </c>
      <c r="I186" s="41" t="str">
        <f ca="1">IF(COUNTIF($X$2:X1171,INT(A186))=1,VLOOKUP(INT(A186),X:Y,2), IF(ISERROR(H186-2),"",I185*(1-$D$8*(H186-H185)*0.0001)))</f>
        <v/>
      </c>
      <c r="J186" s="41" t="str">
        <f t="shared" ca="1" si="28"/>
        <v/>
      </c>
      <c r="K186" s="43" t="str">
        <f t="shared" ca="1" si="29"/>
        <v/>
      </c>
      <c r="L186" s="43" t="str">
        <f ca="1">IF($A186="","",IF(COUNTIFS(Dividends!$G:$G,"&gt;"&amp;INT($A185),Dividends!$G:$G,"&lt;="&amp;INT($A186))=0,"",$H$2*SUMIFS(Dividends!$H:$H,Dividends!$G:$G,"&gt;"&amp;INT($A185),Dividends!$G:$G,"&lt;="&amp;INT($A186))))</f>
        <v/>
      </c>
      <c r="M186" s="44" t="str">
        <f ca="1">IF(ISERROR(B186-2),"",C186+D186-F186-G186-K186+SUM($L$14:L186))</f>
        <v/>
      </c>
      <c r="U186" s="3" t="str">
        <f t="shared" si="20"/>
        <v/>
      </c>
      <c r="V186" s="3" t="str">
        <f t="shared" si="21"/>
        <v/>
      </c>
      <c r="Z186" s="3">
        <v>46043</v>
      </c>
      <c r="AA186" s="4">
        <v>248.64510000000001</v>
      </c>
      <c r="AB186" s="6">
        <v>46043</v>
      </c>
      <c r="AC186" s="4">
        <v>248.50399999999999</v>
      </c>
      <c r="AD186" s="6">
        <f t="shared" si="22"/>
        <v>46043</v>
      </c>
    </row>
    <row r="187" spans="1:30" x14ac:dyDescent="0.25">
      <c r="A187" s="39" t="str">
        <f t="shared" ca="1" si="23"/>
        <v/>
      </c>
      <c r="B187" s="40" t="str">
        <f ca="1">IF(COUNTIF($W$2:W1172,A187)=1,VLOOKUP(A187,O:P,2), IF(COUNTIF($W$2:W1172,A187)=0,$B$9,""))</f>
        <v/>
      </c>
      <c r="C187" s="2" t="str">
        <f t="shared" ca="1" si="24"/>
        <v/>
      </c>
      <c r="D187" s="43" t="str">
        <f t="shared" ca="1" si="25"/>
        <v/>
      </c>
      <c r="E187" s="40" t="str">
        <f ca="1">IF(COUNTIF($W$2:W1172,A187)=1,VLOOKUP(A187,Q:R,2), IF(COUNTIF($W$2:W1172,A187)=0,$C$9,""))</f>
        <v/>
      </c>
      <c r="F187" s="2" t="str">
        <f t="shared" ca="1" si="26"/>
        <v/>
      </c>
      <c r="G187" s="43" t="str">
        <f t="shared" ca="1" si="27"/>
        <v/>
      </c>
      <c r="H187" s="40" t="str">
        <f ca="1">IF(COUNTIF($W$2:W1172,A187)=1,VLOOKUP(A187,S:T,2), IF(COUNTIF($W$2:W1172,A187)=0,$D$9,""))</f>
        <v/>
      </c>
      <c r="I187" s="41" t="str">
        <f ca="1">IF(COUNTIF($X$2:X1172,INT(A187))=1,VLOOKUP(INT(A187),X:Y,2), IF(ISERROR(H187-2),"",I186*(1-$D$8*(H187-H186)*0.0001)))</f>
        <v/>
      </c>
      <c r="J187" s="41" t="str">
        <f t="shared" ca="1" si="28"/>
        <v/>
      </c>
      <c r="K187" s="43" t="str">
        <f t="shared" ca="1" si="29"/>
        <v/>
      </c>
      <c r="L187" s="43" t="str">
        <f ca="1">IF($A187="","",IF(COUNTIFS(Dividends!$G:$G,"&gt;"&amp;INT($A186),Dividends!$G:$G,"&lt;="&amp;INT($A187))=0,"",$H$2*SUMIFS(Dividends!$H:$H,Dividends!$G:$G,"&gt;"&amp;INT($A186),Dividends!$G:$G,"&lt;="&amp;INT($A187))))</f>
        <v/>
      </c>
      <c r="M187" s="44" t="str">
        <f ca="1">IF(ISERROR(B187-2),"",C187+D187-F187-G187-K187+SUM($L$14:L187))</f>
        <v/>
      </c>
      <c r="U187" s="3" t="str">
        <f t="shared" si="20"/>
        <v/>
      </c>
      <c r="V187" s="3" t="str">
        <f t="shared" si="21"/>
        <v/>
      </c>
      <c r="Z187" s="3">
        <v>46044</v>
      </c>
      <c r="AA187" s="4">
        <v>249.4425</v>
      </c>
      <c r="AB187" s="6">
        <v>46044</v>
      </c>
      <c r="AC187" s="4">
        <v>240.483</v>
      </c>
      <c r="AD187" s="6">
        <f t="shared" si="22"/>
        <v>46044</v>
      </c>
    </row>
    <row r="188" spans="1:30" x14ac:dyDescent="0.25">
      <c r="A188" s="39" t="str">
        <f t="shared" ca="1" si="23"/>
        <v/>
      </c>
      <c r="B188" s="40" t="str">
        <f ca="1">IF(COUNTIF($W$2:W1173,A188)=1,VLOOKUP(A188,O:P,2), IF(COUNTIF($W$2:W1173,A188)=0,$B$9,""))</f>
        <v/>
      </c>
      <c r="C188" s="2" t="str">
        <f t="shared" ca="1" si="24"/>
        <v/>
      </c>
      <c r="D188" s="43" t="str">
        <f t="shared" ca="1" si="25"/>
        <v/>
      </c>
      <c r="E188" s="40" t="str">
        <f ca="1">IF(COUNTIF($W$2:W1173,A188)=1,VLOOKUP(A188,Q:R,2), IF(COUNTIF($W$2:W1173,A188)=0,$C$9,""))</f>
        <v/>
      </c>
      <c r="F188" s="2" t="str">
        <f t="shared" ca="1" si="26"/>
        <v/>
      </c>
      <c r="G188" s="43" t="str">
        <f t="shared" ca="1" si="27"/>
        <v/>
      </c>
      <c r="H188" s="40" t="str">
        <f ca="1">IF(COUNTIF($W$2:W1173,A188)=1,VLOOKUP(A188,S:T,2), IF(COUNTIF($W$2:W1173,A188)=0,$D$9,""))</f>
        <v/>
      </c>
      <c r="I188" s="41" t="str">
        <f ca="1">IF(COUNTIF($X$2:X1173,INT(A188))=1,VLOOKUP(INT(A188),X:Y,2), IF(ISERROR(H188-2),"",I187*(1-$D$8*(H188-H187)*0.0001)))</f>
        <v/>
      </c>
      <c r="J188" s="41" t="str">
        <f t="shared" ca="1" si="28"/>
        <v/>
      </c>
      <c r="K188" s="43" t="str">
        <f t="shared" ca="1" si="29"/>
        <v/>
      </c>
      <c r="L188" s="43" t="str">
        <f ca="1">IF($A188="","",IF(COUNTIFS(Dividends!$G:$G,"&gt;"&amp;INT($A187),Dividends!$G:$G,"&lt;="&amp;INT($A188))=0,"",$H$2*SUMIFS(Dividends!$H:$H,Dividends!$G:$G,"&gt;"&amp;INT($A187),Dividends!$G:$G,"&lt;="&amp;INT($A188))))</f>
        <v/>
      </c>
      <c r="M188" s="44" t="str">
        <f ca="1">IF(ISERROR(B188-2),"",C188+D188-F188-G188-K188+SUM($L$14:L188))</f>
        <v/>
      </c>
      <c r="U188" s="3" t="str">
        <f t="shared" si="20"/>
        <v/>
      </c>
      <c r="V188" s="3" t="str">
        <f t="shared" si="21"/>
        <v/>
      </c>
      <c r="Z188" s="3">
        <v>46045</v>
      </c>
      <c r="AA188" s="4">
        <v>249.2397</v>
      </c>
      <c r="AB188" s="6">
        <v>46045</v>
      </c>
      <c r="AC188" s="4">
        <v>242.67099999999999</v>
      </c>
      <c r="AD188" s="6">
        <f t="shared" si="22"/>
        <v>46045</v>
      </c>
    </row>
    <row r="189" spans="1:30" x14ac:dyDescent="0.25">
      <c r="A189" s="39" t="str">
        <f t="shared" ca="1" si="23"/>
        <v/>
      </c>
      <c r="B189" s="40" t="str">
        <f ca="1">IF(COUNTIF($W$2:W1174,A189)=1,VLOOKUP(A189,O:P,2), IF(COUNTIF($W$2:W1174,A189)=0,$B$9,""))</f>
        <v/>
      </c>
      <c r="C189" s="2" t="str">
        <f t="shared" ca="1" si="24"/>
        <v/>
      </c>
      <c r="D189" s="43" t="str">
        <f t="shared" ca="1" si="25"/>
        <v/>
      </c>
      <c r="E189" s="40" t="str">
        <f ca="1">IF(COUNTIF($W$2:W1174,A189)=1,VLOOKUP(A189,Q:R,2), IF(COUNTIF($W$2:W1174,A189)=0,$C$9,""))</f>
        <v/>
      </c>
      <c r="F189" s="2" t="str">
        <f t="shared" ca="1" si="26"/>
        <v/>
      </c>
      <c r="G189" s="43" t="str">
        <f t="shared" ca="1" si="27"/>
        <v/>
      </c>
      <c r="H189" s="40" t="str">
        <f ca="1">IF(COUNTIF($W$2:W1174,A189)=1,VLOOKUP(A189,S:T,2), IF(COUNTIF($W$2:W1174,A189)=0,$D$9,""))</f>
        <v/>
      </c>
      <c r="I189" s="41" t="str">
        <f ca="1">IF(COUNTIF($X$2:X1174,INT(A189))=1,VLOOKUP(INT(A189),X:Y,2), IF(ISERROR(H189-2),"",I188*(1-$D$8*(H189-H188)*0.0001)))</f>
        <v/>
      </c>
      <c r="J189" s="41" t="str">
        <f t="shared" ca="1" si="28"/>
        <v/>
      </c>
      <c r="K189" s="43" t="str">
        <f t="shared" ca="1" si="29"/>
        <v/>
      </c>
      <c r="L189" s="43" t="str">
        <f ca="1">IF($A189="","",IF(COUNTIFS(Dividends!$G:$G,"&gt;"&amp;INT($A188),Dividends!$G:$G,"&lt;="&amp;INT($A189))=0,"",$H$2*SUMIFS(Dividends!$H:$H,Dividends!$G:$G,"&gt;"&amp;INT($A188),Dividends!$G:$G,"&lt;="&amp;INT($A189))))</f>
        <v/>
      </c>
      <c r="M189" s="44" t="str">
        <f ca="1">IF(ISERROR(B189-2),"",C189+D189-F189-G189-K189+SUM($L$14:L189))</f>
        <v/>
      </c>
      <c r="U189" s="3" t="str">
        <f t="shared" si="20"/>
        <v/>
      </c>
      <c r="V189" s="3" t="str">
        <f t="shared" si="21"/>
        <v/>
      </c>
      <c r="Z189" s="3">
        <v>46048</v>
      </c>
      <c r="AA189" s="4">
        <v>249.3184</v>
      </c>
      <c r="AB189" s="6">
        <v>46048</v>
      </c>
      <c r="AC189" s="4">
        <v>242.38300000000001</v>
      </c>
      <c r="AD189" s="6">
        <f t="shared" si="22"/>
        <v>46048</v>
      </c>
    </row>
    <row r="190" spans="1:30" x14ac:dyDescent="0.25">
      <c r="A190" s="39" t="str">
        <f t="shared" ca="1" si="23"/>
        <v/>
      </c>
      <c r="B190" s="40" t="str">
        <f ca="1">IF(COUNTIF($W$2:W1175,A190)=1,VLOOKUP(A190,O:P,2), IF(COUNTIF($W$2:W1175,A190)=0,$B$9,""))</f>
        <v/>
      </c>
      <c r="C190" s="2" t="str">
        <f t="shared" ca="1" si="24"/>
        <v/>
      </c>
      <c r="D190" s="43" t="str">
        <f t="shared" ca="1" si="25"/>
        <v/>
      </c>
      <c r="E190" s="40" t="str">
        <f ca="1">IF(COUNTIF($W$2:W1175,A190)=1,VLOOKUP(A190,Q:R,2), IF(COUNTIF($W$2:W1175,A190)=0,$C$9,""))</f>
        <v/>
      </c>
      <c r="F190" s="2" t="str">
        <f t="shared" ca="1" si="26"/>
        <v/>
      </c>
      <c r="G190" s="43" t="str">
        <f t="shared" ca="1" si="27"/>
        <v/>
      </c>
      <c r="H190" s="40" t="str">
        <f ca="1">IF(COUNTIF($W$2:W1175,A190)=1,VLOOKUP(A190,S:T,2), IF(COUNTIF($W$2:W1175,A190)=0,$D$9,""))</f>
        <v/>
      </c>
      <c r="I190" s="41" t="str">
        <f ca="1">IF(COUNTIF($X$2:X1175,INT(A190))=1,VLOOKUP(INT(A190),X:Y,2), IF(ISERROR(H190-2),"",I189*(1-$D$8*(H190-H189)*0.0001)))</f>
        <v/>
      </c>
      <c r="J190" s="41" t="str">
        <f t="shared" ca="1" si="28"/>
        <v/>
      </c>
      <c r="K190" s="43" t="str">
        <f t="shared" ca="1" si="29"/>
        <v/>
      </c>
      <c r="L190" s="43" t="str">
        <f ca="1">IF($A190="","",IF(COUNTIFS(Dividends!$G:$G,"&gt;"&amp;INT($A189),Dividends!$G:$G,"&lt;="&amp;INT($A190))=0,"",$H$2*SUMIFS(Dividends!$H:$H,Dividends!$G:$G,"&gt;"&amp;INT($A189),Dividends!$G:$G,"&lt;="&amp;INT($A190))))</f>
        <v/>
      </c>
      <c r="M190" s="44" t="str">
        <f ca="1">IF(ISERROR(B190-2),"",C190+D190-F190-G190-K190+SUM($L$14:L190))</f>
        <v/>
      </c>
      <c r="U190" s="3" t="str">
        <f t="shared" si="20"/>
        <v/>
      </c>
      <c r="V190" s="3" t="str">
        <f t="shared" si="21"/>
        <v/>
      </c>
      <c r="Z190" s="3">
        <v>46049</v>
      </c>
      <c r="AA190" s="4">
        <v>249.45769999999999</v>
      </c>
      <c r="AB190" s="6">
        <v>46049</v>
      </c>
      <c r="AC190" s="4">
        <v>241.536</v>
      </c>
      <c r="AD190" s="6">
        <f t="shared" si="22"/>
        <v>46049</v>
      </c>
    </row>
    <row r="191" spans="1:30" x14ac:dyDescent="0.25">
      <c r="A191" s="39" t="str">
        <f t="shared" ca="1" si="23"/>
        <v/>
      </c>
      <c r="B191" s="40" t="str">
        <f ca="1">IF(COUNTIF($W$2:W1176,A191)=1,VLOOKUP(A191,O:P,2), IF(COUNTIF($W$2:W1176,A191)=0,$B$9,""))</f>
        <v/>
      </c>
      <c r="C191" s="2" t="str">
        <f t="shared" ca="1" si="24"/>
        <v/>
      </c>
      <c r="D191" s="43" t="str">
        <f t="shared" ca="1" si="25"/>
        <v/>
      </c>
      <c r="E191" s="40" t="str">
        <f ca="1">IF(COUNTIF($W$2:W1176,A191)=1,VLOOKUP(A191,Q:R,2), IF(COUNTIF($W$2:W1176,A191)=0,$C$9,""))</f>
        <v/>
      </c>
      <c r="F191" s="2" t="str">
        <f t="shared" ca="1" si="26"/>
        <v/>
      </c>
      <c r="G191" s="43" t="str">
        <f t="shared" ca="1" si="27"/>
        <v/>
      </c>
      <c r="H191" s="40" t="str">
        <f ca="1">IF(COUNTIF($W$2:W1176,A191)=1,VLOOKUP(A191,S:T,2), IF(COUNTIF($W$2:W1176,A191)=0,$D$9,""))</f>
        <v/>
      </c>
      <c r="I191" s="41" t="str">
        <f ca="1">IF(COUNTIF($X$2:X1176,INT(A191))=1,VLOOKUP(INT(A191),X:Y,2), IF(ISERROR(H191-2),"",I190*(1-$D$8*(H191-H190)*0.0001)))</f>
        <v/>
      </c>
      <c r="J191" s="41" t="str">
        <f t="shared" ca="1" si="28"/>
        <v/>
      </c>
      <c r="K191" s="43" t="str">
        <f t="shared" ca="1" si="29"/>
        <v/>
      </c>
      <c r="L191" s="43" t="str">
        <f ca="1">IF($A191="","",IF(COUNTIFS(Dividends!$G:$G,"&gt;"&amp;INT($A190),Dividends!$G:$G,"&lt;="&amp;INT($A191))=0,"",$H$2*SUMIFS(Dividends!$H:$H,Dividends!$G:$G,"&gt;"&amp;INT($A190),Dividends!$G:$G,"&lt;="&amp;INT($A191))))</f>
        <v/>
      </c>
      <c r="M191" s="44" t="str">
        <f ca="1">IF(ISERROR(B191-2),"",C191+D191-F191-G191-K191+SUM($L$14:L191))</f>
        <v/>
      </c>
      <c r="U191" s="3" t="str">
        <f t="shared" si="20"/>
        <v/>
      </c>
      <c r="V191" s="3" t="str">
        <f t="shared" si="21"/>
        <v/>
      </c>
      <c r="Z191" s="3">
        <v>46050</v>
      </c>
      <c r="AA191" s="4">
        <v>249.07820000000001</v>
      </c>
      <c r="AB191" s="6">
        <v>46050</v>
      </c>
      <c r="AC191" s="4">
        <v>245.107</v>
      </c>
      <c r="AD191" s="6">
        <f t="shared" si="22"/>
        <v>46050</v>
      </c>
    </row>
    <row r="192" spans="1:30" x14ac:dyDescent="0.25">
      <c r="A192" s="39" t="str">
        <f t="shared" ca="1" si="23"/>
        <v/>
      </c>
      <c r="B192" s="40" t="str">
        <f ca="1">IF(COUNTIF($W$2:W1177,A192)=1,VLOOKUP(A192,O:P,2), IF(COUNTIF($W$2:W1177,A192)=0,$B$9,""))</f>
        <v/>
      </c>
      <c r="C192" s="2" t="str">
        <f t="shared" ca="1" si="24"/>
        <v/>
      </c>
      <c r="D192" s="43" t="str">
        <f t="shared" ca="1" si="25"/>
        <v/>
      </c>
      <c r="E192" s="40" t="str">
        <f ca="1">IF(COUNTIF($W$2:W1177,A192)=1,VLOOKUP(A192,Q:R,2), IF(COUNTIF($W$2:W1177,A192)=0,$C$9,""))</f>
        <v/>
      </c>
      <c r="F192" s="2" t="str">
        <f t="shared" ca="1" si="26"/>
        <v/>
      </c>
      <c r="G192" s="43" t="str">
        <f t="shared" ca="1" si="27"/>
        <v/>
      </c>
      <c r="H192" s="40" t="str">
        <f ca="1">IF(COUNTIF($W$2:W1177,A192)=1,VLOOKUP(A192,S:T,2), IF(COUNTIF($W$2:W1177,A192)=0,$D$9,""))</f>
        <v/>
      </c>
      <c r="I192" s="41" t="str">
        <f ca="1">IF(COUNTIF($X$2:X1177,INT(A192))=1,VLOOKUP(INT(A192),X:Y,2), IF(ISERROR(H192-2),"",I191*(1-$D$8*(H192-H191)*0.0001)))</f>
        <v/>
      </c>
      <c r="J192" s="41" t="str">
        <f t="shared" ca="1" si="28"/>
        <v/>
      </c>
      <c r="K192" s="43" t="str">
        <f t="shared" ca="1" si="29"/>
        <v/>
      </c>
      <c r="L192" s="43" t="str">
        <f ca="1">IF($A192="","",IF(COUNTIFS(Dividends!$G:$G,"&gt;"&amp;INT($A191),Dividends!$G:$G,"&lt;="&amp;INT($A192))=0,"",$H$2*SUMIFS(Dividends!$H:$H,Dividends!$G:$G,"&gt;"&amp;INT($A191),Dividends!$G:$G,"&lt;="&amp;INT($A192))))</f>
        <v/>
      </c>
      <c r="M192" s="44" t="str">
        <f ca="1">IF(ISERROR(B192-2),"",C192+D192-F192-G192-K192+SUM($L$14:L192))</f>
        <v/>
      </c>
      <c r="U192" s="3" t="str">
        <f t="shared" si="20"/>
        <v/>
      </c>
      <c r="V192" s="3" t="str">
        <f t="shared" si="21"/>
        <v/>
      </c>
      <c r="Z192" s="3">
        <v>46051</v>
      </c>
      <c r="AA192" s="4">
        <v>248.7859</v>
      </c>
      <c r="AB192" s="6">
        <v>46051</v>
      </c>
      <c r="AC192" s="4">
        <v>247.57400000000001</v>
      </c>
      <c r="AD192" s="6">
        <f t="shared" si="22"/>
        <v>46051</v>
      </c>
    </row>
    <row r="193" spans="1:30" x14ac:dyDescent="0.25">
      <c r="A193" s="39" t="str">
        <f t="shared" ca="1" si="23"/>
        <v/>
      </c>
      <c r="B193" s="40" t="str">
        <f ca="1">IF(COUNTIF($W$2:W1178,A193)=1,VLOOKUP(A193,O:P,2), IF(COUNTIF($W$2:W1178,A193)=0,$B$9,""))</f>
        <v/>
      </c>
      <c r="C193" s="2" t="str">
        <f t="shared" ca="1" si="24"/>
        <v/>
      </c>
      <c r="D193" s="43" t="str">
        <f t="shared" ca="1" si="25"/>
        <v/>
      </c>
      <c r="E193" s="40" t="str">
        <f ca="1">IF(COUNTIF($W$2:W1178,A193)=1,VLOOKUP(A193,Q:R,2), IF(COUNTIF($W$2:W1178,A193)=0,$C$9,""))</f>
        <v/>
      </c>
      <c r="F193" s="2" t="str">
        <f t="shared" ca="1" si="26"/>
        <v/>
      </c>
      <c r="G193" s="43" t="str">
        <f t="shared" ca="1" si="27"/>
        <v/>
      </c>
      <c r="H193" s="40" t="str">
        <f ca="1">IF(COUNTIF($W$2:W1178,A193)=1,VLOOKUP(A193,S:T,2), IF(COUNTIF($W$2:W1178,A193)=0,$D$9,""))</f>
        <v/>
      </c>
      <c r="I193" s="41" t="str">
        <f ca="1">IF(COUNTIF($X$2:X1178,INT(A193))=1,VLOOKUP(INT(A193),X:Y,2), IF(ISERROR(H193-2),"",I192*(1-$D$8*(H193-H192)*0.0001)))</f>
        <v/>
      </c>
      <c r="J193" s="41" t="str">
        <f t="shared" ca="1" si="28"/>
        <v/>
      </c>
      <c r="K193" s="43" t="str">
        <f t="shared" ca="1" si="29"/>
        <v/>
      </c>
      <c r="L193" s="43" t="str">
        <f ca="1">IF($A193="","",IF(COUNTIFS(Dividends!$G:$G,"&gt;"&amp;INT($A192),Dividends!$G:$G,"&lt;="&amp;INT($A193))=0,"",$H$2*SUMIFS(Dividends!$H:$H,Dividends!$G:$G,"&gt;"&amp;INT($A192),Dividends!$G:$G,"&lt;="&amp;INT($A193))))</f>
        <v/>
      </c>
      <c r="M193" s="44" t="str">
        <f ca="1">IF(ISERROR(B193-2),"",C193+D193-F193-G193-K193+SUM($L$14:L193))</f>
        <v/>
      </c>
      <c r="U193" s="3" t="str">
        <f t="shared" si="20"/>
        <v/>
      </c>
      <c r="V193" s="3" t="str">
        <f t="shared" si="21"/>
        <v/>
      </c>
      <c r="Z193" s="3">
        <v>46052</v>
      </c>
      <c r="AA193" s="4">
        <v>248.92789999999999</v>
      </c>
      <c r="AB193" s="6">
        <v>46052</v>
      </c>
      <c r="AC193" s="4">
        <v>247.31899999999999</v>
      </c>
      <c r="AD193" s="6">
        <f t="shared" si="22"/>
        <v>46052</v>
      </c>
    </row>
    <row r="194" spans="1:30" x14ac:dyDescent="0.25">
      <c r="A194" s="39" t="str">
        <f t="shared" ca="1" si="23"/>
        <v/>
      </c>
      <c r="B194" s="40" t="str">
        <f ca="1">IF(COUNTIF($W$2:W1179,A194)=1,VLOOKUP(A194,O:P,2), IF(COUNTIF($W$2:W1179,A194)=0,$B$9,""))</f>
        <v/>
      </c>
      <c r="C194" s="2" t="str">
        <f t="shared" ca="1" si="24"/>
        <v/>
      </c>
      <c r="D194" s="43" t="str">
        <f t="shared" ca="1" si="25"/>
        <v/>
      </c>
      <c r="E194" s="40" t="str">
        <f ca="1">IF(COUNTIF($W$2:W1179,A194)=1,VLOOKUP(A194,Q:R,2), IF(COUNTIF($W$2:W1179,A194)=0,$C$9,""))</f>
        <v/>
      </c>
      <c r="F194" s="2" t="str">
        <f t="shared" ca="1" si="26"/>
        <v/>
      </c>
      <c r="G194" s="43" t="str">
        <f t="shared" ca="1" si="27"/>
        <v/>
      </c>
      <c r="H194" s="40" t="str">
        <f ca="1">IF(COUNTIF($W$2:W1179,A194)=1,VLOOKUP(A194,S:T,2), IF(COUNTIF($W$2:W1179,A194)=0,$D$9,""))</f>
        <v/>
      </c>
      <c r="I194" s="41" t="str">
        <f ca="1">IF(COUNTIF($X$2:X1179,INT(A194))=1,VLOOKUP(INT(A194),X:Y,2), IF(ISERROR(H194-2),"",I193*(1-$D$8*(H194-H193)*0.0001)))</f>
        <v/>
      </c>
      <c r="J194" s="41" t="str">
        <f t="shared" ca="1" si="28"/>
        <v/>
      </c>
      <c r="K194" s="43" t="str">
        <f t="shared" ca="1" si="29"/>
        <v/>
      </c>
      <c r="L194" s="43" t="str">
        <f ca="1">IF($A194="","",IF(COUNTIFS(Dividends!$G:$G,"&gt;"&amp;INT($A193),Dividends!$G:$G,"&lt;="&amp;INT($A194))=0,"",$H$2*SUMIFS(Dividends!$H:$H,Dividends!$G:$G,"&gt;"&amp;INT($A193),Dividends!$G:$G,"&lt;="&amp;INT($A194))))</f>
        <v/>
      </c>
      <c r="M194" s="44" t="str">
        <f ca="1">IF(ISERROR(B194-2),"",C194+D194-F194-G194-K194+SUM($L$14:L194))</f>
        <v/>
      </c>
      <c r="U194" s="3" t="str">
        <f t="shared" si="20"/>
        <v/>
      </c>
      <c r="V194" s="3" t="str">
        <f t="shared" si="21"/>
        <v/>
      </c>
      <c r="Z194" s="3">
        <v>46055</v>
      </c>
      <c r="AA194" s="4">
        <v>249.41380000000001</v>
      </c>
      <c r="AB194" s="6">
        <v>46055</v>
      </c>
      <c r="AC194" s="4">
        <v>242.94800000000001</v>
      </c>
      <c r="AD194" s="6">
        <f t="shared" si="22"/>
        <v>46055</v>
      </c>
    </row>
    <row r="195" spans="1:30" x14ac:dyDescent="0.25">
      <c r="A195" s="39" t="str">
        <f t="shared" ca="1" si="23"/>
        <v/>
      </c>
      <c r="B195" s="40" t="str">
        <f ca="1">IF(COUNTIF($W$2:W1180,A195)=1,VLOOKUP(A195,O:P,2), IF(COUNTIF($W$2:W1180,A195)=0,$B$9,""))</f>
        <v/>
      </c>
      <c r="C195" s="2" t="str">
        <f t="shared" ca="1" si="24"/>
        <v/>
      </c>
      <c r="D195" s="43" t="str">
        <f t="shared" ca="1" si="25"/>
        <v/>
      </c>
      <c r="E195" s="40" t="str">
        <f ca="1">IF(COUNTIF($W$2:W1180,A195)=1,VLOOKUP(A195,Q:R,2), IF(COUNTIF($W$2:W1180,A195)=0,$C$9,""))</f>
        <v/>
      </c>
      <c r="F195" s="2" t="str">
        <f t="shared" ca="1" si="26"/>
        <v/>
      </c>
      <c r="G195" s="43" t="str">
        <f t="shared" ca="1" si="27"/>
        <v/>
      </c>
      <c r="H195" s="40" t="str">
        <f ca="1">IF(COUNTIF($W$2:W1180,A195)=1,VLOOKUP(A195,S:T,2), IF(COUNTIF($W$2:W1180,A195)=0,$D$9,""))</f>
        <v/>
      </c>
      <c r="I195" s="41" t="str">
        <f ca="1">IF(COUNTIF($X$2:X1180,INT(A195))=1,VLOOKUP(INT(A195),X:Y,2), IF(ISERROR(H195-2),"",I194*(1-$D$8*(H195-H194)*0.0001)))</f>
        <v/>
      </c>
      <c r="J195" s="41" t="str">
        <f t="shared" ca="1" si="28"/>
        <v/>
      </c>
      <c r="K195" s="43" t="str">
        <f t="shared" ca="1" si="29"/>
        <v/>
      </c>
      <c r="L195" s="43" t="str">
        <f ca="1">IF($A195="","",IF(COUNTIFS(Dividends!$G:$G,"&gt;"&amp;INT($A194),Dividends!$G:$G,"&lt;="&amp;INT($A195))=0,"",$H$2*SUMIFS(Dividends!$H:$H,Dividends!$G:$G,"&gt;"&amp;INT($A194),Dividends!$G:$G,"&lt;="&amp;INT($A195))))</f>
        <v/>
      </c>
      <c r="M195" s="44" t="str">
        <f ca="1">IF(ISERROR(B195-2),"",C195+D195-F195-G195-K195+SUM($L$14:L195))</f>
        <v/>
      </c>
      <c r="U195" s="3" t="str">
        <f t="shared" si="20"/>
        <v/>
      </c>
      <c r="V195" s="3" t="str">
        <f t="shared" si="21"/>
        <v/>
      </c>
      <c r="Z195" s="3">
        <v>46056</v>
      </c>
      <c r="AA195" s="4">
        <v>249.29150000000001</v>
      </c>
      <c r="AB195" s="6">
        <v>46056</v>
      </c>
      <c r="AC195" s="4">
        <v>244.75399999999999</v>
      </c>
      <c r="AD195" s="6">
        <f t="shared" si="22"/>
        <v>46056</v>
      </c>
    </row>
    <row r="196" spans="1:30" x14ac:dyDescent="0.25">
      <c r="A196" s="39" t="str">
        <f t="shared" ca="1" si="23"/>
        <v/>
      </c>
      <c r="B196" s="40" t="str">
        <f ca="1">IF(COUNTIF($W$2:W1181,A196)=1,VLOOKUP(A196,O:P,2), IF(COUNTIF($W$2:W1181,A196)=0,$B$9,""))</f>
        <v/>
      </c>
      <c r="C196" s="2" t="str">
        <f t="shared" ca="1" si="24"/>
        <v/>
      </c>
      <c r="D196" s="43" t="str">
        <f t="shared" ca="1" si="25"/>
        <v/>
      </c>
      <c r="E196" s="40" t="str">
        <f ca="1">IF(COUNTIF($W$2:W1181,A196)=1,VLOOKUP(A196,Q:R,2), IF(COUNTIF($W$2:W1181,A196)=0,$C$9,""))</f>
        <v/>
      </c>
      <c r="F196" s="2" t="str">
        <f t="shared" ca="1" si="26"/>
        <v/>
      </c>
      <c r="G196" s="43" t="str">
        <f t="shared" ca="1" si="27"/>
        <v/>
      </c>
      <c r="H196" s="40" t="str">
        <f ca="1">IF(COUNTIF($W$2:W1181,A196)=1,VLOOKUP(A196,S:T,2), IF(COUNTIF($W$2:W1181,A196)=0,$D$9,""))</f>
        <v/>
      </c>
      <c r="I196" s="41" t="str">
        <f ca="1">IF(COUNTIF($X$2:X1181,INT(A196))=1,VLOOKUP(INT(A196),X:Y,2), IF(ISERROR(H196-2),"",I195*(1-$D$8*(H196-H195)*0.0001)))</f>
        <v/>
      </c>
      <c r="J196" s="41" t="str">
        <f t="shared" ca="1" si="28"/>
        <v/>
      </c>
      <c r="K196" s="43" t="str">
        <f t="shared" ca="1" si="29"/>
        <v/>
      </c>
      <c r="L196" s="43" t="str">
        <f ca="1">IF($A196="","",IF(COUNTIFS(Dividends!$G:$G,"&gt;"&amp;INT($A195),Dividends!$G:$G,"&lt;="&amp;INT($A196))=0,"",$H$2*SUMIFS(Dividends!$H:$H,Dividends!$G:$G,"&gt;"&amp;INT($A195),Dividends!$G:$G,"&lt;="&amp;INT($A196))))</f>
        <v/>
      </c>
      <c r="M196" s="44" t="str">
        <f ca="1">IF(ISERROR(B196-2),"",C196+D196-F196-G196-K196+SUM($L$14:L196))</f>
        <v/>
      </c>
      <c r="U196" s="3" t="str">
        <f t="shared" ref="U196:U259" si="30">IF(COUNTIF(Q:Q,O196)*COUNTIF(S:S,O196),O196,"")</f>
        <v/>
      </c>
      <c r="V196" s="3" t="str">
        <f t="shared" ref="V196:V259" si="31">IF(U196&gt;$A$14,U196,"")</f>
        <v/>
      </c>
      <c r="Z196" s="3">
        <v>46057</v>
      </c>
      <c r="AA196" s="4">
        <v>249.12110000000001</v>
      </c>
      <c r="AB196" s="6">
        <v>46057</v>
      </c>
      <c r="AC196" s="4">
        <v>246.44200000000001</v>
      </c>
      <c r="AD196" s="6">
        <f t="shared" ref="AD196:AD259" si="32">IF(COUNTIF(AB:AB,Z196),Z196,"")</f>
        <v>46057</v>
      </c>
    </row>
    <row r="197" spans="1:30" x14ac:dyDescent="0.25">
      <c r="A197" s="39" t="str">
        <f t="shared" ca="1" si="23"/>
        <v/>
      </c>
      <c r="B197" s="40" t="str">
        <f ca="1">IF(COUNTIF($W$2:W1182,A197)=1,VLOOKUP(A197,O:P,2), IF(COUNTIF($W$2:W1182,A197)=0,$B$9,""))</f>
        <v/>
      </c>
      <c r="C197" s="2" t="str">
        <f t="shared" ca="1" si="24"/>
        <v/>
      </c>
      <c r="D197" s="43" t="str">
        <f t="shared" ca="1" si="25"/>
        <v/>
      </c>
      <c r="E197" s="40" t="str">
        <f ca="1">IF(COUNTIF($W$2:W1182,A197)=1,VLOOKUP(A197,Q:R,2), IF(COUNTIF($W$2:W1182,A197)=0,$C$9,""))</f>
        <v/>
      </c>
      <c r="F197" s="2" t="str">
        <f t="shared" ca="1" si="26"/>
        <v/>
      </c>
      <c r="G197" s="43" t="str">
        <f t="shared" ca="1" si="27"/>
        <v/>
      </c>
      <c r="H197" s="40" t="str">
        <f ca="1">IF(COUNTIF($W$2:W1182,A197)=1,VLOOKUP(A197,S:T,2), IF(COUNTIF($W$2:W1182,A197)=0,$D$9,""))</f>
        <v/>
      </c>
      <c r="I197" s="41" t="str">
        <f ca="1">IF(COUNTIF($X$2:X1182,INT(A197))=1,VLOOKUP(INT(A197),X:Y,2), IF(ISERROR(H197-2),"",I196*(1-$D$8*(H197-H196)*0.0001)))</f>
        <v/>
      </c>
      <c r="J197" s="41" t="str">
        <f t="shared" ca="1" si="28"/>
        <v/>
      </c>
      <c r="K197" s="43" t="str">
        <f t="shared" ca="1" si="29"/>
        <v/>
      </c>
      <c r="L197" s="43" t="str">
        <f ca="1">IF($A197="","",IF(COUNTIFS(Dividends!$G:$G,"&gt;"&amp;INT($A196),Dividends!$G:$G,"&lt;="&amp;INT($A197))=0,"",$H$2*SUMIFS(Dividends!$H:$H,Dividends!$G:$G,"&gt;"&amp;INT($A196),Dividends!$G:$G,"&lt;="&amp;INT($A197))))</f>
        <v/>
      </c>
      <c r="M197" s="44" t="str">
        <f ca="1">IF(ISERROR(B197-2),"",C197+D197-F197-G197-K197+SUM($L$14:L197))</f>
        <v/>
      </c>
      <c r="U197" s="3" t="str">
        <f t="shared" si="30"/>
        <v/>
      </c>
      <c r="V197" s="3" t="str">
        <f t="shared" si="31"/>
        <v/>
      </c>
      <c r="Z197" s="3">
        <v>46058</v>
      </c>
      <c r="AA197" s="4">
        <v>248.86420000000001</v>
      </c>
      <c r="AB197" s="6">
        <v>46058</v>
      </c>
      <c r="AC197" s="4">
        <v>247.72399999999999</v>
      </c>
      <c r="AD197" s="6">
        <f t="shared" si="32"/>
        <v>46058</v>
      </c>
    </row>
    <row r="198" spans="1:30" x14ac:dyDescent="0.25">
      <c r="A198" s="39" t="str">
        <f t="shared" ca="1" si="23"/>
        <v/>
      </c>
      <c r="B198" s="40" t="str">
        <f ca="1">IF(COUNTIF($W$2:W1183,A198)=1,VLOOKUP(A198,O:P,2), IF(COUNTIF($W$2:W1183,A198)=0,$B$9,""))</f>
        <v/>
      </c>
      <c r="C198" s="2" t="str">
        <f t="shared" ca="1" si="24"/>
        <v/>
      </c>
      <c r="D198" s="43" t="str">
        <f t="shared" ca="1" si="25"/>
        <v/>
      </c>
      <c r="E198" s="40" t="str">
        <f ca="1">IF(COUNTIF($W$2:W1183,A198)=1,VLOOKUP(A198,Q:R,2), IF(COUNTIF($W$2:W1183,A198)=0,$C$9,""))</f>
        <v/>
      </c>
      <c r="F198" s="2" t="str">
        <f t="shared" ca="1" si="26"/>
        <v/>
      </c>
      <c r="G198" s="43" t="str">
        <f t="shared" ca="1" si="27"/>
        <v/>
      </c>
      <c r="H198" s="40" t="str">
        <f ca="1">IF(COUNTIF($W$2:W1183,A198)=1,VLOOKUP(A198,S:T,2), IF(COUNTIF($W$2:W1183,A198)=0,$D$9,""))</f>
        <v/>
      </c>
      <c r="I198" s="41" t="str">
        <f ca="1">IF(COUNTIF($X$2:X1183,INT(A198))=1,VLOOKUP(INT(A198),X:Y,2), IF(ISERROR(H198-2),"",I197*(1-$D$8*(H198-H197)*0.0001)))</f>
        <v/>
      </c>
      <c r="J198" s="41" t="str">
        <f t="shared" ca="1" si="28"/>
        <v/>
      </c>
      <c r="K198" s="43" t="str">
        <f t="shared" ca="1" si="29"/>
        <v/>
      </c>
      <c r="L198" s="43" t="str">
        <f ca="1">IF($A198="","",IF(COUNTIFS(Dividends!$G:$G,"&gt;"&amp;INT($A197),Dividends!$G:$G,"&lt;="&amp;INT($A198))=0,"",$H$2*SUMIFS(Dividends!$H:$H,Dividends!$G:$G,"&gt;"&amp;INT($A197),Dividends!$G:$G,"&lt;="&amp;INT($A198))))</f>
        <v/>
      </c>
      <c r="M198" s="44" t="str">
        <f ca="1">IF(ISERROR(B198-2),"",C198+D198-F198-G198-K198+SUM($L$14:L198))</f>
        <v/>
      </c>
      <c r="U198" s="3" t="str">
        <f t="shared" si="30"/>
        <v/>
      </c>
      <c r="V198" s="3" t="str">
        <f t="shared" si="31"/>
        <v/>
      </c>
      <c r="Z198" s="3">
        <v>46059</v>
      </c>
      <c r="AA198" s="4">
        <v>249.4572</v>
      </c>
      <c r="AB198" s="6">
        <v>46059</v>
      </c>
      <c r="AC198" s="4">
        <v>243.90799999999999</v>
      </c>
      <c r="AD198" s="6">
        <f t="shared" si="32"/>
        <v>46059</v>
      </c>
    </row>
    <row r="199" spans="1:30" x14ac:dyDescent="0.25">
      <c r="A199" s="39" t="str">
        <f t="shared" ca="1" si="23"/>
        <v/>
      </c>
      <c r="B199" s="40" t="str">
        <f ca="1">IF(COUNTIF($W$2:W1184,A199)=1,VLOOKUP(A199,O:P,2), IF(COUNTIF($W$2:W1184,A199)=0,$B$9,""))</f>
        <v/>
      </c>
      <c r="C199" s="2" t="str">
        <f t="shared" ca="1" si="24"/>
        <v/>
      </c>
      <c r="D199" s="43" t="str">
        <f t="shared" ca="1" si="25"/>
        <v/>
      </c>
      <c r="E199" s="40" t="str">
        <f ca="1">IF(COUNTIF($W$2:W1184,A199)=1,VLOOKUP(A199,Q:R,2), IF(COUNTIF($W$2:W1184,A199)=0,$C$9,""))</f>
        <v/>
      </c>
      <c r="F199" s="2" t="str">
        <f t="shared" ca="1" si="26"/>
        <v/>
      </c>
      <c r="G199" s="43" t="str">
        <f t="shared" ca="1" si="27"/>
        <v/>
      </c>
      <c r="H199" s="40" t="str">
        <f ca="1">IF(COUNTIF($W$2:W1184,A199)=1,VLOOKUP(A199,S:T,2), IF(COUNTIF($W$2:W1184,A199)=0,$D$9,""))</f>
        <v/>
      </c>
      <c r="I199" s="41" t="str">
        <f ca="1">IF(COUNTIF($X$2:X1184,INT(A199))=1,VLOOKUP(INT(A199),X:Y,2), IF(ISERROR(H199-2),"",I198*(1-$D$8*(H199-H198)*0.0001)))</f>
        <v/>
      </c>
      <c r="J199" s="41" t="str">
        <f t="shared" ca="1" si="28"/>
        <v/>
      </c>
      <c r="K199" s="43" t="str">
        <f t="shared" ca="1" si="29"/>
        <v/>
      </c>
      <c r="L199" s="43" t="str">
        <f ca="1">IF($A199="","",IF(COUNTIFS(Dividends!$G:$G,"&gt;"&amp;INT($A198),Dividends!$G:$G,"&lt;="&amp;INT($A199))=0,"",$H$2*SUMIFS(Dividends!$H:$H,Dividends!$G:$G,"&gt;"&amp;INT($A198),Dividends!$G:$G,"&lt;="&amp;INT($A199))))</f>
        <v/>
      </c>
      <c r="M199" s="44" t="str">
        <f ca="1">IF(ISERROR(B199-2),"",C199+D199-F199-G199-K199+SUM($L$14:L199))</f>
        <v/>
      </c>
      <c r="U199" s="3" t="str">
        <f t="shared" si="30"/>
        <v/>
      </c>
      <c r="V199" s="3" t="str">
        <f t="shared" si="31"/>
        <v/>
      </c>
      <c r="Z199" s="3">
        <v>46062</v>
      </c>
      <c r="AA199" s="4">
        <v>249.82130000000001</v>
      </c>
      <c r="AB199" s="6">
        <v>46062</v>
      </c>
      <c r="AC199" s="4">
        <v>240.52</v>
      </c>
      <c r="AD199" s="6">
        <f t="shared" si="32"/>
        <v>46062</v>
      </c>
    </row>
    <row r="200" spans="1:30" x14ac:dyDescent="0.25">
      <c r="A200" s="39" t="str">
        <f t="shared" ca="1" si="23"/>
        <v/>
      </c>
      <c r="B200" s="40" t="str">
        <f ca="1">IF(COUNTIF($W$2:W1185,A200)=1,VLOOKUP(A200,O:P,2), IF(COUNTIF($W$2:W1185,A200)=0,$B$9,""))</f>
        <v/>
      </c>
      <c r="C200" s="2" t="str">
        <f t="shared" ca="1" si="24"/>
        <v/>
      </c>
      <c r="D200" s="43" t="str">
        <f t="shared" ca="1" si="25"/>
        <v/>
      </c>
      <c r="E200" s="40" t="str">
        <f ca="1">IF(COUNTIF($W$2:W1185,A200)=1,VLOOKUP(A200,Q:R,2), IF(COUNTIF($W$2:W1185,A200)=0,$C$9,""))</f>
        <v/>
      </c>
      <c r="F200" s="2" t="str">
        <f t="shared" ca="1" si="26"/>
        <v/>
      </c>
      <c r="G200" s="43" t="str">
        <f t="shared" ca="1" si="27"/>
        <v/>
      </c>
      <c r="H200" s="40" t="str">
        <f ca="1">IF(COUNTIF($W$2:W1185,A200)=1,VLOOKUP(A200,S:T,2), IF(COUNTIF($W$2:W1185,A200)=0,$D$9,""))</f>
        <v/>
      </c>
      <c r="I200" s="41" t="str">
        <f ca="1">IF(COUNTIF($X$2:X1185,INT(A200))=1,VLOOKUP(INT(A200),X:Y,2), IF(ISERROR(H200-2),"",I199*(1-$D$8*(H200-H199)*0.0001)))</f>
        <v/>
      </c>
      <c r="J200" s="41" t="str">
        <f t="shared" ca="1" si="28"/>
        <v/>
      </c>
      <c r="K200" s="43" t="str">
        <f t="shared" ca="1" si="29"/>
        <v/>
      </c>
      <c r="L200" s="43" t="str">
        <f ca="1">IF($A200="","",IF(COUNTIFS(Dividends!$G:$G,"&gt;"&amp;INT($A199),Dividends!$G:$G,"&lt;="&amp;INT($A200))=0,"",$H$2*SUMIFS(Dividends!$H:$H,Dividends!$G:$G,"&gt;"&amp;INT($A199),Dividends!$G:$G,"&lt;="&amp;INT($A200))))</f>
        <v/>
      </c>
      <c r="M200" s="44" t="str">
        <f ca="1">IF(ISERROR(B200-2),"",C200+D200-F200-G200-K200+SUM($L$14:L200))</f>
        <v/>
      </c>
      <c r="U200" s="3" t="str">
        <f t="shared" si="30"/>
        <v/>
      </c>
      <c r="V200" s="3" t="str">
        <f t="shared" si="31"/>
        <v/>
      </c>
      <c r="Z200" s="3">
        <v>46063</v>
      </c>
      <c r="AA200" s="4">
        <v>249.73419999999999</v>
      </c>
      <c r="AB200" s="6">
        <v>46063</v>
      </c>
      <c r="AC200" s="4">
        <v>241.834</v>
      </c>
      <c r="AD200" s="6">
        <f t="shared" si="32"/>
        <v>46063</v>
      </c>
    </row>
    <row r="201" spans="1:30" x14ac:dyDescent="0.25">
      <c r="A201" s="39" t="str">
        <f t="shared" ca="1" si="23"/>
        <v/>
      </c>
      <c r="B201" s="40" t="str">
        <f ca="1">IF(COUNTIF($W$2:W1186,A201)=1,VLOOKUP(A201,O:P,2), IF(COUNTIF($W$2:W1186,A201)=0,$B$9,""))</f>
        <v/>
      </c>
      <c r="C201" s="2" t="str">
        <f t="shared" ca="1" si="24"/>
        <v/>
      </c>
      <c r="D201" s="43" t="str">
        <f t="shared" ca="1" si="25"/>
        <v/>
      </c>
      <c r="E201" s="40" t="str">
        <f ca="1">IF(COUNTIF($W$2:W1186,A201)=1,VLOOKUP(A201,Q:R,2), IF(COUNTIF($W$2:W1186,A201)=0,$C$9,""))</f>
        <v/>
      </c>
      <c r="F201" s="2" t="str">
        <f t="shared" ca="1" si="26"/>
        <v/>
      </c>
      <c r="G201" s="43" t="str">
        <f t="shared" ca="1" si="27"/>
        <v/>
      </c>
      <c r="H201" s="40" t="str">
        <f ca="1">IF(COUNTIF($W$2:W1186,A201)=1,VLOOKUP(A201,S:T,2), IF(COUNTIF($W$2:W1186,A201)=0,$D$9,""))</f>
        <v/>
      </c>
      <c r="I201" s="41" t="str">
        <f ca="1">IF(COUNTIF($X$2:X1186,INT(A201))=1,VLOOKUP(INT(A201),X:Y,2), IF(ISERROR(H201-2),"",I200*(1-$D$8*(H201-H200)*0.0001)))</f>
        <v/>
      </c>
      <c r="J201" s="41" t="str">
        <f t="shared" ca="1" si="28"/>
        <v/>
      </c>
      <c r="K201" s="43" t="str">
        <f t="shared" ca="1" si="29"/>
        <v/>
      </c>
      <c r="L201" s="43" t="str">
        <f ca="1">IF($A201="","",IF(COUNTIFS(Dividends!$G:$G,"&gt;"&amp;INT($A200),Dividends!$G:$G,"&lt;="&amp;INT($A201))=0,"",$H$2*SUMIFS(Dividends!$H:$H,Dividends!$G:$G,"&gt;"&amp;INT($A200),Dividends!$G:$G,"&lt;="&amp;INT($A201))))</f>
        <v/>
      </c>
      <c r="M201" s="44" t="str">
        <f ca="1">IF(ISERROR(B201-2),"",C201+D201-F201-G201-K201+SUM($L$14:L201))</f>
        <v/>
      </c>
      <c r="U201" s="3" t="str">
        <f t="shared" si="30"/>
        <v/>
      </c>
      <c r="V201" s="3" t="str">
        <f t="shared" si="31"/>
        <v/>
      </c>
      <c r="Z201" s="3">
        <v>46064</v>
      </c>
      <c r="AA201" s="4">
        <v>249.6275</v>
      </c>
      <c r="AB201" s="6">
        <v>46064</v>
      </c>
      <c r="AC201" s="4">
        <v>243.429</v>
      </c>
      <c r="AD201" s="6">
        <f t="shared" si="32"/>
        <v>46064</v>
      </c>
    </row>
    <row r="202" spans="1:30" x14ac:dyDescent="0.25">
      <c r="A202" s="39" t="str">
        <f t="shared" ca="1" si="23"/>
        <v/>
      </c>
      <c r="B202" s="40" t="str">
        <f ca="1">IF(COUNTIF($W$2:W1187,A202)=1,VLOOKUP(A202,O:P,2), IF(COUNTIF($W$2:W1187,A202)=0,$B$9,""))</f>
        <v/>
      </c>
      <c r="C202" s="2" t="str">
        <f t="shared" ca="1" si="24"/>
        <v/>
      </c>
      <c r="D202" s="43" t="str">
        <f t="shared" ca="1" si="25"/>
        <v/>
      </c>
      <c r="E202" s="40" t="str">
        <f ca="1">IF(COUNTIF($W$2:W1187,A202)=1,VLOOKUP(A202,Q:R,2), IF(COUNTIF($W$2:W1187,A202)=0,$C$9,""))</f>
        <v/>
      </c>
      <c r="F202" s="2" t="str">
        <f t="shared" ca="1" si="26"/>
        <v/>
      </c>
      <c r="G202" s="43" t="str">
        <f t="shared" ca="1" si="27"/>
        <v/>
      </c>
      <c r="H202" s="40" t="str">
        <f ca="1">IF(COUNTIF($W$2:W1187,A202)=1,VLOOKUP(A202,S:T,2), IF(COUNTIF($W$2:W1187,A202)=0,$D$9,""))</f>
        <v/>
      </c>
      <c r="I202" s="41" t="str">
        <f ca="1">IF(COUNTIF($X$2:X1187,INT(A202))=1,VLOOKUP(INT(A202),X:Y,2), IF(ISERROR(H202-2),"",I201*(1-$D$8*(H202-H201)*0.0001)))</f>
        <v/>
      </c>
      <c r="J202" s="41" t="str">
        <f t="shared" ca="1" si="28"/>
        <v/>
      </c>
      <c r="K202" s="43" t="str">
        <f t="shared" ca="1" si="29"/>
        <v/>
      </c>
      <c r="L202" s="43" t="str">
        <f ca="1">IF($A202="","",IF(COUNTIFS(Dividends!$G:$G,"&gt;"&amp;INT($A201),Dividends!$G:$G,"&lt;="&amp;INT($A202))=0,"",$H$2*SUMIFS(Dividends!$H:$H,Dividends!$G:$G,"&gt;"&amp;INT($A201),Dividends!$G:$G,"&lt;="&amp;INT($A202))))</f>
        <v/>
      </c>
      <c r="M202" s="44" t="str">
        <f ca="1">IF(ISERROR(B202-2),"",C202+D202-F202-G202-K202+SUM($L$14:L202))</f>
        <v/>
      </c>
      <c r="U202" s="3" t="str">
        <f t="shared" si="30"/>
        <v/>
      </c>
      <c r="V202" s="3" t="str">
        <f t="shared" si="31"/>
        <v/>
      </c>
      <c r="Z202" s="3">
        <v>46065</v>
      </c>
      <c r="AA202" s="4">
        <v>249.3349</v>
      </c>
      <c r="AB202" s="6">
        <v>46065</v>
      </c>
      <c r="AC202" s="4">
        <v>246.203</v>
      </c>
      <c r="AD202" s="6">
        <f t="shared" si="32"/>
        <v>46065</v>
      </c>
    </row>
    <row r="203" spans="1:30" x14ac:dyDescent="0.25">
      <c r="A203" s="39" t="str">
        <f t="shared" ca="1" si="23"/>
        <v/>
      </c>
      <c r="B203" s="40" t="str">
        <f ca="1">IF(COUNTIF($W$2:W1188,A203)=1,VLOOKUP(A203,O:P,2), IF(COUNTIF($W$2:W1188,A203)=0,$B$9,""))</f>
        <v/>
      </c>
      <c r="C203" s="2" t="str">
        <f t="shared" ca="1" si="24"/>
        <v/>
      </c>
      <c r="D203" s="43" t="str">
        <f t="shared" ca="1" si="25"/>
        <v/>
      </c>
      <c r="E203" s="40" t="str">
        <f ca="1">IF(COUNTIF($W$2:W1188,A203)=1,VLOOKUP(A203,Q:R,2), IF(COUNTIF($W$2:W1188,A203)=0,$C$9,""))</f>
        <v/>
      </c>
      <c r="F203" s="2" t="str">
        <f t="shared" ca="1" si="26"/>
        <v/>
      </c>
      <c r="G203" s="43" t="str">
        <f t="shared" ca="1" si="27"/>
        <v/>
      </c>
      <c r="H203" s="40" t="str">
        <f ca="1">IF(COUNTIF($W$2:W1188,A203)=1,VLOOKUP(A203,S:T,2), IF(COUNTIF($W$2:W1188,A203)=0,$D$9,""))</f>
        <v/>
      </c>
      <c r="I203" s="41" t="str">
        <f ca="1">IF(COUNTIF($X$2:X1188,INT(A203))=1,VLOOKUP(INT(A203),X:Y,2), IF(ISERROR(H203-2),"",I202*(1-$D$8*(H203-H202)*0.0001)))</f>
        <v/>
      </c>
      <c r="J203" s="41" t="str">
        <f t="shared" ca="1" si="28"/>
        <v/>
      </c>
      <c r="K203" s="43" t="str">
        <f t="shared" ca="1" si="29"/>
        <v/>
      </c>
      <c r="L203" s="43" t="str">
        <f ca="1">IF($A203="","",IF(COUNTIFS(Dividends!$G:$G,"&gt;"&amp;INT($A202),Dividends!$G:$G,"&lt;="&amp;INT($A203))=0,"",$H$2*SUMIFS(Dividends!$H:$H,Dividends!$G:$G,"&gt;"&amp;INT($A202),Dividends!$G:$G,"&lt;="&amp;INT($A203))))</f>
        <v/>
      </c>
      <c r="M203" s="44" t="str">
        <f ca="1">IF(ISERROR(B203-2),"",C203+D203-F203-G203-K203+SUM($L$14:L203))</f>
        <v/>
      </c>
      <c r="U203" s="3" t="str">
        <f t="shared" si="30"/>
        <v/>
      </c>
      <c r="V203" s="3" t="str">
        <f t="shared" si="31"/>
        <v/>
      </c>
      <c r="Z203" s="3">
        <v>46066</v>
      </c>
      <c r="AA203" s="4">
        <v>249.1874</v>
      </c>
      <c r="AB203" s="6">
        <v>46066</v>
      </c>
      <c r="AC203" s="4">
        <v>247.685</v>
      </c>
      <c r="AD203" s="6">
        <f t="shared" si="32"/>
        <v>46066</v>
      </c>
    </row>
    <row r="204" spans="1:30" x14ac:dyDescent="0.25">
      <c r="A204" s="39" t="str">
        <f t="shared" ca="1" si="23"/>
        <v/>
      </c>
      <c r="B204" s="40" t="str">
        <f ca="1">IF(COUNTIF($W$2:W1189,A204)=1,VLOOKUP(A204,O:P,2), IF(COUNTIF($W$2:W1189,A204)=0,$B$9,""))</f>
        <v/>
      </c>
      <c r="C204" s="2" t="str">
        <f t="shared" ca="1" si="24"/>
        <v/>
      </c>
      <c r="D204" s="43" t="str">
        <f t="shared" ca="1" si="25"/>
        <v/>
      </c>
      <c r="E204" s="40" t="str">
        <f ca="1">IF(COUNTIF($W$2:W1189,A204)=1,VLOOKUP(A204,Q:R,2), IF(COUNTIF($W$2:W1189,A204)=0,$C$9,""))</f>
        <v/>
      </c>
      <c r="F204" s="2" t="str">
        <f t="shared" ca="1" si="26"/>
        <v/>
      </c>
      <c r="G204" s="43" t="str">
        <f t="shared" ca="1" si="27"/>
        <v/>
      </c>
      <c r="H204" s="40" t="str">
        <f ca="1">IF(COUNTIF($W$2:W1189,A204)=1,VLOOKUP(A204,S:T,2), IF(COUNTIF($W$2:W1189,A204)=0,$D$9,""))</f>
        <v/>
      </c>
      <c r="I204" s="41" t="str">
        <f ca="1">IF(COUNTIF($X$2:X1189,INT(A204))=1,VLOOKUP(INT(A204),X:Y,2), IF(ISERROR(H204-2),"",I203*(1-$D$8*(H204-H203)*0.0001)))</f>
        <v/>
      </c>
      <c r="J204" s="41" t="str">
        <f t="shared" ca="1" si="28"/>
        <v/>
      </c>
      <c r="K204" s="43" t="str">
        <f t="shared" ca="1" si="29"/>
        <v/>
      </c>
      <c r="L204" s="43" t="str">
        <f ca="1">IF($A204="","",IF(COUNTIFS(Dividends!$G:$G,"&gt;"&amp;INT($A203),Dividends!$G:$G,"&lt;="&amp;INT($A204))=0,"",$H$2*SUMIFS(Dividends!$H:$H,Dividends!$G:$G,"&gt;"&amp;INT($A203),Dividends!$G:$G,"&lt;="&amp;INT($A204))))</f>
        <v/>
      </c>
      <c r="M204" s="44" t="str">
        <f ca="1">IF(ISERROR(B204-2),"",C204+D204-F204-G204-K204+SUM($L$14:L204))</f>
        <v/>
      </c>
      <c r="U204" s="3" t="str">
        <f t="shared" si="30"/>
        <v/>
      </c>
      <c r="V204" s="3" t="str">
        <f t="shared" si="31"/>
        <v/>
      </c>
      <c r="Z204" s="3">
        <v>46069</v>
      </c>
      <c r="AA204" s="4">
        <v>249.0668</v>
      </c>
      <c r="AB204" s="6">
        <v>46069</v>
      </c>
      <c r="AC204" s="4">
        <v>249.32300000000001</v>
      </c>
      <c r="AD204" s="6">
        <f t="shared" si="32"/>
        <v>46069</v>
      </c>
    </row>
    <row r="205" spans="1:30" x14ac:dyDescent="0.25">
      <c r="A205" s="39"/>
      <c r="B205" s="40"/>
      <c r="C205" s="2"/>
      <c r="D205" s="43"/>
      <c r="E205" s="40"/>
      <c r="F205" s="2"/>
      <c r="G205" s="43"/>
      <c r="H205" s="40"/>
      <c r="I205" s="41"/>
      <c r="J205" s="41"/>
      <c r="K205" s="43"/>
      <c r="L205" s="43"/>
      <c r="M205" s="44"/>
      <c r="U205" s="3" t="str">
        <f t="shared" si="30"/>
        <v/>
      </c>
      <c r="V205" s="3" t="str">
        <f t="shared" si="31"/>
        <v/>
      </c>
      <c r="Z205" s="3">
        <v>46070</v>
      </c>
      <c r="AA205" s="4">
        <v>248.9178</v>
      </c>
      <c r="AB205" s="6">
        <v>46070</v>
      </c>
      <c r="AC205" s="4">
        <v>250.65299999999999</v>
      </c>
      <c r="AD205" s="6">
        <f t="shared" si="32"/>
        <v>46070</v>
      </c>
    </row>
    <row r="206" spans="1:30" x14ac:dyDescent="0.25">
      <c r="A206" s="39"/>
      <c r="B206" s="40"/>
      <c r="C206" s="2"/>
      <c r="D206" s="43"/>
      <c r="E206" s="40"/>
      <c r="F206" s="2"/>
      <c r="G206" s="43"/>
      <c r="H206" s="40"/>
      <c r="I206" s="41"/>
      <c r="J206" s="41"/>
      <c r="K206" s="43"/>
      <c r="L206" s="43"/>
      <c r="M206" s="44"/>
      <c r="U206" s="3" t="str">
        <f t="shared" si="30"/>
        <v/>
      </c>
      <c r="V206" s="3" t="str">
        <f t="shared" si="31"/>
        <v/>
      </c>
      <c r="Z206" s="3">
        <v>46071</v>
      </c>
      <c r="AA206" s="4">
        <v>249.54349999999999</v>
      </c>
      <c r="AB206" s="6">
        <v>46071</v>
      </c>
      <c r="AC206" s="4">
        <v>245.28100000000001</v>
      </c>
      <c r="AD206" s="6">
        <f t="shared" si="32"/>
        <v>46071</v>
      </c>
    </row>
    <row r="207" spans="1:30" x14ac:dyDescent="0.25">
      <c r="A207" s="39"/>
      <c r="B207" s="40"/>
      <c r="C207" s="2"/>
      <c r="D207" s="43"/>
      <c r="E207" s="40"/>
      <c r="F207" s="2"/>
      <c r="G207" s="43"/>
      <c r="H207" s="40"/>
      <c r="I207" s="41"/>
      <c r="J207" s="41"/>
      <c r="K207" s="43"/>
      <c r="L207" s="43"/>
      <c r="M207" s="44"/>
      <c r="U207" s="3" t="str">
        <f t="shared" si="30"/>
        <v/>
      </c>
      <c r="V207" s="3" t="str">
        <f t="shared" si="31"/>
        <v/>
      </c>
      <c r="Z207" s="3">
        <v>46072</v>
      </c>
      <c r="AA207" s="4">
        <v>249.05619999999999</v>
      </c>
      <c r="AB207" s="6">
        <v>46072</v>
      </c>
      <c r="AC207" s="4">
        <v>249.80099999999999</v>
      </c>
      <c r="AD207" s="6">
        <f t="shared" si="32"/>
        <v>46072</v>
      </c>
    </row>
    <row r="208" spans="1:30" x14ac:dyDescent="0.25">
      <c r="A208" s="39"/>
      <c r="B208" s="40"/>
      <c r="C208" s="2"/>
      <c r="D208" s="43"/>
      <c r="E208" s="40"/>
      <c r="F208" s="2"/>
      <c r="G208" s="43"/>
      <c r="H208" s="40"/>
      <c r="I208" s="41"/>
      <c r="J208" s="41"/>
      <c r="K208" s="43"/>
      <c r="L208" s="43"/>
      <c r="M208" s="44"/>
      <c r="U208" s="3" t="str">
        <f t="shared" si="30"/>
        <v/>
      </c>
      <c r="V208" s="3" t="str">
        <f t="shared" si="31"/>
        <v/>
      </c>
      <c r="Z208" s="3">
        <v>46073</v>
      </c>
      <c r="AA208" s="4">
        <v>249.35589999999999</v>
      </c>
      <c r="AB208" s="6">
        <v>46073</v>
      </c>
      <c r="AC208" s="4">
        <v>247.39400000000001</v>
      </c>
      <c r="AD208" s="6">
        <f t="shared" si="32"/>
        <v>46073</v>
      </c>
    </row>
    <row r="209" spans="1:30" x14ac:dyDescent="0.25">
      <c r="A209" s="39"/>
      <c r="B209" s="40"/>
      <c r="C209" s="2"/>
      <c r="D209" s="43"/>
      <c r="E209" s="40"/>
      <c r="F209" s="2"/>
      <c r="G209" s="43"/>
      <c r="H209" s="40"/>
      <c r="I209" s="41"/>
      <c r="J209" s="41"/>
      <c r="K209" s="43"/>
      <c r="L209" s="43"/>
      <c r="M209" s="44"/>
      <c r="U209" s="3" t="str">
        <f t="shared" si="30"/>
        <v/>
      </c>
      <c r="V209" s="3" t="str">
        <f t="shared" si="31"/>
        <v/>
      </c>
      <c r="Z209" s="3">
        <v>46076</v>
      </c>
      <c r="AA209" s="4">
        <v>249.17140000000001</v>
      </c>
      <c r="AB209" s="6">
        <v>46076</v>
      </c>
      <c r="AC209" s="4">
        <v>249.6</v>
      </c>
      <c r="AD209" s="6">
        <f t="shared" si="32"/>
        <v>46076</v>
      </c>
    </row>
    <row r="210" spans="1:30" x14ac:dyDescent="0.25">
      <c r="A210" s="39"/>
      <c r="B210" s="40"/>
      <c r="C210" s="2"/>
      <c r="D210" s="43"/>
      <c r="E210" s="40"/>
      <c r="F210" s="2"/>
      <c r="G210" s="43"/>
      <c r="H210" s="40"/>
      <c r="I210" s="41"/>
      <c r="J210" s="41"/>
      <c r="K210" s="43"/>
      <c r="L210" s="43"/>
      <c r="M210" s="44"/>
      <c r="U210" s="3" t="str">
        <f t="shared" si="30"/>
        <v/>
      </c>
      <c r="V210" s="3" t="str">
        <f t="shared" si="31"/>
        <v/>
      </c>
      <c r="Z210" s="3">
        <v>46077</v>
      </c>
      <c r="AA210" s="4">
        <v>248.90289999999999</v>
      </c>
      <c r="AB210" s="6">
        <v>46077</v>
      </c>
      <c r="AC210" s="4">
        <v>251.95099999999999</v>
      </c>
      <c r="AD210" s="6">
        <f t="shared" si="32"/>
        <v>46077</v>
      </c>
    </row>
    <row r="211" spans="1:30" x14ac:dyDescent="0.25">
      <c r="A211" s="39"/>
      <c r="B211" s="40"/>
      <c r="C211" s="2"/>
      <c r="D211" s="43"/>
      <c r="E211" s="40"/>
      <c r="F211" s="2"/>
      <c r="G211" s="43"/>
      <c r="H211" s="40"/>
      <c r="I211" s="41"/>
      <c r="J211" s="41"/>
      <c r="K211" s="43"/>
      <c r="L211" s="43"/>
      <c r="M211" s="44"/>
      <c r="U211" s="3" t="str">
        <f t="shared" si="30"/>
        <v/>
      </c>
      <c r="V211" s="3" t="str">
        <f t="shared" si="31"/>
        <v/>
      </c>
      <c r="Z211" s="3">
        <v>46078</v>
      </c>
      <c r="AA211" s="4">
        <v>249.0966</v>
      </c>
      <c r="AB211" s="6">
        <v>46078</v>
      </c>
      <c r="AC211" s="4">
        <v>250.364</v>
      </c>
      <c r="AD211" s="6">
        <f t="shared" si="32"/>
        <v>46078</v>
      </c>
    </row>
    <row r="212" spans="1:30" x14ac:dyDescent="0.25">
      <c r="A212" s="39"/>
      <c r="B212" s="40"/>
      <c r="C212" s="2"/>
      <c r="D212" s="43"/>
      <c r="E212" s="40"/>
      <c r="F212" s="2"/>
      <c r="G212" s="43"/>
      <c r="H212" s="40"/>
      <c r="I212" s="41"/>
      <c r="J212" s="41"/>
      <c r="K212" s="43"/>
      <c r="L212" s="43"/>
      <c r="M212" s="44"/>
      <c r="U212" s="3" t="str">
        <f t="shared" si="30"/>
        <v/>
      </c>
      <c r="V212" s="3" t="str">
        <f t="shared" si="31"/>
        <v/>
      </c>
      <c r="Z212" s="3">
        <v>46079</v>
      </c>
      <c r="AA212" s="4">
        <v>248.75470000000001</v>
      </c>
      <c r="AB212" s="6">
        <v>46079</v>
      </c>
      <c r="AC212" s="4">
        <v>255.23400000000001</v>
      </c>
      <c r="AD212" s="6">
        <f t="shared" si="32"/>
        <v>46079</v>
      </c>
    </row>
    <row r="213" spans="1:30" x14ac:dyDescent="0.25">
      <c r="A213" s="39"/>
      <c r="B213" s="40"/>
      <c r="C213" s="2"/>
      <c r="D213" s="43"/>
      <c r="E213" s="40"/>
      <c r="F213" s="2"/>
      <c r="G213" s="43"/>
      <c r="H213" s="40"/>
      <c r="I213" s="41"/>
      <c r="J213" s="41"/>
      <c r="K213" s="43"/>
      <c r="L213" s="43"/>
      <c r="M213" s="44"/>
      <c r="U213" s="3" t="str">
        <f t="shared" si="30"/>
        <v/>
      </c>
      <c r="V213" s="3" t="str">
        <f t="shared" si="31"/>
        <v/>
      </c>
      <c r="Z213" s="3">
        <v>46080</v>
      </c>
      <c r="AA213" s="4">
        <v>248.09289999999999</v>
      </c>
      <c r="AB213" s="6">
        <v>46080</v>
      </c>
      <c r="AC213" s="4">
        <v>260.47699999999998</v>
      </c>
      <c r="AD213" s="6">
        <f t="shared" si="32"/>
        <v>46080</v>
      </c>
    </row>
    <row r="214" spans="1:30" x14ac:dyDescent="0.25">
      <c r="A214" s="39"/>
      <c r="B214" s="40"/>
      <c r="C214" s="2"/>
      <c r="D214" s="43"/>
      <c r="E214" s="40"/>
      <c r="F214" s="2"/>
      <c r="G214" s="43"/>
      <c r="H214" s="40"/>
      <c r="I214" s="41"/>
      <c r="J214" s="41"/>
      <c r="K214" s="43"/>
      <c r="L214" s="43"/>
      <c r="M214" s="44"/>
      <c r="U214" s="3" t="str">
        <f t="shared" si="30"/>
        <v/>
      </c>
      <c r="V214" s="3" t="str">
        <f t="shared" si="31"/>
        <v/>
      </c>
      <c r="Z214" s="3">
        <v>46083</v>
      </c>
      <c r="AA214" s="4">
        <v>247.5763</v>
      </c>
      <c r="AB214" s="6">
        <v>46083</v>
      </c>
      <c r="AC214" s="4">
        <v>263.697</v>
      </c>
      <c r="AD214" s="6">
        <f t="shared" si="32"/>
        <v>46083</v>
      </c>
    </row>
    <row r="215" spans="1:30" x14ac:dyDescent="0.25">
      <c r="A215" s="39"/>
      <c r="B215" s="40"/>
      <c r="C215" s="2"/>
      <c r="D215" s="43"/>
      <c r="E215" s="40"/>
      <c r="F215" s="2"/>
      <c r="G215" s="43"/>
      <c r="H215" s="40"/>
      <c r="I215" s="41"/>
      <c r="J215" s="41"/>
      <c r="K215" s="43"/>
      <c r="L215" s="43"/>
      <c r="M215" s="44"/>
      <c r="U215" s="3" t="str">
        <f t="shared" si="30"/>
        <v/>
      </c>
      <c r="V215" s="3" t="str">
        <f t="shared" si="31"/>
        <v/>
      </c>
      <c r="Z215" s="3">
        <v>46084</v>
      </c>
      <c r="AA215" s="4">
        <v>246.2878</v>
      </c>
      <c r="AB215" s="6">
        <v>46084</v>
      </c>
      <c r="AC215" s="4">
        <v>274.05799999999999</v>
      </c>
      <c r="AD215" s="6">
        <f t="shared" si="32"/>
        <v>46084</v>
      </c>
    </row>
    <row r="216" spans="1:30" x14ac:dyDescent="0.25">
      <c r="A216" s="39"/>
      <c r="B216" s="40"/>
      <c r="C216" s="2"/>
      <c r="D216" s="43"/>
      <c r="E216" s="40"/>
      <c r="F216" s="2"/>
      <c r="G216" s="43"/>
      <c r="H216" s="40"/>
      <c r="I216" s="41"/>
      <c r="J216" s="41"/>
      <c r="K216" s="43"/>
      <c r="L216" s="43"/>
      <c r="M216" s="44"/>
      <c r="U216" s="3" t="str">
        <f t="shared" si="30"/>
        <v/>
      </c>
      <c r="V216" s="3" t="str">
        <f t="shared" si="31"/>
        <v/>
      </c>
      <c r="Z216" s="3">
        <v>46085</v>
      </c>
      <c r="AA216" s="4">
        <v>247.53190000000001</v>
      </c>
      <c r="AB216" s="6">
        <v>46085</v>
      </c>
      <c r="AC216" s="4">
        <v>264.47800000000001</v>
      </c>
      <c r="AD216" s="6">
        <f t="shared" si="32"/>
        <v>46085</v>
      </c>
    </row>
    <row r="217" spans="1:30" x14ac:dyDescent="0.25">
      <c r="A217" s="39"/>
      <c r="B217" s="40"/>
      <c r="C217" s="2"/>
      <c r="D217" s="43"/>
      <c r="E217" s="40"/>
      <c r="F217" s="2"/>
      <c r="G217" s="43"/>
      <c r="H217" s="40"/>
      <c r="I217" s="41"/>
      <c r="J217" s="41"/>
      <c r="K217" s="43"/>
      <c r="L217" s="43"/>
      <c r="M217" s="44"/>
      <c r="U217" s="3" t="str">
        <f t="shared" si="30"/>
        <v/>
      </c>
      <c r="V217" s="3" t="str">
        <f t="shared" si="31"/>
        <v/>
      </c>
      <c r="Z217" s="3">
        <v>46086</v>
      </c>
      <c r="AA217" s="4">
        <v>246.4889</v>
      </c>
      <c r="AB217" s="6">
        <v>46086</v>
      </c>
      <c r="AC217" s="4">
        <v>273.99700000000001</v>
      </c>
      <c r="AD217" s="6">
        <f t="shared" si="32"/>
        <v>46086</v>
      </c>
    </row>
    <row r="218" spans="1:30" x14ac:dyDescent="0.25">
      <c r="A218" s="39"/>
      <c r="B218" s="40"/>
      <c r="C218" s="2"/>
      <c r="D218" s="43"/>
      <c r="E218" s="40"/>
      <c r="F218" s="2"/>
      <c r="G218" s="43"/>
      <c r="H218" s="40"/>
      <c r="I218" s="41"/>
      <c r="J218" s="41"/>
      <c r="K218" s="43"/>
      <c r="L218" s="43"/>
      <c r="M218" s="44"/>
      <c r="U218" s="3" t="str">
        <f t="shared" si="30"/>
        <v/>
      </c>
      <c r="V218" s="3" t="str">
        <f t="shared" si="31"/>
        <v/>
      </c>
      <c r="Z218" s="3">
        <v>46087</v>
      </c>
      <c r="AA218" s="4">
        <v>244.8614</v>
      </c>
      <c r="AB218" s="6">
        <v>46087</v>
      </c>
      <c r="AC218" s="4">
        <v>288.99400000000003</v>
      </c>
      <c r="AD218" s="6">
        <f t="shared" si="32"/>
        <v>46087</v>
      </c>
    </row>
    <row r="219" spans="1:30" x14ac:dyDescent="0.25">
      <c r="A219" s="39"/>
      <c r="B219" s="40"/>
      <c r="C219" s="2"/>
      <c r="D219" s="43"/>
      <c r="E219" s="40"/>
      <c r="F219" s="2"/>
      <c r="G219" s="43"/>
      <c r="H219" s="40"/>
      <c r="I219" s="41"/>
      <c r="J219" s="41"/>
      <c r="K219" s="43"/>
      <c r="L219" s="43"/>
      <c r="M219" s="44"/>
      <c r="U219" s="3" t="str">
        <f t="shared" si="30"/>
        <v/>
      </c>
      <c r="V219" s="3" t="str">
        <f t="shared" si="31"/>
        <v/>
      </c>
      <c r="Z219" s="3">
        <v>46090</v>
      </c>
      <c r="AA219" s="4">
        <v>244.64580000000001</v>
      </c>
      <c r="AB219" s="6">
        <v>46090</v>
      </c>
      <c r="AC219" s="4">
        <v>291.28300000000002</v>
      </c>
      <c r="AD219" s="6">
        <f t="shared" si="32"/>
        <v>46090</v>
      </c>
    </row>
    <row r="220" spans="1:30" x14ac:dyDescent="0.25">
      <c r="A220" s="39"/>
      <c r="B220" s="40"/>
      <c r="C220" s="2"/>
      <c r="D220" s="43"/>
      <c r="E220" s="40"/>
      <c r="F220" s="2"/>
      <c r="G220" s="43"/>
      <c r="H220" s="40"/>
      <c r="I220" s="41"/>
      <c r="J220" s="41"/>
      <c r="K220" s="43"/>
      <c r="L220" s="43"/>
      <c r="M220" s="44"/>
      <c r="U220" s="3" t="str">
        <f t="shared" si="30"/>
        <v/>
      </c>
      <c r="V220" s="3" t="str">
        <f t="shared" si="31"/>
        <v/>
      </c>
      <c r="Z220" s="3">
        <v>46091</v>
      </c>
      <c r="AA220" s="4">
        <v>246.5496</v>
      </c>
      <c r="AB220" s="6">
        <v>46091</v>
      </c>
      <c r="AC220" s="4">
        <v>273.73200000000003</v>
      </c>
      <c r="AD220" s="6">
        <f t="shared" si="32"/>
        <v>46091</v>
      </c>
    </row>
    <row r="221" spans="1:30" x14ac:dyDescent="0.25">
      <c r="A221" s="39"/>
      <c r="B221" s="40"/>
      <c r="C221" s="2"/>
      <c r="D221" s="43"/>
      <c r="E221" s="40"/>
      <c r="F221" s="2"/>
      <c r="G221" s="43"/>
      <c r="H221" s="40"/>
      <c r="I221" s="41"/>
      <c r="J221" s="41"/>
      <c r="K221" s="43"/>
      <c r="L221" s="43"/>
      <c r="M221" s="44"/>
      <c r="U221" s="3" t="str">
        <f t="shared" si="30"/>
        <v/>
      </c>
      <c r="V221" s="3" t="str">
        <f t="shared" si="31"/>
        <v/>
      </c>
      <c r="Z221" s="3">
        <v>46092</v>
      </c>
      <c r="AA221" s="4">
        <v>245.137</v>
      </c>
      <c r="AB221" s="6">
        <v>46092</v>
      </c>
      <c r="AC221" s="4">
        <v>286.94400000000002</v>
      </c>
      <c r="AD221" s="6">
        <f t="shared" si="32"/>
        <v>46092</v>
      </c>
    </row>
    <row r="222" spans="1:30" x14ac:dyDescent="0.25">
      <c r="A222" s="39"/>
      <c r="B222" s="40"/>
      <c r="C222" s="2"/>
      <c r="D222" s="43"/>
      <c r="E222" s="40"/>
      <c r="F222" s="2"/>
      <c r="G222" s="43"/>
      <c r="H222" s="40"/>
      <c r="I222" s="41"/>
      <c r="J222" s="41"/>
      <c r="K222" s="43"/>
      <c r="L222" s="43"/>
      <c r="M222" s="44"/>
      <c r="U222" s="3" t="str">
        <f t="shared" si="30"/>
        <v/>
      </c>
      <c r="V222" s="3" t="str">
        <f t="shared" si="31"/>
        <v/>
      </c>
      <c r="Z222" s="3">
        <v>46093</v>
      </c>
      <c r="AA222" s="4">
        <v>244.11789999999999</v>
      </c>
      <c r="AB222" s="6">
        <v>46093</v>
      </c>
      <c r="AC222" s="4">
        <v>296.94900000000001</v>
      </c>
      <c r="AD222" s="6">
        <f t="shared" si="32"/>
        <v>46093</v>
      </c>
    </row>
    <row r="223" spans="1:30" x14ac:dyDescent="0.25">
      <c r="A223" s="39"/>
      <c r="B223" s="40"/>
      <c r="C223" s="2"/>
      <c r="D223" s="43"/>
      <c r="E223" s="40"/>
      <c r="F223" s="2"/>
      <c r="G223" s="43"/>
      <c r="H223" s="40"/>
      <c r="I223" s="41"/>
      <c r="J223" s="41"/>
      <c r="K223" s="43"/>
      <c r="L223" s="43"/>
      <c r="M223" s="44"/>
      <c r="U223" s="3" t="str">
        <f t="shared" si="30"/>
        <v/>
      </c>
      <c r="V223" s="3" t="str">
        <f t="shared" si="31"/>
        <v/>
      </c>
      <c r="Z223" s="3">
        <v>46094</v>
      </c>
      <c r="AA223" s="4">
        <v>243.1234</v>
      </c>
      <c r="AB223" s="6">
        <v>46094</v>
      </c>
      <c r="AC223" s="4">
        <v>306.91699999999997</v>
      </c>
      <c r="AD223" s="6">
        <f t="shared" si="32"/>
        <v>46094</v>
      </c>
    </row>
    <row r="224" spans="1:30" x14ac:dyDescent="0.25">
      <c r="A224" s="39"/>
      <c r="B224" s="40"/>
      <c r="C224" s="2"/>
      <c r="D224" s="43"/>
      <c r="E224" s="40"/>
      <c r="F224" s="2"/>
      <c r="G224" s="43"/>
      <c r="H224" s="40"/>
      <c r="I224" s="41"/>
      <c r="J224" s="41"/>
      <c r="K224" s="43"/>
      <c r="L224" s="43"/>
      <c r="M224" s="44"/>
      <c r="U224" s="3" t="str">
        <f t="shared" si="30"/>
        <v/>
      </c>
      <c r="V224" s="3" t="str">
        <f t="shared" si="31"/>
        <v/>
      </c>
      <c r="Z224" s="3">
        <v>46097</v>
      </c>
      <c r="AA224" s="4">
        <v>243.46899999999999</v>
      </c>
      <c r="AB224" s="6">
        <v>46097</v>
      </c>
      <c r="AC224" s="4">
        <v>303.91500000000002</v>
      </c>
      <c r="AD224" s="6">
        <f t="shared" si="32"/>
        <v>46097</v>
      </c>
    </row>
    <row r="225" spans="1:30" x14ac:dyDescent="0.25">
      <c r="A225" s="39"/>
      <c r="B225" s="40"/>
      <c r="C225" s="2"/>
      <c r="D225" s="43"/>
      <c r="E225" s="40"/>
      <c r="F225" s="2"/>
      <c r="G225" s="43"/>
      <c r="H225" s="40"/>
      <c r="I225" s="41"/>
      <c r="J225" s="41"/>
      <c r="K225" s="43"/>
      <c r="L225" s="43"/>
      <c r="M225" s="44"/>
      <c r="U225" s="3" t="str">
        <f t="shared" si="30"/>
        <v/>
      </c>
      <c r="V225" s="3" t="str">
        <f t="shared" si="31"/>
        <v/>
      </c>
      <c r="Z225" s="3">
        <v>46098</v>
      </c>
      <c r="AA225" s="4">
        <v>244.42140000000001</v>
      </c>
      <c r="AB225" s="6">
        <v>46098</v>
      </c>
      <c r="AC225" s="4">
        <v>294.67</v>
      </c>
      <c r="AD225" s="6">
        <f t="shared" si="32"/>
        <v>46098</v>
      </c>
    </row>
    <row r="226" spans="1:30" x14ac:dyDescent="0.25">
      <c r="A226" s="39"/>
      <c r="B226" s="40"/>
      <c r="C226" s="2"/>
      <c r="D226" s="43"/>
      <c r="E226" s="40"/>
      <c r="F226" s="2"/>
      <c r="G226" s="43"/>
      <c r="H226" s="40"/>
      <c r="I226" s="41"/>
      <c r="J226" s="41"/>
      <c r="K226" s="43"/>
      <c r="L226" s="43"/>
      <c r="M226" s="44"/>
      <c r="U226" s="3" t="str">
        <f t="shared" si="30"/>
        <v/>
      </c>
      <c r="V226" s="3" t="str">
        <f t="shared" si="31"/>
        <v/>
      </c>
      <c r="Z226" s="3">
        <v>46099</v>
      </c>
      <c r="AA226" s="4">
        <v>244.00810000000001</v>
      </c>
      <c r="AB226" s="6">
        <v>46099</v>
      </c>
      <c r="AC226" s="4">
        <v>298.87400000000002</v>
      </c>
      <c r="AD226" s="6">
        <f t="shared" si="32"/>
        <v>46099</v>
      </c>
    </row>
    <row r="227" spans="1:30" x14ac:dyDescent="0.25">
      <c r="A227" s="39"/>
      <c r="B227" s="40"/>
      <c r="C227" s="2"/>
      <c r="D227" s="43"/>
      <c r="E227" s="40"/>
      <c r="F227" s="2"/>
      <c r="G227" s="43"/>
      <c r="H227" s="40"/>
      <c r="I227" s="41"/>
      <c r="J227" s="41"/>
      <c r="K227" s="43"/>
      <c r="L227" s="43"/>
      <c r="M227" s="44"/>
      <c r="U227" s="3" t="str">
        <f t="shared" si="30"/>
        <v/>
      </c>
      <c r="V227" s="3" t="str">
        <f t="shared" si="31"/>
        <v/>
      </c>
      <c r="Z227" s="3">
        <v>46100</v>
      </c>
      <c r="AA227" s="4">
        <v>242.7533</v>
      </c>
      <c r="AB227" s="6">
        <v>46100</v>
      </c>
      <c r="AC227" s="4">
        <v>310.92399999999998</v>
      </c>
      <c r="AD227" s="6">
        <f t="shared" si="32"/>
        <v>46100</v>
      </c>
    </row>
    <row r="228" spans="1:30" x14ac:dyDescent="0.25">
      <c r="A228" s="39"/>
      <c r="B228" s="40"/>
      <c r="C228" s="2"/>
      <c r="D228" s="43"/>
      <c r="E228" s="40"/>
      <c r="F228" s="2"/>
      <c r="G228" s="43"/>
      <c r="H228" s="40"/>
      <c r="I228" s="41"/>
      <c r="J228" s="41"/>
      <c r="K228" s="43"/>
      <c r="L228" s="43"/>
      <c r="M228" s="44"/>
      <c r="U228" s="3" t="str">
        <f t="shared" si="30"/>
        <v/>
      </c>
      <c r="V228" s="3" t="str">
        <f t="shared" si="31"/>
        <v/>
      </c>
      <c r="Z228" s="3">
        <v>46101</v>
      </c>
      <c r="AA228" s="4">
        <v>241.26779999999999</v>
      </c>
      <c r="AB228" s="6">
        <v>46101</v>
      </c>
      <c r="AC228" s="4">
        <v>349.96800000000002</v>
      </c>
      <c r="AD228" s="6">
        <f t="shared" si="32"/>
        <v>46101</v>
      </c>
    </row>
    <row r="229" spans="1:30" x14ac:dyDescent="0.25">
      <c r="A229" s="39"/>
      <c r="B229" s="40"/>
      <c r="C229" s="2"/>
      <c r="D229" s="43"/>
      <c r="E229" s="40"/>
      <c r="F229" s="2"/>
      <c r="G229" s="43"/>
      <c r="H229" s="40"/>
      <c r="I229" s="41"/>
      <c r="J229" s="41"/>
      <c r="K229" s="43"/>
      <c r="L229" s="43"/>
      <c r="M229" s="44"/>
      <c r="U229" s="3" t="str">
        <f t="shared" si="30"/>
        <v/>
      </c>
      <c r="V229" s="3" t="str">
        <f t="shared" si="31"/>
        <v/>
      </c>
      <c r="Z229" s="3">
        <v>46104</v>
      </c>
      <c r="AA229" s="4">
        <v>242.08969999999999</v>
      </c>
      <c r="AB229" s="6">
        <v>46104</v>
      </c>
      <c r="AC229" s="4">
        <v>341.77300000000002</v>
      </c>
      <c r="AD229" s="6">
        <f t="shared" si="32"/>
        <v>46104</v>
      </c>
    </row>
    <row r="230" spans="1:30" x14ac:dyDescent="0.25">
      <c r="A230" s="39"/>
      <c r="B230" s="40"/>
      <c r="C230" s="2"/>
      <c r="D230" s="43"/>
      <c r="E230" s="40"/>
      <c r="F230" s="2"/>
      <c r="G230" s="43"/>
      <c r="H230" s="40"/>
      <c r="I230" s="41"/>
      <c r="J230" s="41"/>
      <c r="K230" s="43"/>
      <c r="L230" s="43"/>
      <c r="M230" s="44"/>
      <c r="U230" s="3" t="str">
        <f t="shared" si="30"/>
        <v/>
      </c>
      <c r="V230" s="3" t="str">
        <f t="shared" si="31"/>
        <v/>
      </c>
      <c r="Z230" s="3">
        <v>46105</v>
      </c>
      <c r="AA230" s="4">
        <v>242.32900000000001</v>
      </c>
      <c r="AB230" s="6">
        <v>46105</v>
      </c>
      <c r="AC230" s="4">
        <v>342.03300000000002</v>
      </c>
      <c r="AD230" s="6">
        <f t="shared" si="32"/>
        <v>46105</v>
      </c>
    </row>
    <row r="231" spans="1:30" x14ac:dyDescent="0.25">
      <c r="A231" s="39"/>
      <c r="B231" s="40"/>
      <c r="C231" s="2"/>
      <c r="D231" s="43"/>
      <c r="E231" s="40"/>
      <c r="F231" s="2"/>
      <c r="G231" s="43"/>
      <c r="H231" s="40"/>
      <c r="I231" s="41"/>
      <c r="J231" s="41"/>
      <c r="K231" s="43"/>
      <c r="L231" s="43"/>
      <c r="M231" s="44"/>
      <c r="U231" s="3" t="str">
        <f t="shared" si="30"/>
        <v/>
      </c>
      <c r="V231" s="3" t="str">
        <f t="shared" si="31"/>
        <v/>
      </c>
      <c r="Z231" s="3">
        <v>46106</v>
      </c>
      <c r="AA231" s="4">
        <v>243.4736</v>
      </c>
      <c r="AB231" s="6">
        <v>46106</v>
      </c>
      <c r="AC231" s="4">
        <v>330.851</v>
      </c>
      <c r="AD231" s="6">
        <f t="shared" si="32"/>
        <v>46106</v>
      </c>
    </row>
    <row r="232" spans="1:30" x14ac:dyDescent="0.25">
      <c r="A232" s="39"/>
      <c r="B232" s="40"/>
      <c r="C232" s="2"/>
      <c r="D232" s="43"/>
      <c r="E232" s="40"/>
      <c r="F232" s="2"/>
      <c r="G232" s="43"/>
      <c r="H232" s="40"/>
      <c r="I232" s="41"/>
      <c r="J232" s="41"/>
      <c r="K232" s="43"/>
      <c r="L232" s="43"/>
      <c r="M232" s="44"/>
      <c r="U232" s="3" t="str">
        <f t="shared" si="30"/>
        <v/>
      </c>
      <c r="V232" s="3" t="str">
        <f t="shared" si="31"/>
        <v/>
      </c>
      <c r="Z232" s="3">
        <v>46107</v>
      </c>
      <c r="AA232" s="4">
        <v>241.38650000000001</v>
      </c>
      <c r="AB232" s="6">
        <v>46107</v>
      </c>
      <c r="AC232" s="4">
        <v>351.12799999999999</v>
      </c>
      <c r="AD232" s="6">
        <f t="shared" si="32"/>
        <v>46107</v>
      </c>
    </row>
    <row r="233" spans="1:30" x14ac:dyDescent="0.25">
      <c r="A233" s="39"/>
      <c r="B233" s="40"/>
      <c r="C233" s="2"/>
      <c r="D233" s="43"/>
      <c r="E233" s="40"/>
      <c r="F233" s="2"/>
      <c r="G233" s="43"/>
      <c r="H233" s="40"/>
      <c r="I233" s="41"/>
      <c r="J233" s="41"/>
      <c r="K233" s="43"/>
      <c r="L233" s="43"/>
      <c r="M233" s="44"/>
      <c r="U233" s="3" t="str">
        <f t="shared" si="30"/>
        <v/>
      </c>
      <c r="V233" s="3" t="str">
        <f t="shared" si="31"/>
        <v/>
      </c>
      <c r="Z233" s="3">
        <v>46108</v>
      </c>
      <c r="AA233" s="4">
        <v>240.04679999999999</v>
      </c>
      <c r="AB233" s="6">
        <v>46108</v>
      </c>
      <c r="AC233" s="4">
        <v>361.84800000000001</v>
      </c>
      <c r="AD233" s="6">
        <f t="shared" si="32"/>
        <v>46108</v>
      </c>
    </row>
    <row r="234" spans="1:30" x14ac:dyDescent="0.25">
      <c r="A234" s="39"/>
      <c r="B234" s="40"/>
      <c r="C234" s="2"/>
      <c r="D234" s="43"/>
      <c r="E234" s="40"/>
      <c r="F234" s="2"/>
      <c r="G234" s="43"/>
      <c r="H234" s="40"/>
      <c r="I234" s="41"/>
      <c r="J234" s="41"/>
      <c r="K234" s="43"/>
      <c r="L234" s="43"/>
      <c r="M234" s="44"/>
      <c r="U234" s="3" t="str">
        <f t="shared" si="30"/>
        <v/>
      </c>
      <c r="V234" s="3" t="str">
        <f t="shared" si="31"/>
        <v/>
      </c>
      <c r="Z234" s="3">
        <v>46111</v>
      </c>
      <c r="AA234" s="4">
        <v>240.15790000000001</v>
      </c>
      <c r="AB234" s="6">
        <v>46111</v>
      </c>
      <c r="AC234" s="4">
        <v>361.5</v>
      </c>
      <c r="AD234" s="6">
        <f t="shared" si="32"/>
        <v>46111</v>
      </c>
    </row>
    <row r="235" spans="1:30" x14ac:dyDescent="0.25">
      <c r="A235" s="39"/>
      <c r="B235" s="40"/>
      <c r="C235" s="2"/>
      <c r="D235" s="43"/>
      <c r="E235" s="40"/>
      <c r="F235" s="2"/>
      <c r="G235" s="43"/>
      <c r="H235" s="40"/>
      <c r="I235" s="41"/>
      <c r="J235" s="41"/>
      <c r="K235" s="43"/>
      <c r="L235" s="43"/>
      <c r="M235" s="44"/>
      <c r="U235" s="3" t="str">
        <f t="shared" si="30"/>
        <v/>
      </c>
      <c r="V235" s="3" t="str">
        <f t="shared" si="31"/>
        <v/>
      </c>
      <c r="Z235" s="3">
        <v>46112</v>
      </c>
      <c r="AA235" s="4">
        <v>241.21780000000001</v>
      </c>
      <c r="AB235" s="6">
        <v>46112</v>
      </c>
      <c r="AC235" s="4">
        <v>353.01900000000001</v>
      </c>
      <c r="AD235" s="6">
        <f t="shared" si="32"/>
        <v>46112</v>
      </c>
    </row>
    <row r="236" spans="1:30" x14ac:dyDescent="0.25">
      <c r="A236" s="39"/>
      <c r="B236" s="40"/>
      <c r="C236" s="2"/>
      <c r="D236" s="43"/>
      <c r="E236" s="40"/>
      <c r="F236" s="2"/>
      <c r="G236" s="43"/>
      <c r="H236" s="40"/>
      <c r="I236" s="41"/>
      <c r="J236" s="41"/>
      <c r="K236" s="43"/>
      <c r="L236" s="43"/>
      <c r="M236" s="44"/>
      <c r="U236" s="3" t="str">
        <f t="shared" si="30"/>
        <v/>
      </c>
      <c r="V236" s="3" t="str">
        <f t="shared" si="31"/>
        <v/>
      </c>
      <c r="Z236" s="3">
        <v>46113</v>
      </c>
      <c r="AA236" s="4">
        <v>244.02869999999999</v>
      </c>
      <c r="AB236" s="6">
        <v>46113</v>
      </c>
      <c r="AC236" s="4">
        <v>327.18900000000002</v>
      </c>
      <c r="AD236" s="6">
        <f t="shared" si="32"/>
        <v>46113</v>
      </c>
    </row>
    <row r="237" spans="1:30" x14ac:dyDescent="0.25">
      <c r="A237" s="39"/>
      <c r="B237" s="40"/>
      <c r="C237" s="2"/>
      <c r="D237" s="43"/>
      <c r="E237" s="40"/>
      <c r="F237" s="2"/>
      <c r="G237" s="43"/>
      <c r="H237" s="40"/>
      <c r="I237" s="41"/>
      <c r="J237" s="41"/>
      <c r="K237" s="43"/>
      <c r="L237" s="43"/>
      <c r="M237" s="44"/>
      <c r="U237" s="3" t="str">
        <f t="shared" si="30"/>
        <v/>
      </c>
      <c r="V237" s="3" t="str">
        <f t="shared" si="31"/>
        <v/>
      </c>
      <c r="Z237" s="3">
        <v>46114</v>
      </c>
      <c r="AA237" s="4">
        <v>244.23920000000001</v>
      </c>
      <c r="AB237" s="6">
        <v>46114</v>
      </c>
      <c r="AC237" s="4">
        <v>325.447</v>
      </c>
      <c r="AD237" s="6">
        <f t="shared" si="32"/>
        <v>46114</v>
      </c>
    </row>
    <row r="238" spans="1:30" x14ac:dyDescent="0.25">
      <c r="A238" s="39"/>
      <c r="B238" s="40"/>
      <c r="C238" s="2"/>
      <c r="D238" s="43"/>
      <c r="E238" s="40"/>
      <c r="F238" s="2"/>
      <c r="G238" s="43"/>
      <c r="H238" s="40"/>
      <c r="I238" s="41"/>
      <c r="J238" s="41"/>
      <c r="K238" s="43"/>
      <c r="L238" s="43"/>
      <c r="M238" s="44"/>
      <c r="U238" s="3" t="str">
        <f t="shared" si="30"/>
        <v/>
      </c>
      <c r="V238" s="3" t="str">
        <f t="shared" si="31"/>
        <v/>
      </c>
      <c r="Z238" s="3">
        <v>46119</v>
      </c>
      <c r="AA238" s="4">
        <v>243.34200000000001</v>
      </c>
      <c r="AB238" s="6">
        <v>46119</v>
      </c>
      <c r="AC238" s="4">
        <v>335.255</v>
      </c>
      <c r="AD238" s="6">
        <f t="shared" si="32"/>
        <v>46119</v>
      </c>
    </row>
    <row r="239" spans="1:30" x14ac:dyDescent="0.25">
      <c r="A239" s="39"/>
      <c r="B239" s="40"/>
      <c r="C239" s="2"/>
      <c r="D239" s="43"/>
      <c r="E239" s="40"/>
      <c r="F239" s="2"/>
      <c r="G239" s="43"/>
      <c r="H239" s="40"/>
      <c r="I239" s="41"/>
      <c r="J239" s="41"/>
      <c r="K239" s="43"/>
      <c r="L239" s="43"/>
      <c r="M239" s="44"/>
      <c r="U239" s="3" t="str">
        <f t="shared" si="30"/>
        <v/>
      </c>
      <c r="V239" s="3" t="str">
        <f t="shared" si="31"/>
        <v/>
      </c>
      <c r="Z239" s="3">
        <v>46120</v>
      </c>
      <c r="AA239" s="4">
        <v>247.41990000000001</v>
      </c>
      <c r="AB239" s="6">
        <v>46120</v>
      </c>
      <c r="AC239" s="4">
        <v>297.39699999999999</v>
      </c>
      <c r="AD239" s="6">
        <f t="shared" si="32"/>
        <v>46120</v>
      </c>
    </row>
    <row r="240" spans="1:30" x14ac:dyDescent="0.25">
      <c r="A240" s="39"/>
      <c r="B240" s="40"/>
      <c r="C240" s="2"/>
      <c r="D240" s="43"/>
      <c r="E240" s="40"/>
      <c r="F240" s="2"/>
      <c r="G240" s="43"/>
      <c r="H240" s="40"/>
      <c r="I240" s="41"/>
      <c r="J240" s="41"/>
      <c r="K240" s="43"/>
      <c r="L240" s="43"/>
      <c r="M240" s="44"/>
      <c r="U240" s="3" t="str">
        <f t="shared" si="30"/>
        <v/>
      </c>
      <c r="V240" s="3" t="str">
        <f t="shared" si="31"/>
        <v/>
      </c>
      <c r="Z240" s="3">
        <v>46121</v>
      </c>
      <c r="AA240" s="4">
        <v>248.24930000000001</v>
      </c>
      <c r="AB240" s="6">
        <v>46121</v>
      </c>
      <c r="AC240" s="4">
        <v>290.79300000000001</v>
      </c>
      <c r="AD240" s="6">
        <f t="shared" si="32"/>
        <v>46121</v>
      </c>
    </row>
    <row r="241" spans="1:30" x14ac:dyDescent="0.25">
      <c r="A241" s="39"/>
      <c r="B241" s="40"/>
      <c r="C241" s="2"/>
      <c r="D241" s="43"/>
      <c r="E241" s="40"/>
      <c r="F241" s="2"/>
      <c r="G241" s="43"/>
      <c r="H241" s="40"/>
      <c r="I241" s="41"/>
      <c r="J241" s="41"/>
      <c r="K241" s="43"/>
      <c r="L241" s="43"/>
      <c r="M241" s="44"/>
      <c r="U241" s="3" t="str">
        <f t="shared" si="30"/>
        <v/>
      </c>
      <c r="V241" s="3" t="str">
        <f t="shared" si="31"/>
        <v/>
      </c>
      <c r="Z241" s="3">
        <v>46122</v>
      </c>
      <c r="AA241" s="4">
        <v>248.2782</v>
      </c>
      <c r="AB241" s="6">
        <v>46122</v>
      </c>
      <c r="AC241" s="4">
        <v>294.03300000000002</v>
      </c>
      <c r="AD241" s="6">
        <f t="shared" si="32"/>
        <v>46122</v>
      </c>
    </row>
    <row r="242" spans="1:30" x14ac:dyDescent="0.25">
      <c r="A242" s="39"/>
      <c r="B242" s="40"/>
      <c r="C242" s="2"/>
      <c r="D242" s="43"/>
      <c r="E242" s="40"/>
      <c r="F242" s="2"/>
      <c r="G242" s="43"/>
      <c r="H242" s="40"/>
      <c r="I242" s="41"/>
      <c r="J242" s="41"/>
      <c r="K242" s="43"/>
      <c r="L242" s="43"/>
      <c r="M242" s="44"/>
      <c r="U242" s="3" t="str">
        <f t="shared" si="30"/>
        <v/>
      </c>
      <c r="V242" s="3" t="str">
        <f t="shared" si="31"/>
        <v/>
      </c>
      <c r="Z242" s="3">
        <v>46125</v>
      </c>
      <c r="AA242" s="4">
        <v>248.03890000000001</v>
      </c>
      <c r="AB242" s="6">
        <v>46125</v>
      </c>
      <c r="AC242" s="4">
        <v>295.34500000000003</v>
      </c>
      <c r="AD242" s="6">
        <f t="shared" si="32"/>
        <v>46125</v>
      </c>
    </row>
    <row r="243" spans="1:30" x14ac:dyDescent="0.25">
      <c r="A243" s="39"/>
      <c r="B243" s="40"/>
      <c r="C243" s="2"/>
      <c r="D243" s="43"/>
      <c r="E243" s="40"/>
      <c r="F243" s="2"/>
      <c r="G243" s="43"/>
      <c r="H243" s="40"/>
      <c r="I243" s="41"/>
      <c r="J243" s="41"/>
      <c r="K243" s="43"/>
      <c r="L243" s="43"/>
      <c r="M243" s="44"/>
      <c r="U243" s="3" t="str">
        <f t="shared" si="30"/>
        <v/>
      </c>
      <c r="V243" s="3" t="str">
        <f t="shared" si="31"/>
        <v/>
      </c>
      <c r="Z243" s="3">
        <v>46126</v>
      </c>
      <c r="AA243" s="4">
        <v>249.5992</v>
      </c>
      <c r="AB243" s="6">
        <v>46126</v>
      </c>
      <c r="AC243" s="4">
        <v>281.303</v>
      </c>
      <c r="AD243" s="6">
        <f t="shared" si="32"/>
        <v>46126</v>
      </c>
    </row>
    <row r="244" spans="1:30" x14ac:dyDescent="0.25">
      <c r="A244" s="39"/>
      <c r="B244" s="40"/>
      <c r="C244" s="2"/>
      <c r="D244" s="43"/>
      <c r="E244" s="40"/>
      <c r="F244" s="2"/>
      <c r="G244" s="43"/>
      <c r="H244" s="40"/>
      <c r="I244" s="41"/>
      <c r="J244" s="41"/>
      <c r="K244" s="43"/>
      <c r="L244" s="43"/>
      <c r="M244" s="44"/>
      <c r="U244" s="3" t="str">
        <f t="shared" si="30"/>
        <v/>
      </c>
      <c r="V244" s="3" t="str">
        <f t="shared" si="31"/>
        <v/>
      </c>
      <c r="Z244" s="3">
        <v>46127</v>
      </c>
      <c r="AA244" s="4">
        <v>249.53909999999999</v>
      </c>
      <c r="AB244" s="6">
        <v>46127</v>
      </c>
      <c r="AC244" s="4">
        <v>283.45699999999999</v>
      </c>
      <c r="AD244" s="6">
        <f t="shared" si="32"/>
        <v>46127</v>
      </c>
    </row>
    <row r="245" spans="1:30" x14ac:dyDescent="0.25">
      <c r="A245" s="39"/>
      <c r="B245" s="40"/>
      <c r="C245" s="2"/>
      <c r="D245" s="43"/>
      <c r="E245" s="40"/>
      <c r="F245" s="2"/>
      <c r="G245" s="43"/>
      <c r="H245" s="40"/>
      <c r="I245" s="41"/>
      <c r="J245" s="41"/>
      <c r="K245" s="43"/>
      <c r="L245" s="43"/>
      <c r="M245" s="44"/>
      <c r="U245" s="3" t="str">
        <f t="shared" si="30"/>
        <v/>
      </c>
      <c r="V245" s="3" t="str">
        <f t="shared" si="31"/>
        <v/>
      </c>
      <c r="Z245" s="3">
        <v>46128</v>
      </c>
      <c r="AA245" s="4">
        <v>249.1765</v>
      </c>
      <c r="AB245" s="6">
        <v>46128</v>
      </c>
      <c r="AC245" s="4">
        <v>287.08800000000002</v>
      </c>
      <c r="AD245" s="6">
        <f t="shared" si="32"/>
        <v>46128</v>
      </c>
    </row>
    <row r="246" spans="1:30" x14ac:dyDescent="0.25">
      <c r="A246" s="39"/>
      <c r="B246" s="40"/>
      <c r="C246" s="2"/>
      <c r="D246" s="43"/>
      <c r="E246" s="40"/>
      <c r="F246" s="2"/>
      <c r="G246" s="43"/>
      <c r="H246" s="40"/>
      <c r="I246" s="41"/>
      <c r="J246" s="41"/>
      <c r="K246" s="43"/>
      <c r="L246" s="43"/>
      <c r="M246" s="44"/>
      <c r="U246" s="3" t="str">
        <f t="shared" si="30"/>
        <v/>
      </c>
      <c r="V246" s="3" t="str">
        <f t="shared" si="31"/>
        <v/>
      </c>
      <c r="Z246" s="3">
        <v>46129</v>
      </c>
      <c r="AA246" s="4">
        <v>250.45760000000001</v>
      </c>
      <c r="AB246" s="6">
        <v>46129</v>
      </c>
      <c r="AC246" s="4">
        <v>275.86700000000002</v>
      </c>
      <c r="AD246" s="6">
        <f t="shared" si="32"/>
        <v>46129</v>
      </c>
    </row>
    <row r="247" spans="1:30" x14ac:dyDescent="0.25">
      <c r="A247" s="39"/>
      <c r="B247" s="40"/>
      <c r="C247" s="2"/>
      <c r="D247" s="43"/>
      <c r="E247" s="40"/>
      <c r="F247" s="2"/>
      <c r="G247" s="43"/>
      <c r="H247" s="40"/>
      <c r="I247" s="41"/>
      <c r="J247" s="41"/>
      <c r="K247" s="43"/>
      <c r="L247" s="43"/>
      <c r="M247" s="44"/>
      <c r="U247" s="3" t="str">
        <f t="shared" si="30"/>
        <v/>
      </c>
      <c r="V247" s="3" t="str">
        <f t="shared" si="31"/>
        <v/>
      </c>
      <c r="Z247" s="3">
        <v>46132</v>
      </c>
      <c r="AA247" s="4">
        <v>250.11789999999999</v>
      </c>
      <c r="AB247" s="6">
        <v>46132</v>
      </c>
      <c r="AC247" s="4">
        <v>279.73</v>
      </c>
      <c r="AD247" s="6">
        <f t="shared" si="32"/>
        <v>46132</v>
      </c>
    </row>
    <row r="248" spans="1:30" x14ac:dyDescent="0.25">
      <c r="A248" s="39"/>
      <c r="B248" s="40"/>
      <c r="C248" s="2"/>
      <c r="D248" s="43"/>
      <c r="E248" s="40"/>
      <c r="F248" s="2"/>
      <c r="G248" s="43"/>
      <c r="H248" s="40"/>
      <c r="I248" s="41"/>
      <c r="J248" s="41"/>
      <c r="K248" s="43"/>
      <c r="L248" s="43"/>
      <c r="M248" s="44"/>
      <c r="U248" s="3" t="str">
        <f t="shared" si="30"/>
        <v/>
      </c>
      <c r="V248" s="3" t="str">
        <f t="shared" si="31"/>
        <v/>
      </c>
      <c r="Z248" s="3">
        <v>46133</v>
      </c>
      <c r="AA248" s="4">
        <v>249.51689999999999</v>
      </c>
      <c r="AB248" s="6">
        <v>46133</v>
      </c>
      <c r="AC248" s="4">
        <v>285.02300000000002</v>
      </c>
      <c r="AD248" s="6">
        <f t="shared" si="32"/>
        <v>46133</v>
      </c>
    </row>
    <row r="249" spans="1:30" x14ac:dyDescent="0.25">
      <c r="A249" s="39"/>
      <c r="B249" s="40"/>
      <c r="C249" s="2"/>
      <c r="D249" s="43"/>
      <c r="E249" s="40"/>
      <c r="F249" s="2"/>
      <c r="G249" s="43"/>
      <c r="H249" s="40"/>
      <c r="I249" s="41"/>
      <c r="J249" s="41"/>
      <c r="K249" s="43"/>
      <c r="L249" s="43"/>
      <c r="M249" s="44"/>
      <c r="U249" s="3" t="str">
        <f t="shared" si="30"/>
        <v/>
      </c>
      <c r="V249" s="3" t="str">
        <f t="shared" si="31"/>
        <v/>
      </c>
      <c r="Z249" s="3">
        <v>46134</v>
      </c>
      <c r="AA249" s="4">
        <v>249.46960000000001</v>
      </c>
      <c r="AB249" s="6">
        <v>46134</v>
      </c>
      <c r="AC249" s="4">
        <v>285.94499999999999</v>
      </c>
      <c r="AD249" s="6">
        <f t="shared" si="32"/>
        <v>46134</v>
      </c>
    </row>
    <row r="250" spans="1:30" x14ac:dyDescent="0.25">
      <c r="A250" s="39"/>
      <c r="B250" s="40"/>
      <c r="C250" s="2"/>
      <c r="D250" s="43"/>
      <c r="E250" s="40"/>
      <c r="F250" s="2"/>
      <c r="G250" s="43"/>
      <c r="H250" s="40"/>
      <c r="I250" s="41"/>
      <c r="J250" s="41"/>
      <c r="K250" s="43"/>
      <c r="L250" s="43"/>
      <c r="M250" s="44"/>
      <c r="U250" s="3" t="str">
        <f t="shared" si="30"/>
        <v/>
      </c>
      <c r="V250" s="3" t="str">
        <f t="shared" si="31"/>
        <v/>
      </c>
      <c r="Z250" s="3">
        <v>46135</v>
      </c>
      <c r="AA250" s="4">
        <v>249.30770000000001</v>
      </c>
      <c r="AB250" s="6">
        <v>46135</v>
      </c>
      <c r="AC250" s="4">
        <v>288.49599999999998</v>
      </c>
      <c r="AD250" s="6">
        <f t="shared" si="32"/>
        <v>46135</v>
      </c>
    </row>
    <row r="251" spans="1:30" x14ac:dyDescent="0.25">
      <c r="A251" s="39"/>
      <c r="B251" s="40"/>
      <c r="C251" s="2"/>
      <c r="D251" s="43"/>
      <c r="E251" s="40"/>
      <c r="F251" s="2"/>
      <c r="G251" s="43"/>
      <c r="H251" s="40"/>
      <c r="I251" s="41"/>
      <c r="J251" s="41"/>
      <c r="K251" s="43"/>
      <c r="L251" s="43"/>
      <c r="M251" s="44"/>
      <c r="U251" s="3" t="str">
        <f t="shared" si="30"/>
        <v/>
      </c>
      <c r="V251" s="3" t="str">
        <f t="shared" si="31"/>
        <v/>
      </c>
      <c r="Z251" s="3">
        <v>46136</v>
      </c>
      <c r="AA251" s="4">
        <v>249.20050000000001</v>
      </c>
      <c r="AB251" s="6">
        <v>46136</v>
      </c>
      <c r="AC251" s="4">
        <v>287.25799999999998</v>
      </c>
      <c r="AD251" s="6">
        <f t="shared" si="32"/>
        <v>46136</v>
      </c>
    </row>
    <row r="252" spans="1:30" x14ac:dyDescent="0.25">
      <c r="A252" s="39"/>
      <c r="B252" s="40"/>
      <c r="C252" s="2"/>
      <c r="D252" s="43"/>
      <c r="E252" s="40"/>
      <c r="F252" s="2"/>
      <c r="G252" s="43"/>
      <c r="H252" s="40"/>
      <c r="I252" s="41"/>
      <c r="J252" s="41"/>
      <c r="K252" s="43"/>
      <c r="L252" s="43"/>
      <c r="M252" s="44"/>
      <c r="U252" s="3" t="str">
        <f t="shared" si="30"/>
        <v/>
      </c>
      <c r="V252" s="3" t="str">
        <f t="shared" si="31"/>
        <v/>
      </c>
      <c r="Z252" s="3">
        <v>46139</v>
      </c>
      <c r="AA252" s="4">
        <v>249.10599999999999</v>
      </c>
      <c r="AB252" s="6">
        <v>46139</v>
      </c>
      <c r="AC252" s="4">
        <v>288.53300000000002</v>
      </c>
      <c r="AD252" s="6">
        <f t="shared" si="32"/>
        <v>46139</v>
      </c>
    </row>
    <row r="253" spans="1:30" x14ac:dyDescent="0.25">
      <c r="A253" s="39"/>
      <c r="B253" s="40"/>
      <c r="C253" s="2"/>
      <c r="D253" s="43"/>
      <c r="E253" s="40"/>
      <c r="F253" s="2"/>
      <c r="G253" s="43"/>
      <c r="H253" s="40"/>
      <c r="I253" s="41"/>
      <c r="J253" s="41"/>
      <c r="K253" s="43"/>
      <c r="L253" s="43"/>
      <c r="M253" s="44"/>
      <c r="U253" s="3" t="str">
        <f t="shared" si="30"/>
        <v/>
      </c>
      <c r="V253" s="3" t="str">
        <f t="shared" si="31"/>
        <v/>
      </c>
      <c r="Z253" s="3">
        <v>46140</v>
      </c>
      <c r="AA253" s="4">
        <v>248.827</v>
      </c>
      <c r="AB253" s="6">
        <v>46140</v>
      </c>
      <c r="AC253" s="4">
        <v>292.154</v>
      </c>
      <c r="AD253" s="6">
        <f t="shared" si="32"/>
        <v>46140</v>
      </c>
    </row>
    <row r="254" spans="1:30" x14ac:dyDescent="0.25">
      <c r="A254" s="39"/>
      <c r="B254" s="40"/>
      <c r="C254" s="2"/>
      <c r="D254" s="43"/>
      <c r="E254" s="40"/>
      <c r="F254" s="2"/>
      <c r="G254" s="43"/>
      <c r="H254" s="40"/>
      <c r="I254" s="41"/>
      <c r="J254" s="41"/>
      <c r="K254" s="43"/>
      <c r="L254" s="43"/>
      <c r="M254" s="44"/>
      <c r="U254" s="3" t="str">
        <f t="shared" si="30"/>
        <v/>
      </c>
      <c r="V254" s="3" t="str">
        <f t="shared" si="31"/>
        <v/>
      </c>
      <c r="Z254" s="3">
        <v>46141</v>
      </c>
      <c r="AA254" s="4">
        <v>248.28469999999999</v>
      </c>
      <c r="AB254" s="6">
        <v>46141</v>
      </c>
      <c r="AC254" s="4">
        <v>297.69</v>
      </c>
      <c r="AD254" s="6">
        <f t="shared" si="32"/>
        <v>46141</v>
      </c>
    </row>
    <row r="255" spans="1:30" x14ac:dyDescent="0.25">
      <c r="A255" s="39"/>
      <c r="B255" s="40"/>
      <c r="C255" s="2"/>
      <c r="D255" s="43"/>
      <c r="E255" s="40"/>
      <c r="F255" s="2"/>
      <c r="G255" s="43"/>
      <c r="H255" s="40"/>
      <c r="I255" s="41"/>
      <c r="J255" s="41"/>
      <c r="K255" s="43"/>
      <c r="L255" s="43"/>
      <c r="M255" s="44"/>
      <c r="U255" s="3" t="str">
        <f t="shared" si="30"/>
        <v/>
      </c>
      <c r="V255" s="3" t="str">
        <f t="shared" si="31"/>
        <v/>
      </c>
      <c r="Z255" s="3">
        <v>46142</v>
      </c>
      <c r="AA255" s="4">
        <v>248.685</v>
      </c>
      <c r="AB255" s="6">
        <v>46142</v>
      </c>
      <c r="AC255" s="4">
        <v>292.53100000000001</v>
      </c>
      <c r="AD255" s="6">
        <f t="shared" si="32"/>
        <v>46142</v>
      </c>
    </row>
    <row r="256" spans="1:30" x14ac:dyDescent="0.25">
      <c r="A256" s="39"/>
      <c r="B256" s="40"/>
      <c r="C256" s="2"/>
      <c r="D256" s="43"/>
      <c r="E256" s="40"/>
      <c r="F256" s="2"/>
      <c r="G256" s="43"/>
      <c r="H256" s="40"/>
      <c r="I256" s="41"/>
      <c r="J256" s="41"/>
      <c r="K256" s="43"/>
      <c r="L256" s="43"/>
      <c r="M256" s="44"/>
      <c r="U256" s="3" t="str">
        <f t="shared" si="30"/>
        <v/>
      </c>
      <c r="V256" s="3" t="str">
        <f t="shared" si="31"/>
        <v/>
      </c>
      <c r="Z256" s="3">
        <v>46143</v>
      </c>
      <c r="AA256" s="4">
        <v>249.75620000000001</v>
      </c>
      <c r="AB256" s="6">
        <v>46143</v>
      </c>
      <c r="AC256" s="4">
        <v>284.60300000000001</v>
      </c>
      <c r="AD256" s="6">
        <f t="shared" si="32"/>
        <v>46143</v>
      </c>
    </row>
    <row r="257" spans="1:30" x14ac:dyDescent="0.25">
      <c r="A257" s="39"/>
      <c r="B257" s="40"/>
      <c r="C257" s="2"/>
      <c r="D257" s="43"/>
      <c r="E257" s="40"/>
      <c r="F257" s="2"/>
      <c r="G257" s="43"/>
      <c r="H257" s="40"/>
      <c r="I257" s="41"/>
      <c r="J257" s="41"/>
      <c r="K257" s="43"/>
      <c r="L257" s="43"/>
      <c r="M257" s="44"/>
      <c r="U257" s="3" t="str">
        <f t="shared" si="30"/>
        <v/>
      </c>
      <c r="V257" s="3" t="str">
        <f t="shared" si="31"/>
        <v/>
      </c>
      <c r="Z257" s="3">
        <v>46147</v>
      </c>
      <c r="AA257" s="4">
        <v>249.4753</v>
      </c>
      <c r="AB257" s="6">
        <v>46147</v>
      </c>
      <c r="AC257" s="4">
        <v>287.411</v>
      </c>
      <c r="AD257" s="6">
        <f t="shared" si="32"/>
        <v>46147</v>
      </c>
    </row>
    <row r="258" spans="1:30" x14ac:dyDescent="0.25">
      <c r="A258" s="39"/>
      <c r="B258" s="40"/>
      <c r="C258" s="2"/>
      <c r="D258" s="43"/>
      <c r="E258" s="40"/>
      <c r="F258" s="2"/>
      <c r="G258" s="43"/>
      <c r="H258" s="40"/>
      <c r="I258" s="41"/>
      <c r="J258" s="41"/>
      <c r="K258" s="43"/>
      <c r="L258" s="43"/>
      <c r="M258" s="44"/>
      <c r="U258" s="3" t="str">
        <f t="shared" si="30"/>
        <v/>
      </c>
      <c r="V258" s="3" t="str">
        <f t="shared" si="31"/>
        <v/>
      </c>
      <c r="Z258" s="3">
        <v>46148</v>
      </c>
      <c r="AA258" s="4">
        <v>250.94749999999999</v>
      </c>
      <c r="AB258" s="6">
        <v>46148</v>
      </c>
      <c r="AC258" s="4">
        <v>275.23200000000003</v>
      </c>
      <c r="AD258" s="6">
        <f t="shared" si="32"/>
        <v>46148</v>
      </c>
    </row>
    <row r="259" spans="1:30" x14ac:dyDescent="0.25">
      <c r="A259" s="39"/>
      <c r="B259" s="40"/>
      <c r="C259" s="2"/>
      <c r="D259" s="43"/>
      <c r="E259" s="40"/>
      <c r="F259" s="2"/>
      <c r="G259" s="43"/>
      <c r="H259" s="40"/>
      <c r="I259" s="41"/>
      <c r="J259" s="41"/>
      <c r="K259" s="43"/>
      <c r="L259" s="43"/>
      <c r="M259" s="44"/>
      <c r="U259" s="3" t="str">
        <f t="shared" si="30"/>
        <v/>
      </c>
      <c r="V259" s="3" t="str">
        <f t="shared" si="31"/>
        <v/>
      </c>
      <c r="Z259" s="3">
        <v>46149</v>
      </c>
      <c r="AA259" s="4">
        <v>250.63929999999999</v>
      </c>
      <c r="AB259" s="6">
        <v>46149</v>
      </c>
      <c r="AC259" s="4">
        <v>278.976</v>
      </c>
      <c r="AD259" s="6">
        <f t="shared" si="32"/>
        <v>46149</v>
      </c>
    </row>
    <row r="260" spans="1:30" x14ac:dyDescent="0.25">
      <c r="A260" s="39"/>
      <c r="B260" s="40"/>
      <c r="C260" s="2"/>
      <c r="D260" s="43"/>
      <c r="E260" s="40"/>
      <c r="F260" s="2"/>
      <c r="G260" s="43"/>
      <c r="H260" s="40"/>
      <c r="I260" s="41"/>
      <c r="J260" s="41"/>
      <c r="K260" s="43"/>
      <c r="L260" s="43"/>
      <c r="M260" s="44"/>
      <c r="U260" s="3" t="str">
        <f t="shared" ref="U260:U323" si="33">IF(COUNTIF(Q:Q,O260)*COUNTIF(S:S,O260),O260,"")</f>
        <v/>
      </c>
      <c r="V260" s="3" t="str">
        <f t="shared" ref="V260:V323" si="34">IF(U260&gt;$A$14,U260,"")</f>
        <v/>
      </c>
      <c r="Z260" s="3">
        <v>46150</v>
      </c>
      <c r="AA260" s="4">
        <v>250.6848</v>
      </c>
      <c r="AB260" s="6">
        <v>46150</v>
      </c>
      <c r="AC260" s="4">
        <v>277.91800000000001</v>
      </c>
      <c r="AD260" s="6">
        <f t="shared" ref="AD260:AD323" si="35">IF(COUNTIF(AB:AB,Z260),Z260,"")</f>
        <v>46150</v>
      </c>
    </row>
    <row r="261" spans="1:30" x14ac:dyDescent="0.25">
      <c r="A261" s="39"/>
      <c r="B261" s="40"/>
      <c r="C261" s="2"/>
      <c r="D261" s="43"/>
      <c r="E261" s="40"/>
      <c r="F261" s="2"/>
      <c r="G261" s="43"/>
      <c r="H261" s="40"/>
      <c r="I261" s="41"/>
      <c r="J261" s="41"/>
      <c r="K261" s="43"/>
      <c r="L261" s="43"/>
      <c r="M261" s="44"/>
      <c r="U261" s="3" t="str">
        <f t="shared" si="33"/>
        <v/>
      </c>
      <c r="V261" s="3" t="str">
        <f t="shared" si="34"/>
        <v/>
      </c>
      <c r="Z261" s="3">
        <v>46153</v>
      </c>
      <c r="AA261" s="4">
        <v>250.97389999999999</v>
      </c>
      <c r="AB261" s="6">
        <v>46153</v>
      </c>
      <c r="AC261" s="4">
        <v>276.47399999999999</v>
      </c>
      <c r="AD261" s="6">
        <f t="shared" si="35"/>
        <v>46153</v>
      </c>
    </row>
    <row r="262" spans="1:30" x14ac:dyDescent="0.25">
      <c r="A262" s="39"/>
      <c r="B262" s="40"/>
      <c r="C262" s="2"/>
      <c r="D262" s="43"/>
      <c r="E262" s="40"/>
      <c r="F262" s="2"/>
      <c r="G262" s="43"/>
      <c r="H262" s="40"/>
      <c r="I262" s="41"/>
      <c r="J262" s="41"/>
      <c r="K262" s="43"/>
      <c r="L262" s="43"/>
      <c r="M262" s="44"/>
      <c r="U262" s="3" t="str">
        <f t="shared" si="33"/>
        <v/>
      </c>
      <c r="V262" s="3" t="str">
        <f t="shared" si="34"/>
        <v/>
      </c>
      <c r="Z262" s="3">
        <v>46154</v>
      </c>
      <c r="AA262" s="4">
        <v>250.0761</v>
      </c>
      <c r="AB262" s="6">
        <v>46154</v>
      </c>
      <c r="AC262" s="4">
        <v>284.12599999999998</v>
      </c>
      <c r="AD262" s="6">
        <f t="shared" si="35"/>
        <v>46154</v>
      </c>
    </row>
    <row r="263" spans="1:30" x14ac:dyDescent="0.25">
      <c r="A263" s="39"/>
      <c r="B263" s="40"/>
      <c r="C263" s="2"/>
      <c r="D263" s="43"/>
      <c r="E263" s="40"/>
      <c r="F263" s="2"/>
      <c r="G263" s="43"/>
      <c r="H263" s="40"/>
      <c r="I263" s="41"/>
      <c r="J263" s="41"/>
      <c r="K263" s="43"/>
      <c r="L263" s="43"/>
      <c r="M263" s="44"/>
      <c r="U263" s="3" t="str">
        <f t="shared" si="33"/>
        <v/>
      </c>
      <c r="V263" s="3" t="str">
        <f t="shared" si="34"/>
        <v/>
      </c>
      <c r="Z263" s="3">
        <v>46155</v>
      </c>
      <c r="AA263" s="4">
        <v>250.61799999999999</v>
      </c>
      <c r="AB263" s="6">
        <v>46155</v>
      </c>
      <c r="AC263" s="4">
        <v>278.68400000000003</v>
      </c>
      <c r="AD263" s="6">
        <f t="shared" si="35"/>
        <v>46155</v>
      </c>
    </row>
    <row r="264" spans="1:30" x14ac:dyDescent="0.25">
      <c r="A264" s="39"/>
      <c r="B264" s="40"/>
      <c r="C264" s="2"/>
      <c r="D264" s="43"/>
      <c r="E264" s="40"/>
      <c r="F264" s="2"/>
      <c r="G264" s="43"/>
      <c r="H264" s="40"/>
      <c r="I264" s="41"/>
      <c r="J264" s="41"/>
      <c r="K264" s="43"/>
      <c r="L264" s="43"/>
      <c r="M264" s="44"/>
      <c r="U264" s="3" t="str">
        <f t="shared" si="33"/>
        <v/>
      </c>
      <c r="V264" s="3" t="str">
        <f t="shared" si="34"/>
        <v/>
      </c>
      <c r="Z264" s="3">
        <v>46156</v>
      </c>
      <c r="AA264" s="4">
        <v>251.22890000000001</v>
      </c>
      <c r="AB264" s="6">
        <v>46156</v>
      </c>
      <c r="AC264" s="4">
        <v>273.61</v>
      </c>
      <c r="AD264" s="6">
        <f t="shared" si="35"/>
        <v>46156</v>
      </c>
    </row>
    <row r="265" spans="1:30" x14ac:dyDescent="0.25">
      <c r="A265" s="39"/>
      <c r="B265" s="40"/>
      <c r="C265" s="2"/>
      <c r="D265" s="43"/>
      <c r="E265" s="40"/>
      <c r="F265" s="2"/>
      <c r="G265" s="43"/>
      <c r="H265" s="40"/>
      <c r="I265" s="41"/>
      <c r="J265" s="41"/>
      <c r="K265" s="43"/>
      <c r="L265" s="43"/>
      <c r="M265" s="44"/>
      <c r="U265" s="3" t="str">
        <f t="shared" si="33"/>
        <v/>
      </c>
      <c r="V265" s="3" t="str">
        <f t="shared" si="34"/>
        <v/>
      </c>
      <c r="Z265" s="3">
        <v>46157</v>
      </c>
      <c r="AA265" s="4">
        <v>250.38300000000001</v>
      </c>
      <c r="AB265" s="6">
        <v>46157</v>
      </c>
      <c r="AC265" s="4">
        <v>282.07</v>
      </c>
      <c r="AD265" s="6">
        <f t="shared" si="35"/>
        <v>46157</v>
      </c>
    </row>
    <row r="266" spans="1:30" x14ac:dyDescent="0.25">
      <c r="A266" s="39"/>
      <c r="B266" s="40"/>
      <c r="C266" s="2"/>
      <c r="D266" s="43"/>
      <c r="E266" s="40"/>
      <c r="F266" s="2"/>
      <c r="G266" s="43"/>
      <c r="H266" s="40"/>
      <c r="I266" s="41"/>
      <c r="J266" s="41"/>
      <c r="K266" s="43"/>
      <c r="L266" s="43"/>
      <c r="M266" s="44"/>
      <c r="U266" s="3" t="str">
        <f t="shared" si="33"/>
        <v/>
      </c>
      <c r="V266" s="3" t="str">
        <f t="shared" si="34"/>
        <v/>
      </c>
      <c r="Z266" s="3">
        <v>46160</v>
      </c>
      <c r="AA266" s="4">
        <v>250.5284</v>
      </c>
      <c r="AB266" s="6">
        <v>46160</v>
      </c>
      <c r="AC266" s="4">
        <v>280.35000000000002</v>
      </c>
      <c r="AD266" s="6">
        <f t="shared" si="35"/>
        <v>46160</v>
      </c>
    </row>
    <row r="267" spans="1:30" x14ac:dyDescent="0.25">
      <c r="A267" s="39"/>
      <c r="B267" s="40"/>
      <c r="C267" s="2"/>
      <c r="D267" s="43"/>
      <c r="E267" s="40"/>
      <c r="F267" s="2"/>
      <c r="G267" s="43"/>
      <c r="H267" s="40"/>
      <c r="I267" s="41"/>
      <c r="J267" s="41"/>
      <c r="K267" s="43"/>
      <c r="L267" s="43"/>
      <c r="M267" s="44"/>
      <c r="U267" s="3" t="str">
        <f t="shared" si="33"/>
        <v/>
      </c>
      <c r="V267" s="3" t="str">
        <f t="shared" si="34"/>
        <v/>
      </c>
      <c r="Z267" s="3">
        <v>46161</v>
      </c>
      <c r="AA267" s="4">
        <v>249.98050000000001</v>
      </c>
      <c r="AB267" s="6">
        <v>46161</v>
      </c>
      <c r="AC267" s="4">
        <v>285.892</v>
      </c>
      <c r="AD267" s="6">
        <f t="shared" si="35"/>
        <v>46161</v>
      </c>
    </row>
    <row r="268" spans="1:30" x14ac:dyDescent="0.25">
      <c r="A268" s="39"/>
      <c r="B268" s="40"/>
      <c r="C268" s="2"/>
      <c r="D268" s="43"/>
      <c r="E268" s="40"/>
      <c r="F268" s="2"/>
      <c r="G268" s="43"/>
      <c r="H268" s="40"/>
      <c r="I268" s="41"/>
      <c r="J268" s="41"/>
      <c r="K268" s="43"/>
      <c r="L268" s="43"/>
      <c r="M268" s="44"/>
      <c r="U268" s="3" t="str">
        <f t="shared" si="33"/>
        <v/>
      </c>
      <c r="V268" s="3" t="str">
        <f t="shared" si="34"/>
        <v/>
      </c>
      <c r="Z268" s="3">
        <v>46162</v>
      </c>
      <c r="AA268" s="4">
        <v>251.0129</v>
      </c>
      <c r="AB268" s="6">
        <v>46162</v>
      </c>
      <c r="AC268" s="4">
        <v>276.52</v>
      </c>
      <c r="AD268" s="6">
        <f t="shared" si="35"/>
        <v>46162</v>
      </c>
    </row>
    <row r="269" spans="1:30" x14ac:dyDescent="0.25">
      <c r="A269" s="39"/>
      <c r="B269" s="40"/>
      <c r="C269" s="2"/>
      <c r="D269" s="43"/>
      <c r="E269" s="40"/>
      <c r="F269" s="2"/>
      <c r="G269" s="43"/>
      <c r="H269" s="40"/>
      <c r="I269" s="41"/>
      <c r="J269" s="41"/>
      <c r="K269" s="43"/>
      <c r="L269" s="43"/>
      <c r="M269" s="44"/>
      <c r="U269" s="3" t="str">
        <f t="shared" si="33"/>
        <v/>
      </c>
      <c r="V269" s="3" t="str">
        <f t="shared" si="34"/>
        <v/>
      </c>
      <c r="Z269" s="3">
        <v>46163</v>
      </c>
      <c r="AA269" s="4">
        <v>250.6669</v>
      </c>
      <c r="AB269" s="6">
        <v>46163</v>
      </c>
      <c r="AC269" s="4">
        <v>279.66300000000001</v>
      </c>
      <c r="AD269" s="6">
        <f t="shared" si="35"/>
        <v>46163</v>
      </c>
    </row>
    <row r="270" spans="1:30" x14ac:dyDescent="0.25">
      <c r="A270" s="39"/>
      <c r="B270" s="40"/>
      <c r="C270" s="2"/>
      <c r="D270" s="43"/>
      <c r="E270" s="40"/>
      <c r="F270" s="2"/>
      <c r="G270" s="43"/>
      <c r="H270" s="40"/>
      <c r="I270" s="41"/>
      <c r="J270" s="41"/>
      <c r="K270" s="43"/>
      <c r="L270" s="43"/>
      <c r="M270" s="44"/>
      <c r="U270" s="3" t="str">
        <f t="shared" si="33"/>
        <v/>
      </c>
      <c r="V270" s="3" t="str">
        <f t="shared" si="34"/>
        <v/>
      </c>
      <c r="Z270" s="3">
        <v>46164</v>
      </c>
      <c r="AA270" s="4">
        <v>251.4649</v>
      </c>
      <c r="AB270" s="6">
        <v>46164</v>
      </c>
      <c r="AC270" s="4">
        <v>273.38799999999998</v>
      </c>
      <c r="AD270" s="6">
        <f t="shared" si="35"/>
        <v>46164</v>
      </c>
    </row>
    <row r="271" spans="1:30" x14ac:dyDescent="0.25">
      <c r="A271" s="39"/>
      <c r="B271" s="40"/>
      <c r="C271" s="2"/>
      <c r="D271" s="43"/>
      <c r="E271" s="40"/>
      <c r="F271" s="2"/>
      <c r="G271" s="43"/>
      <c r="H271" s="40"/>
      <c r="I271" s="41"/>
      <c r="J271" s="41"/>
      <c r="K271" s="43"/>
      <c r="L271" s="43"/>
      <c r="M271" s="44"/>
      <c r="U271" s="3" t="str">
        <f t="shared" si="33"/>
        <v/>
      </c>
      <c r="V271" s="3" t="str">
        <f t="shared" si="34"/>
        <v/>
      </c>
      <c r="Z271" s="3">
        <v>46168</v>
      </c>
      <c r="AA271" s="4">
        <v>252.1686</v>
      </c>
      <c r="AB271" s="6">
        <v>46168</v>
      </c>
      <c r="AC271" s="4">
        <v>269.02600000000001</v>
      </c>
      <c r="AD271" s="6">
        <f t="shared" si="35"/>
        <v>46168</v>
      </c>
    </row>
    <row r="272" spans="1:30" x14ac:dyDescent="0.25">
      <c r="A272" s="39"/>
      <c r="B272" s="40"/>
      <c r="C272" s="2"/>
      <c r="D272" s="43"/>
      <c r="E272" s="40"/>
      <c r="F272" s="2"/>
      <c r="G272" s="43"/>
      <c r="H272" s="40"/>
      <c r="I272" s="41"/>
      <c r="J272" s="41"/>
      <c r="K272" s="43"/>
      <c r="L272" s="43"/>
      <c r="M272" s="44"/>
      <c r="U272" s="3" t="str">
        <f t="shared" si="33"/>
        <v/>
      </c>
      <c r="V272" s="3" t="str">
        <f t="shared" si="34"/>
        <v/>
      </c>
      <c r="Z272" s="3">
        <v>46169</v>
      </c>
      <c r="AA272" s="4">
        <v>252.41059999999999</v>
      </c>
      <c r="AB272" s="6">
        <v>46169</v>
      </c>
      <c r="AC272" s="4">
        <v>267.50200000000001</v>
      </c>
      <c r="AD272" s="6">
        <f t="shared" si="35"/>
        <v>46169</v>
      </c>
    </row>
    <row r="273" spans="1:30" x14ac:dyDescent="0.25">
      <c r="A273" s="39"/>
      <c r="B273" s="40"/>
      <c r="C273" s="2"/>
      <c r="D273" s="43"/>
      <c r="E273" s="40"/>
      <c r="F273" s="2"/>
      <c r="G273" s="43"/>
      <c r="H273" s="40"/>
      <c r="I273" s="41"/>
      <c r="J273" s="41"/>
      <c r="K273" s="43"/>
      <c r="L273" s="43"/>
      <c r="M273" s="44"/>
      <c r="U273" s="3" t="str">
        <f t="shared" si="33"/>
        <v/>
      </c>
      <c r="V273" s="3" t="str">
        <f t="shared" si="34"/>
        <v/>
      </c>
      <c r="Z273" s="3">
        <v>46170</v>
      </c>
      <c r="AA273" s="4">
        <v>252.9316</v>
      </c>
      <c r="AB273" s="6">
        <v>46170</v>
      </c>
      <c r="AC273" s="4">
        <v>263.03699999999998</v>
      </c>
      <c r="AD273" s="6">
        <f t="shared" si="35"/>
        <v>46170</v>
      </c>
    </row>
    <row r="274" spans="1:30" x14ac:dyDescent="0.25">
      <c r="A274" s="39"/>
      <c r="B274" s="40"/>
      <c r="C274" s="2"/>
      <c r="D274" s="43"/>
      <c r="E274" s="40"/>
      <c r="F274" s="2"/>
      <c r="G274" s="43"/>
      <c r="H274" s="40"/>
      <c r="I274" s="41"/>
      <c r="J274" s="41"/>
      <c r="K274" s="43"/>
      <c r="L274" s="43"/>
      <c r="M274" s="44"/>
      <c r="U274" s="3" t="str">
        <f t="shared" si="33"/>
        <v/>
      </c>
      <c r="V274" s="3" t="str">
        <f t="shared" si="34"/>
        <v/>
      </c>
      <c r="Z274" s="3">
        <v>46171</v>
      </c>
      <c r="AA274" s="4">
        <v>253.4469</v>
      </c>
      <c r="AB274" s="6">
        <v>46171</v>
      </c>
      <c r="AC274" s="4">
        <v>258.964</v>
      </c>
      <c r="AD274" s="6">
        <f t="shared" si="35"/>
        <v>46171</v>
      </c>
    </row>
    <row r="275" spans="1:30" x14ac:dyDescent="0.25">
      <c r="A275" s="39"/>
      <c r="B275" s="40"/>
      <c r="C275" s="2"/>
      <c r="D275" s="43"/>
      <c r="E275" s="40"/>
      <c r="F275" s="2"/>
      <c r="G275" s="43"/>
      <c r="H275" s="40"/>
      <c r="I275" s="41"/>
      <c r="J275" s="41"/>
      <c r="K275" s="43"/>
      <c r="L275" s="43"/>
      <c r="M275" s="44"/>
      <c r="U275" s="3" t="str">
        <f t="shared" si="33"/>
        <v/>
      </c>
      <c r="V275" s="3" t="str">
        <f t="shared" si="34"/>
        <v/>
      </c>
      <c r="Z275" s="3">
        <v>46174</v>
      </c>
      <c r="AA275" s="4">
        <v>253.10400000000001</v>
      </c>
      <c r="AB275" s="6">
        <v>46174</v>
      </c>
      <c r="AC275" s="4">
        <v>262.60300000000001</v>
      </c>
      <c r="AD275" s="6">
        <f t="shared" si="35"/>
        <v>46174</v>
      </c>
    </row>
    <row r="276" spans="1:30" x14ac:dyDescent="0.25">
      <c r="A276" s="39"/>
      <c r="B276" s="40"/>
      <c r="C276" s="2"/>
      <c r="D276" s="43"/>
      <c r="E276" s="40"/>
      <c r="F276" s="2"/>
      <c r="G276" s="43"/>
      <c r="H276" s="40"/>
      <c r="I276" s="41"/>
      <c r="J276" s="41"/>
      <c r="K276" s="43"/>
      <c r="L276" s="43"/>
      <c r="M276" s="44"/>
      <c r="U276" s="3" t="str">
        <f t="shared" si="33"/>
        <v/>
      </c>
      <c r="V276" s="3" t="str">
        <f t="shared" si="34"/>
        <v/>
      </c>
      <c r="Z276" s="3">
        <v>46175</v>
      </c>
      <c r="AA276" s="4">
        <v>253.5762</v>
      </c>
      <c r="AB276" s="6">
        <v>46175</v>
      </c>
      <c r="AC276" s="4">
        <v>258.23399999999998</v>
      </c>
      <c r="AD276" s="6">
        <f t="shared" si="35"/>
        <v>46175</v>
      </c>
    </row>
    <row r="277" spans="1:30" x14ac:dyDescent="0.25">
      <c r="A277" s="39"/>
      <c r="B277" s="40"/>
      <c r="C277" s="2"/>
      <c r="D277" s="43"/>
      <c r="E277" s="40"/>
      <c r="F277" s="2"/>
      <c r="G277" s="43"/>
      <c r="H277" s="40"/>
      <c r="I277" s="41"/>
      <c r="J277" s="41"/>
      <c r="K277" s="43"/>
      <c r="L277" s="43"/>
      <c r="M277" s="44"/>
      <c r="U277" s="3" t="str">
        <f t="shared" si="33"/>
        <v/>
      </c>
      <c r="V277" s="3" t="str">
        <f t="shared" si="34"/>
        <v/>
      </c>
      <c r="Z277" s="3">
        <v>46176</v>
      </c>
      <c r="AA277" s="4">
        <v>253.11359999999999</v>
      </c>
      <c r="AB277" s="6">
        <v>46176</v>
      </c>
      <c r="AC277" s="4">
        <v>263.00799999999998</v>
      </c>
      <c r="AD277" s="6">
        <f t="shared" si="35"/>
        <v>46176</v>
      </c>
    </row>
    <row r="278" spans="1:30" x14ac:dyDescent="0.25">
      <c r="A278" s="39"/>
      <c r="B278" s="40"/>
      <c r="C278" s="2"/>
      <c r="D278" s="43"/>
      <c r="E278" s="40"/>
      <c r="F278" s="2"/>
      <c r="G278" s="43"/>
      <c r="H278" s="40"/>
      <c r="I278" s="41"/>
      <c r="J278" s="41"/>
      <c r="K278" s="43"/>
      <c r="L278" s="43"/>
      <c r="M278" s="44"/>
      <c r="U278" s="3" t="str">
        <f t="shared" si="33"/>
        <v/>
      </c>
      <c r="V278" s="3" t="str">
        <f t="shared" si="34"/>
        <v/>
      </c>
      <c r="Z278" s="3">
        <v>46177</v>
      </c>
      <c r="AA278" s="4">
        <v>253.3374</v>
      </c>
      <c r="AB278" s="6">
        <v>46177</v>
      </c>
      <c r="AC278" s="4">
        <v>260.78100000000001</v>
      </c>
      <c r="AD278" s="6">
        <f t="shared" si="35"/>
        <v>46177</v>
      </c>
    </row>
    <row r="279" spans="1:30" x14ac:dyDescent="0.25">
      <c r="A279" s="39"/>
      <c r="B279" s="40"/>
      <c r="C279" s="2"/>
      <c r="D279" s="43"/>
      <c r="E279" s="40"/>
      <c r="F279" s="2"/>
      <c r="G279" s="43"/>
      <c r="H279" s="40"/>
      <c r="I279" s="41"/>
      <c r="J279" s="41"/>
      <c r="K279" s="43"/>
      <c r="L279" s="43"/>
      <c r="M279" s="44"/>
      <c r="U279" s="3" t="str">
        <f t="shared" si="33"/>
        <v/>
      </c>
      <c r="V279" s="3" t="str">
        <f t="shared" si="34"/>
        <v/>
      </c>
      <c r="Z279" s="3">
        <v>46178</v>
      </c>
      <c r="AA279" s="4">
        <v>253.05930000000001</v>
      </c>
      <c r="AB279" s="6">
        <v>46178</v>
      </c>
      <c r="AC279" s="4">
        <v>263.12099999999998</v>
      </c>
      <c r="AD279" s="6">
        <f t="shared" si="35"/>
        <v>46178</v>
      </c>
    </row>
    <row r="280" spans="1:30" x14ac:dyDescent="0.25">
      <c r="A280" s="39"/>
      <c r="B280" s="40"/>
      <c r="C280" s="2"/>
      <c r="D280" s="43"/>
      <c r="E280" s="40"/>
      <c r="F280" s="2"/>
      <c r="G280" s="43"/>
      <c r="H280" s="40"/>
      <c r="I280" s="41"/>
      <c r="J280" s="41"/>
      <c r="K280" s="43"/>
      <c r="L280" s="43"/>
      <c r="M280" s="44"/>
      <c r="U280" s="3" t="str">
        <f t="shared" si="33"/>
        <v/>
      </c>
      <c r="V280" s="3" t="str">
        <f t="shared" si="34"/>
        <v/>
      </c>
      <c r="Z280" s="3">
        <v>46181</v>
      </c>
      <c r="AA280" s="4">
        <v>253.00890000000001</v>
      </c>
      <c r="AB280" s="6">
        <v>46181</v>
      </c>
      <c r="AC280" s="4">
        <v>264.17899999999997</v>
      </c>
      <c r="AD280" s="6">
        <f t="shared" si="35"/>
        <v>46181</v>
      </c>
    </row>
    <row r="281" spans="1:30" x14ac:dyDescent="0.25">
      <c r="A281" s="39"/>
      <c r="B281" s="40"/>
      <c r="C281" s="2"/>
      <c r="D281" s="43"/>
      <c r="E281" s="40"/>
      <c r="F281" s="2"/>
      <c r="G281" s="43"/>
      <c r="H281" s="40"/>
      <c r="I281" s="41"/>
      <c r="J281" s="41"/>
      <c r="K281" s="43"/>
      <c r="L281" s="43"/>
      <c r="M281" s="44"/>
      <c r="U281" s="3" t="str">
        <f t="shared" si="33"/>
        <v/>
      </c>
      <c r="V281" s="3" t="str">
        <f t="shared" si="34"/>
        <v/>
      </c>
      <c r="Z281" s="3">
        <v>46182</v>
      </c>
      <c r="AA281" s="4">
        <v>253.04320000000001</v>
      </c>
      <c r="AB281" s="6">
        <v>46182</v>
      </c>
      <c r="AC281" s="4">
        <v>264.78399999999999</v>
      </c>
      <c r="AD281" s="6">
        <f t="shared" si="35"/>
        <v>46182</v>
      </c>
    </row>
    <row r="282" spans="1:30" x14ac:dyDescent="0.25">
      <c r="A282" s="39"/>
      <c r="B282" s="40"/>
      <c r="C282" s="2"/>
      <c r="D282" s="43"/>
      <c r="E282" s="40"/>
      <c r="F282" s="2"/>
      <c r="G282" s="43"/>
      <c r="H282" s="40"/>
      <c r="I282" s="41"/>
      <c r="J282" s="41"/>
      <c r="K282" s="43"/>
      <c r="L282" s="43"/>
      <c r="M282" s="44"/>
      <c r="U282" s="3" t="str">
        <f t="shared" si="33"/>
        <v/>
      </c>
      <c r="V282" s="3" t="str">
        <f t="shared" si="34"/>
        <v/>
      </c>
      <c r="Z282" s="3">
        <v>46183</v>
      </c>
      <c r="AA282" s="4">
        <v>252.767</v>
      </c>
      <c r="AB282" s="6">
        <v>46183</v>
      </c>
      <c r="AC282" s="4">
        <v>266.137</v>
      </c>
      <c r="AD282" s="6">
        <f t="shared" si="35"/>
        <v>46183</v>
      </c>
    </row>
    <row r="283" spans="1:30" x14ac:dyDescent="0.25">
      <c r="A283" s="39"/>
      <c r="B283" s="40"/>
      <c r="C283" s="2"/>
      <c r="D283" s="43"/>
      <c r="E283" s="40"/>
      <c r="F283" s="2"/>
      <c r="G283" s="43"/>
      <c r="H283" s="40"/>
      <c r="I283" s="41"/>
      <c r="J283" s="41"/>
      <c r="K283" s="43"/>
      <c r="L283" s="43"/>
      <c r="M283" s="44"/>
      <c r="U283" s="3" t="str">
        <f t="shared" si="33"/>
        <v/>
      </c>
      <c r="V283" s="3" t="str">
        <f t="shared" si="34"/>
        <v/>
      </c>
      <c r="Z283" s="3">
        <v>46184</v>
      </c>
      <c r="AA283" s="4">
        <v>253.1474</v>
      </c>
      <c r="AB283" s="6">
        <v>46184</v>
      </c>
      <c r="AC283" s="4">
        <v>263.45299999999997</v>
      </c>
      <c r="AD283" s="6">
        <f t="shared" si="35"/>
        <v>46184</v>
      </c>
    </row>
    <row r="284" spans="1:30" x14ac:dyDescent="0.25">
      <c r="A284" s="39"/>
      <c r="B284" s="40"/>
      <c r="C284" s="2"/>
      <c r="D284" s="43"/>
      <c r="E284" s="40"/>
      <c r="F284" s="2"/>
      <c r="G284" s="43"/>
      <c r="H284" s="40"/>
      <c r="I284" s="41"/>
      <c r="J284" s="41"/>
      <c r="K284" s="43"/>
      <c r="L284" s="43"/>
      <c r="M284" s="44"/>
      <c r="U284" s="3" t="str">
        <f t="shared" si="33"/>
        <v/>
      </c>
      <c r="V284" s="3" t="str">
        <f t="shared" si="34"/>
        <v/>
      </c>
      <c r="Z284" s="3">
        <v>46185</v>
      </c>
      <c r="AA284" s="4">
        <v>254.38560000000001</v>
      </c>
      <c r="AB284" s="6">
        <v>46185</v>
      </c>
      <c r="AC284" s="4">
        <v>253.41399999999999</v>
      </c>
      <c r="AD284" s="6">
        <f t="shared" si="35"/>
        <v>46185</v>
      </c>
    </row>
    <row r="285" spans="1:30" x14ac:dyDescent="0.25">
      <c r="A285" s="39"/>
      <c r="B285" s="40"/>
      <c r="C285" s="2"/>
      <c r="D285" s="43"/>
      <c r="E285" s="40"/>
      <c r="F285" s="2"/>
      <c r="G285" s="43"/>
      <c r="H285" s="40"/>
      <c r="I285" s="41"/>
      <c r="J285" s="41"/>
      <c r="K285" s="43"/>
      <c r="L285" s="43"/>
      <c r="M285" s="44"/>
      <c r="U285" s="3" t="str">
        <f t="shared" si="33"/>
        <v/>
      </c>
      <c r="V285" s="3" t="str">
        <f t="shared" si="34"/>
        <v/>
      </c>
      <c r="Z285" s="3">
        <v>46188</v>
      </c>
      <c r="AA285" s="4">
        <v>255.0607</v>
      </c>
      <c r="AB285" s="6">
        <v>46188</v>
      </c>
      <c r="AC285" s="4">
        <v>247.93899999999999</v>
      </c>
      <c r="AD285" s="6">
        <f t="shared" si="35"/>
        <v>46188</v>
      </c>
    </row>
    <row r="286" spans="1:30" x14ac:dyDescent="0.25">
      <c r="A286" s="39"/>
      <c r="B286" s="40"/>
      <c r="C286" s="2"/>
      <c r="D286" s="43"/>
      <c r="E286" s="40"/>
      <c r="F286" s="2"/>
      <c r="G286" s="43"/>
      <c r="H286" s="40"/>
      <c r="I286" s="41"/>
      <c r="J286" s="41"/>
      <c r="K286" s="43"/>
      <c r="L286" s="43"/>
      <c r="M286" s="44"/>
      <c r="U286" s="3" t="str">
        <f t="shared" si="33"/>
        <v/>
      </c>
      <c r="V286" s="3" t="str">
        <f t="shared" si="34"/>
        <v/>
      </c>
      <c r="Z286" s="3">
        <v>46189</v>
      </c>
      <c r="AA286" s="4">
        <v>254.93340000000001</v>
      </c>
      <c r="AB286" s="6">
        <v>46189</v>
      </c>
      <c r="AC286" s="4">
        <v>249.708</v>
      </c>
      <c r="AD286" s="6">
        <f t="shared" si="35"/>
        <v>46189</v>
      </c>
    </row>
    <row r="287" spans="1:30" x14ac:dyDescent="0.25">
      <c r="A287" s="39"/>
      <c r="B287" s="40"/>
      <c r="C287" s="2"/>
      <c r="D287" s="43"/>
      <c r="E287" s="40"/>
      <c r="F287" s="2"/>
      <c r="G287" s="43"/>
      <c r="H287" s="40"/>
      <c r="I287" s="41"/>
      <c r="J287" s="41"/>
      <c r="K287" s="43"/>
      <c r="L287" s="43"/>
      <c r="M287" s="44"/>
      <c r="U287" s="3" t="str">
        <f t="shared" si="33"/>
        <v/>
      </c>
      <c r="V287" s="3" t="str">
        <f t="shared" si="34"/>
        <v/>
      </c>
      <c r="Z287" s="3">
        <v>46190</v>
      </c>
      <c r="AA287" s="4">
        <v>254.77209999999999</v>
      </c>
      <c r="AB287" s="6">
        <v>46190</v>
      </c>
      <c r="AC287" s="4">
        <v>251.36</v>
      </c>
      <c r="AD287" s="6">
        <f t="shared" si="35"/>
        <v>46190</v>
      </c>
    </row>
    <row r="288" spans="1:30" x14ac:dyDescent="0.25">
      <c r="A288" s="39"/>
      <c r="B288" s="40"/>
      <c r="C288" s="2"/>
      <c r="D288" s="43"/>
      <c r="E288" s="40"/>
      <c r="F288" s="2"/>
      <c r="G288" s="43"/>
      <c r="H288" s="40"/>
      <c r="I288" s="41"/>
      <c r="J288" s="41"/>
      <c r="K288" s="43"/>
      <c r="L288" s="43"/>
      <c r="M288" s="44"/>
      <c r="U288" s="3" t="str">
        <f t="shared" si="33"/>
        <v/>
      </c>
      <c r="V288" s="3" t="str">
        <f t="shared" si="34"/>
        <v/>
      </c>
      <c r="Z288" s="3">
        <v>46191</v>
      </c>
      <c r="AA288" s="4">
        <v>255.09270000000001</v>
      </c>
      <c r="AB288" s="6">
        <v>46191</v>
      </c>
      <c r="AC288" s="4">
        <v>248.715</v>
      </c>
      <c r="AD288" s="6">
        <f t="shared" si="35"/>
        <v>46191</v>
      </c>
    </row>
    <row r="289" spans="1:30" x14ac:dyDescent="0.25">
      <c r="A289" s="39"/>
      <c r="B289" s="40"/>
      <c r="C289" s="2"/>
      <c r="D289" s="43"/>
      <c r="E289" s="40"/>
      <c r="F289" s="2"/>
      <c r="G289" s="43"/>
      <c r="H289" s="40"/>
      <c r="I289" s="41"/>
      <c r="J289" s="41"/>
      <c r="K289" s="43"/>
      <c r="L289" s="43"/>
      <c r="M289" s="44"/>
      <c r="U289" s="3" t="str">
        <f t="shared" si="33"/>
        <v/>
      </c>
      <c r="V289" s="3" t="str">
        <f t="shared" si="34"/>
        <v/>
      </c>
      <c r="Z289" s="3">
        <v>46192</v>
      </c>
      <c r="AA289" s="4">
        <v>255.0326</v>
      </c>
      <c r="AB289" s="6">
        <v>46192</v>
      </c>
      <c r="AC289" s="4">
        <v>249.94499999999999</v>
      </c>
      <c r="AD289" s="6">
        <f t="shared" si="35"/>
        <v>46192</v>
      </c>
    </row>
    <row r="290" spans="1:30" x14ac:dyDescent="0.25">
      <c r="A290" s="39"/>
      <c r="B290" s="40"/>
      <c r="C290" s="2"/>
      <c r="D290" s="43"/>
      <c r="E290" s="40"/>
      <c r="F290" s="2"/>
      <c r="G290" s="43"/>
      <c r="H290" s="40"/>
      <c r="I290" s="41"/>
      <c r="J290" s="41"/>
      <c r="K290" s="43"/>
      <c r="L290" s="43"/>
      <c r="M290" s="44"/>
      <c r="U290" s="3" t="str">
        <f t="shared" si="33"/>
        <v/>
      </c>
      <c r="V290" s="3" t="str">
        <f t="shared" si="34"/>
        <v/>
      </c>
      <c r="Z290" s="3">
        <v>46195</v>
      </c>
      <c r="AA290" s="4">
        <v>255.42699999999999</v>
      </c>
      <c r="AB290" s="6">
        <v>46195</v>
      </c>
      <c r="AC290" s="4">
        <v>246.82499999999999</v>
      </c>
      <c r="AD290" s="6">
        <f t="shared" si="35"/>
        <v>46195</v>
      </c>
    </row>
    <row r="291" spans="1:30" x14ac:dyDescent="0.25">
      <c r="A291" s="39"/>
      <c r="B291" s="40"/>
      <c r="C291" s="2"/>
      <c r="D291" s="43"/>
      <c r="E291" s="40"/>
      <c r="F291" s="2"/>
      <c r="G291" s="43"/>
      <c r="H291" s="40"/>
      <c r="I291" s="41"/>
      <c r="J291" s="41"/>
      <c r="K291" s="43"/>
      <c r="L291" s="43"/>
      <c r="M291" s="44"/>
      <c r="U291" s="3" t="str">
        <f t="shared" si="33"/>
        <v/>
      </c>
      <c r="V291" s="3" t="str">
        <f t="shared" si="34"/>
        <v/>
      </c>
      <c r="Z291" s="3">
        <v>46196</v>
      </c>
      <c r="AA291" s="4">
        <v>255.2808</v>
      </c>
      <c r="AB291" s="6">
        <v>46196</v>
      </c>
      <c r="AC291" s="4">
        <v>248.11</v>
      </c>
      <c r="AD291" s="6">
        <f t="shared" si="35"/>
        <v>46196</v>
      </c>
    </row>
    <row r="292" spans="1:30" x14ac:dyDescent="0.25">
      <c r="A292" s="39"/>
      <c r="B292" s="40"/>
      <c r="C292" s="2"/>
      <c r="D292" s="43"/>
      <c r="E292" s="40"/>
      <c r="F292" s="2"/>
      <c r="G292" s="43"/>
      <c r="H292" s="40"/>
      <c r="I292" s="41"/>
      <c r="J292" s="41"/>
      <c r="K292" s="43"/>
      <c r="L292" s="43"/>
      <c r="M292" s="44"/>
      <c r="U292" s="3" t="str">
        <f t="shared" si="33"/>
        <v/>
      </c>
      <c r="V292" s="3" t="str">
        <f t="shared" si="34"/>
        <v/>
      </c>
      <c r="Z292" s="3">
        <v>46197</v>
      </c>
      <c r="AA292" s="4">
        <v>255.37479999999999</v>
      </c>
      <c r="AB292" s="6">
        <v>46197</v>
      </c>
      <c r="AC292" s="4">
        <v>247.75700000000001</v>
      </c>
      <c r="AD292" s="6">
        <f t="shared" si="35"/>
        <v>46197</v>
      </c>
    </row>
    <row r="293" spans="1:30" x14ac:dyDescent="0.25">
      <c r="A293" s="39"/>
      <c r="B293" s="40"/>
      <c r="C293" s="2"/>
      <c r="D293" s="43"/>
      <c r="E293" s="40"/>
      <c r="F293" s="2"/>
      <c r="G293" s="43"/>
      <c r="H293" s="40"/>
      <c r="I293" s="41"/>
      <c r="J293" s="41"/>
      <c r="K293" s="43"/>
      <c r="L293" s="43"/>
      <c r="M293" s="44"/>
      <c r="U293" s="3" t="str">
        <f t="shared" si="33"/>
        <v/>
      </c>
      <c r="V293" s="3" t="str">
        <f t="shared" si="34"/>
        <v/>
      </c>
      <c r="Z293" s="3">
        <v>46198</v>
      </c>
      <c r="AA293" s="4">
        <v>255.54130000000001</v>
      </c>
      <c r="AB293" s="6">
        <v>46198</v>
      </c>
      <c r="AC293" s="4">
        <v>247.30699999999999</v>
      </c>
      <c r="AD293" s="6">
        <f t="shared" si="35"/>
        <v>46198</v>
      </c>
    </row>
    <row r="294" spans="1:30" x14ac:dyDescent="0.25">
      <c r="A294" s="39"/>
      <c r="B294" s="40"/>
      <c r="C294" s="2"/>
      <c r="D294" s="43"/>
      <c r="E294" s="40"/>
      <c r="F294" s="2"/>
      <c r="G294" s="43"/>
      <c r="H294" s="40"/>
      <c r="I294" s="41"/>
      <c r="J294" s="41"/>
      <c r="K294" s="43"/>
      <c r="L294" s="43"/>
      <c r="M294" s="44"/>
      <c r="U294" s="3" t="str">
        <f t="shared" si="33"/>
        <v/>
      </c>
      <c r="V294" s="3" t="str">
        <f t="shared" si="34"/>
        <v/>
      </c>
      <c r="AD294" s="6" t="str">
        <f t="shared" si="35"/>
        <v/>
      </c>
    </row>
    <row r="295" spans="1:30" x14ac:dyDescent="0.25">
      <c r="A295" s="39"/>
      <c r="B295" s="40"/>
      <c r="C295" s="2"/>
      <c r="D295" s="43"/>
      <c r="E295" s="40"/>
      <c r="F295" s="2"/>
      <c r="G295" s="43"/>
      <c r="H295" s="40"/>
      <c r="I295" s="41"/>
      <c r="J295" s="41"/>
      <c r="K295" s="43"/>
      <c r="L295" s="43"/>
      <c r="M295" s="44"/>
      <c r="U295" s="3" t="str">
        <f t="shared" si="33"/>
        <v/>
      </c>
      <c r="V295" s="3" t="str">
        <f t="shared" si="34"/>
        <v/>
      </c>
      <c r="AD295" s="6" t="str">
        <f t="shared" si="35"/>
        <v/>
      </c>
    </row>
    <row r="296" spans="1:30" x14ac:dyDescent="0.25">
      <c r="A296" s="39"/>
      <c r="B296" s="40"/>
      <c r="C296" s="2"/>
      <c r="D296" s="43"/>
      <c r="E296" s="40"/>
      <c r="F296" s="2"/>
      <c r="G296" s="43"/>
      <c r="H296" s="40"/>
      <c r="I296" s="41"/>
      <c r="J296" s="41"/>
      <c r="K296" s="43"/>
      <c r="L296" s="43"/>
      <c r="M296" s="44"/>
      <c r="U296" s="3" t="str">
        <f t="shared" si="33"/>
        <v/>
      </c>
      <c r="V296" s="3" t="str">
        <f t="shared" si="34"/>
        <v/>
      </c>
      <c r="AD296" s="6" t="str">
        <f t="shared" si="35"/>
        <v/>
      </c>
    </row>
    <row r="297" spans="1:30" x14ac:dyDescent="0.25">
      <c r="A297" s="39"/>
      <c r="B297" s="40"/>
      <c r="C297" s="2"/>
      <c r="D297" s="43"/>
      <c r="E297" s="40"/>
      <c r="F297" s="2"/>
      <c r="G297" s="43"/>
      <c r="H297" s="40"/>
      <c r="I297" s="41"/>
      <c r="J297" s="41"/>
      <c r="K297" s="43"/>
      <c r="L297" s="43"/>
      <c r="M297" s="44"/>
      <c r="U297" s="3" t="str">
        <f t="shared" si="33"/>
        <v/>
      </c>
      <c r="V297" s="3" t="str">
        <f t="shared" si="34"/>
        <v/>
      </c>
      <c r="AD297" s="6" t="str">
        <f t="shared" si="35"/>
        <v/>
      </c>
    </row>
    <row r="298" spans="1:30" x14ac:dyDescent="0.25">
      <c r="A298" s="39"/>
      <c r="B298" s="40"/>
      <c r="C298" s="2"/>
      <c r="D298" s="43"/>
      <c r="E298" s="40"/>
      <c r="F298" s="2"/>
      <c r="G298" s="43"/>
      <c r="H298" s="40"/>
      <c r="I298" s="41"/>
      <c r="J298" s="41"/>
      <c r="K298" s="43"/>
      <c r="L298" s="43"/>
      <c r="M298" s="44"/>
      <c r="U298" s="3" t="str">
        <f t="shared" si="33"/>
        <v/>
      </c>
      <c r="V298" s="3" t="str">
        <f t="shared" si="34"/>
        <v/>
      </c>
      <c r="AD298" s="6" t="str">
        <f t="shared" si="35"/>
        <v/>
      </c>
    </row>
    <row r="299" spans="1:30" x14ac:dyDescent="0.25">
      <c r="A299" s="39"/>
      <c r="B299" s="40"/>
      <c r="C299" s="2"/>
      <c r="D299" s="43"/>
      <c r="E299" s="40"/>
      <c r="F299" s="2"/>
      <c r="G299" s="43"/>
      <c r="H299" s="40"/>
      <c r="I299" s="41"/>
      <c r="J299" s="41"/>
      <c r="K299" s="43"/>
      <c r="L299" s="43"/>
      <c r="M299" s="44"/>
      <c r="U299" s="3" t="str">
        <f t="shared" si="33"/>
        <v/>
      </c>
      <c r="V299" s="3" t="str">
        <f t="shared" si="34"/>
        <v/>
      </c>
      <c r="AD299" s="6" t="str">
        <f t="shared" si="35"/>
        <v/>
      </c>
    </row>
    <row r="300" spans="1:30" x14ac:dyDescent="0.25">
      <c r="A300" s="39"/>
      <c r="B300" s="40"/>
      <c r="C300" s="2"/>
      <c r="D300" s="43"/>
      <c r="E300" s="40"/>
      <c r="F300" s="2"/>
      <c r="G300" s="43"/>
      <c r="H300" s="40"/>
      <c r="I300" s="41"/>
      <c r="J300" s="41"/>
      <c r="K300" s="43"/>
      <c r="L300" s="43"/>
      <c r="M300" s="44"/>
      <c r="U300" s="3" t="str">
        <f t="shared" si="33"/>
        <v/>
      </c>
      <c r="V300" s="3" t="str">
        <f t="shared" si="34"/>
        <v/>
      </c>
      <c r="AD300" s="6" t="str">
        <f t="shared" si="35"/>
        <v/>
      </c>
    </row>
    <row r="301" spans="1:30" x14ac:dyDescent="0.25">
      <c r="A301" s="39"/>
      <c r="B301" s="40"/>
      <c r="C301" s="2"/>
      <c r="D301" s="43"/>
      <c r="E301" s="40"/>
      <c r="F301" s="2"/>
      <c r="G301" s="43"/>
      <c r="H301" s="40"/>
      <c r="I301" s="41"/>
      <c r="J301" s="41"/>
      <c r="K301" s="43"/>
      <c r="L301" s="43"/>
      <c r="M301" s="44"/>
      <c r="U301" s="3" t="str">
        <f t="shared" si="33"/>
        <v/>
      </c>
      <c r="V301" s="3" t="str">
        <f t="shared" si="34"/>
        <v/>
      </c>
      <c r="AD301" s="6" t="str">
        <f t="shared" si="35"/>
        <v/>
      </c>
    </row>
    <row r="302" spans="1:30" x14ac:dyDescent="0.25">
      <c r="A302" s="39"/>
      <c r="B302" s="40"/>
      <c r="C302" s="2"/>
      <c r="D302" s="43"/>
      <c r="E302" s="40"/>
      <c r="F302" s="2"/>
      <c r="G302" s="43"/>
      <c r="H302" s="40"/>
      <c r="I302" s="41"/>
      <c r="J302" s="41"/>
      <c r="K302" s="43"/>
      <c r="L302" s="43"/>
      <c r="M302" s="44"/>
      <c r="U302" s="3" t="str">
        <f t="shared" si="33"/>
        <v/>
      </c>
      <c r="V302" s="3" t="str">
        <f t="shared" si="34"/>
        <v/>
      </c>
      <c r="AD302" s="6" t="str">
        <f t="shared" si="35"/>
        <v/>
      </c>
    </row>
    <row r="303" spans="1:30" x14ac:dyDescent="0.25">
      <c r="A303" s="39"/>
      <c r="B303" s="40"/>
      <c r="C303" s="2"/>
      <c r="D303" s="43"/>
      <c r="E303" s="40"/>
      <c r="F303" s="2"/>
      <c r="G303" s="43"/>
      <c r="H303" s="40"/>
      <c r="I303" s="41"/>
      <c r="J303" s="41"/>
      <c r="K303" s="43"/>
      <c r="L303" s="43"/>
      <c r="M303" s="44"/>
      <c r="U303" s="3" t="str">
        <f t="shared" si="33"/>
        <v/>
      </c>
      <c r="V303" s="3" t="str">
        <f t="shared" si="34"/>
        <v/>
      </c>
      <c r="AD303" s="6" t="str">
        <f t="shared" si="35"/>
        <v/>
      </c>
    </row>
    <row r="304" spans="1:30" x14ac:dyDescent="0.25">
      <c r="A304" s="39"/>
      <c r="B304" s="40"/>
      <c r="C304" s="2"/>
      <c r="D304" s="43"/>
      <c r="E304" s="40"/>
      <c r="F304" s="2"/>
      <c r="G304" s="43"/>
      <c r="H304" s="40"/>
      <c r="I304" s="41"/>
      <c r="J304" s="41"/>
      <c r="K304" s="43"/>
      <c r="L304" s="43"/>
      <c r="M304" s="44"/>
      <c r="U304" s="3" t="str">
        <f t="shared" si="33"/>
        <v/>
      </c>
      <c r="V304" s="3" t="str">
        <f t="shared" si="34"/>
        <v/>
      </c>
      <c r="AD304" s="6" t="str">
        <f t="shared" si="35"/>
        <v/>
      </c>
    </row>
    <row r="305" spans="1:30" x14ac:dyDescent="0.25">
      <c r="A305" s="39"/>
      <c r="B305" s="40"/>
      <c r="C305" s="2"/>
      <c r="D305" s="43"/>
      <c r="E305" s="40"/>
      <c r="F305" s="2"/>
      <c r="G305" s="43"/>
      <c r="H305" s="40"/>
      <c r="I305" s="41"/>
      <c r="J305" s="41"/>
      <c r="K305" s="43"/>
      <c r="L305" s="43"/>
      <c r="M305" s="44"/>
      <c r="U305" s="3" t="str">
        <f t="shared" si="33"/>
        <v/>
      </c>
      <c r="V305" s="3" t="str">
        <f t="shared" si="34"/>
        <v/>
      </c>
      <c r="AD305" s="6" t="str">
        <f t="shared" si="35"/>
        <v/>
      </c>
    </row>
    <row r="306" spans="1:30" x14ac:dyDescent="0.25">
      <c r="A306" s="39"/>
      <c r="B306" s="40"/>
      <c r="C306" s="2"/>
      <c r="D306" s="43"/>
      <c r="E306" s="40"/>
      <c r="F306" s="2"/>
      <c r="G306" s="43"/>
      <c r="H306" s="40"/>
      <c r="I306" s="41"/>
      <c r="J306" s="41"/>
      <c r="K306" s="43"/>
      <c r="L306" s="43"/>
      <c r="M306" s="44"/>
      <c r="U306" s="3" t="str">
        <f t="shared" si="33"/>
        <v/>
      </c>
      <c r="V306" s="3" t="str">
        <f t="shared" si="34"/>
        <v/>
      </c>
      <c r="AD306" s="6" t="str">
        <f t="shared" si="35"/>
        <v/>
      </c>
    </row>
    <row r="307" spans="1:30" x14ac:dyDescent="0.25">
      <c r="A307" s="39"/>
      <c r="B307" s="40"/>
      <c r="C307" s="2"/>
      <c r="D307" s="43"/>
      <c r="E307" s="40"/>
      <c r="F307" s="2"/>
      <c r="G307" s="43"/>
      <c r="H307" s="40"/>
      <c r="I307" s="41"/>
      <c r="J307" s="41"/>
      <c r="K307" s="43"/>
      <c r="L307" s="43"/>
      <c r="M307" s="44"/>
      <c r="U307" s="3" t="str">
        <f t="shared" si="33"/>
        <v/>
      </c>
      <c r="V307" s="3" t="str">
        <f t="shared" si="34"/>
        <v/>
      </c>
      <c r="AD307" s="6" t="str">
        <f t="shared" si="35"/>
        <v/>
      </c>
    </row>
    <row r="308" spans="1:30" x14ac:dyDescent="0.25">
      <c r="A308" s="39"/>
      <c r="B308" s="40"/>
      <c r="C308" s="2"/>
      <c r="D308" s="43"/>
      <c r="E308" s="40"/>
      <c r="F308" s="2"/>
      <c r="G308" s="43"/>
      <c r="H308" s="40"/>
      <c r="I308" s="41"/>
      <c r="J308" s="41"/>
      <c r="K308" s="43"/>
      <c r="L308" s="43"/>
      <c r="M308" s="44"/>
      <c r="U308" s="3" t="str">
        <f t="shared" si="33"/>
        <v/>
      </c>
      <c r="V308" s="3" t="str">
        <f t="shared" si="34"/>
        <v/>
      </c>
      <c r="AD308" s="6" t="str">
        <f t="shared" si="35"/>
        <v/>
      </c>
    </row>
    <row r="309" spans="1:30" x14ac:dyDescent="0.25">
      <c r="A309" s="39"/>
      <c r="B309" s="40"/>
      <c r="C309" s="2"/>
      <c r="D309" s="43"/>
      <c r="E309" s="40"/>
      <c r="F309" s="2"/>
      <c r="G309" s="43"/>
      <c r="H309" s="40"/>
      <c r="I309" s="41"/>
      <c r="J309" s="41"/>
      <c r="K309" s="43"/>
      <c r="L309" s="43"/>
      <c r="M309" s="44"/>
      <c r="U309" s="3" t="str">
        <f t="shared" si="33"/>
        <v/>
      </c>
      <c r="V309" s="3" t="str">
        <f t="shared" si="34"/>
        <v/>
      </c>
      <c r="AD309" s="6" t="str">
        <f t="shared" si="35"/>
        <v/>
      </c>
    </row>
    <row r="310" spans="1:30" x14ac:dyDescent="0.25">
      <c r="A310" s="39"/>
      <c r="B310" s="40"/>
      <c r="C310" s="2"/>
      <c r="D310" s="43"/>
      <c r="E310" s="40"/>
      <c r="F310" s="2"/>
      <c r="G310" s="43"/>
      <c r="H310" s="40"/>
      <c r="I310" s="41"/>
      <c r="J310" s="41"/>
      <c r="K310" s="43"/>
      <c r="L310" s="43"/>
      <c r="M310" s="44"/>
      <c r="U310" s="3" t="str">
        <f t="shared" si="33"/>
        <v/>
      </c>
      <c r="V310" s="3" t="str">
        <f t="shared" si="34"/>
        <v/>
      </c>
      <c r="AD310" s="6" t="str">
        <f t="shared" si="35"/>
        <v/>
      </c>
    </row>
    <row r="311" spans="1:30" x14ac:dyDescent="0.25">
      <c r="A311" s="39"/>
      <c r="B311" s="40"/>
      <c r="C311" s="2"/>
      <c r="D311" s="43"/>
      <c r="E311" s="40"/>
      <c r="F311" s="2"/>
      <c r="G311" s="43"/>
      <c r="H311" s="40"/>
      <c r="I311" s="41"/>
      <c r="J311" s="41"/>
      <c r="K311" s="43"/>
      <c r="L311" s="43"/>
      <c r="M311" s="44"/>
      <c r="U311" s="3" t="str">
        <f t="shared" si="33"/>
        <v/>
      </c>
      <c r="V311" s="3" t="str">
        <f t="shared" si="34"/>
        <v/>
      </c>
      <c r="AD311" s="6" t="str">
        <f t="shared" si="35"/>
        <v/>
      </c>
    </row>
    <row r="312" spans="1:30" x14ac:dyDescent="0.25">
      <c r="A312" s="39"/>
      <c r="B312" s="40"/>
      <c r="C312" s="2"/>
      <c r="D312" s="43"/>
      <c r="E312" s="40"/>
      <c r="F312" s="2"/>
      <c r="G312" s="43"/>
      <c r="H312" s="40"/>
      <c r="I312" s="41"/>
      <c r="J312" s="41"/>
      <c r="K312" s="43"/>
      <c r="L312" s="43"/>
      <c r="M312" s="44"/>
      <c r="U312" s="3" t="str">
        <f t="shared" si="33"/>
        <v/>
      </c>
      <c r="V312" s="3" t="str">
        <f t="shared" si="34"/>
        <v/>
      </c>
      <c r="AD312" s="6" t="str">
        <f t="shared" si="35"/>
        <v/>
      </c>
    </row>
    <row r="313" spans="1:30" x14ac:dyDescent="0.25">
      <c r="A313" s="39"/>
      <c r="B313" s="40"/>
      <c r="C313" s="2"/>
      <c r="D313" s="43"/>
      <c r="E313" s="40"/>
      <c r="F313" s="2"/>
      <c r="G313" s="43"/>
      <c r="H313" s="40"/>
      <c r="I313" s="41"/>
      <c r="J313" s="41"/>
      <c r="K313" s="43"/>
      <c r="L313" s="43"/>
      <c r="M313" s="44"/>
      <c r="U313" s="3" t="str">
        <f t="shared" si="33"/>
        <v/>
      </c>
      <c r="V313" s="3" t="str">
        <f t="shared" si="34"/>
        <v/>
      </c>
      <c r="AD313" s="6" t="str">
        <f t="shared" si="35"/>
        <v/>
      </c>
    </row>
    <row r="314" spans="1:30" x14ac:dyDescent="0.25">
      <c r="A314" s="39"/>
      <c r="B314" s="40"/>
      <c r="C314" s="2"/>
      <c r="D314" s="43"/>
      <c r="E314" s="40"/>
      <c r="F314" s="2"/>
      <c r="G314" s="43"/>
      <c r="H314" s="40"/>
      <c r="I314" s="41"/>
      <c r="J314" s="41"/>
      <c r="K314" s="43"/>
      <c r="L314" s="43"/>
      <c r="M314" s="44"/>
      <c r="U314" s="3" t="str">
        <f t="shared" si="33"/>
        <v/>
      </c>
      <c r="V314" s="3" t="str">
        <f t="shared" si="34"/>
        <v/>
      </c>
      <c r="AD314" s="6" t="str">
        <f t="shared" si="35"/>
        <v/>
      </c>
    </row>
    <row r="315" spans="1:30" x14ac:dyDescent="0.25">
      <c r="A315" s="39"/>
      <c r="B315" s="40"/>
      <c r="C315" s="2"/>
      <c r="D315" s="43"/>
      <c r="E315" s="40"/>
      <c r="F315" s="2"/>
      <c r="G315" s="43"/>
      <c r="H315" s="40"/>
      <c r="I315" s="41"/>
      <c r="J315" s="41"/>
      <c r="K315" s="43"/>
      <c r="L315" s="43"/>
      <c r="M315" s="44"/>
      <c r="U315" s="3" t="str">
        <f t="shared" si="33"/>
        <v/>
      </c>
      <c r="V315" s="3" t="str">
        <f t="shared" si="34"/>
        <v/>
      </c>
      <c r="AD315" s="6" t="str">
        <f t="shared" si="35"/>
        <v/>
      </c>
    </row>
    <row r="316" spans="1:30" x14ac:dyDescent="0.25">
      <c r="A316" s="39"/>
      <c r="B316" s="40"/>
      <c r="C316" s="2"/>
      <c r="D316" s="43"/>
      <c r="E316" s="40"/>
      <c r="F316" s="2"/>
      <c r="G316" s="43"/>
      <c r="H316" s="40"/>
      <c r="I316" s="41"/>
      <c r="J316" s="41"/>
      <c r="K316" s="43"/>
      <c r="L316" s="43"/>
      <c r="M316" s="44"/>
      <c r="U316" s="3" t="str">
        <f t="shared" si="33"/>
        <v/>
      </c>
      <c r="V316" s="3" t="str">
        <f t="shared" si="34"/>
        <v/>
      </c>
      <c r="AD316" s="6" t="str">
        <f t="shared" si="35"/>
        <v/>
      </c>
    </row>
    <row r="317" spans="1:30" x14ac:dyDescent="0.25">
      <c r="A317" s="39"/>
      <c r="B317" s="40"/>
      <c r="C317" s="2"/>
      <c r="D317" s="43"/>
      <c r="E317" s="40"/>
      <c r="F317" s="2"/>
      <c r="G317" s="43"/>
      <c r="H317" s="40"/>
      <c r="I317" s="41"/>
      <c r="J317" s="41"/>
      <c r="K317" s="43"/>
      <c r="L317" s="43"/>
      <c r="M317" s="44"/>
      <c r="U317" s="3" t="str">
        <f t="shared" si="33"/>
        <v/>
      </c>
      <c r="V317" s="3" t="str">
        <f t="shared" si="34"/>
        <v/>
      </c>
      <c r="AD317" s="6" t="str">
        <f t="shared" si="35"/>
        <v/>
      </c>
    </row>
    <row r="318" spans="1:30" x14ac:dyDescent="0.25">
      <c r="A318" s="39"/>
      <c r="B318" s="40"/>
      <c r="C318" s="2"/>
      <c r="D318" s="43"/>
      <c r="E318" s="40"/>
      <c r="F318" s="2"/>
      <c r="G318" s="43"/>
      <c r="H318" s="40"/>
      <c r="I318" s="41"/>
      <c r="J318" s="41"/>
      <c r="K318" s="43"/>
      <c r="L318" s="43"/>
      <c r="M318" s="44"/>
      <c r="U318" s="3" t="str">
        <f t="shared" si="33"/>
        <v/>
      </c>
      <c r="V318" s="3" t="str">
        <f t="shared" si="34"/>
        <v/>
      </c>
      <c r="AD318" s="6" t="str">
        <f t="shared" si="35"/>
        <v/>
      </c>
    </row>
    <row r="319" spans="1:30" x14ac:dyDescent="0.25">
      <c r="A319" s="39"/>
      <c r="B319" s="40"/>
      <c r="C319" s="2"/>
      <c r="D319" s="43"/>
      <c r="E319" s="40"/>
      <c r="F319" s="2"/>
      <c r="G319" s="43"/>
      <c r="H319" s="40"/>
      <c r="I319" s="41"/>
      <c r="J319" s="41"/>
      <c r="K319" s="43"/>
      <c r="L319" s="43"/>
      <c r="M319" s="44"/>
      <c r="U319" s="3" t="str">
        <f t="shared" si="33"/>
        <v/>
      </c>
      <c r="V319" s="3" t="str">
        <f t="shared" si="34"/>
        <v/>
      </c>
      <c r="AD319" s="6" t="str">
        <f t="shared" si="35"/>
        <v/>
      </c>
    </row>
    <row r="320" spans="1:30" x14ac:dyDescent="0.25">
      <c r="A320" s="39"/>
      <c r="B320" s="40"/>
      <c r="C320" s="2"/>
      <c r="D320" s="43"/>
      <c r="E320" s="40"/>
      <c r="F320" s="2"/>
      <c r="G320" s="43"/>
      <c r="H320" s="40"/>
      <c r="I320" s="41"/>
      <c r="J320" s="41"/>
      <c r="K320" s="43"/>
      <c r="L320" s="43"/>
      <c r="M320" s="44"/>
      <c r="U320" s="3" t="str">
        <f t="shared" si="33"/>
        <v/>
      </c>
      <c r="V320" s="3" t="str">
        <f t="shared" si="34"/>
        <v/>
      </c>
      <c r="AD320" s="6" t="str">
        <f t="shared" si="35"/>
        <v/>
      </c>
    </row>
    <row r="321" spans="1:30" x14ac:dyDescent="0.25">
      <c r="A321" s="39"/>
      <c r="B321" s="40"/>
      <c r="C321" s="2"/>
      <c r="D321" s="43"/>
      <c r="E321" s="40"/>
      <c r="F321" s="2"/>
      <c r="G321" s="43"/>
      <c r="H321" s="40"/>
      <c r="I321" s="41"/>
      <c r="J321" s="41"/>
      <c r="K321" s="43"/>
      <c r="L321" s="43"/>
      <c r="M321" s="44"/>
      <c r="U321" s="3" t="str">
        <f t="shared" si="33"/>
        <v/>
      </c>
      <c r="V321" s="3" t="str">
        <f t="shared" si="34"/>
        <v/>
      </c>
      <c r="AD321" s="6" t="str">
        <f t="shared" si="35"/>
        <v/>
      </c>
    </row>
    <row r="322" spans="1:30" x14ac:dyDescent="0.25">
      <c r="A322" s="39"/>
      <c r="B322" s="40"/>
      <c r="C322" s="2"/>
      <c r="D322" s="43"/>
      <c r="E322" s="40"/>
      <c r="F322" s="2"/>
      <c r="G322" s="43"/>
      <c r="H322" s="40"/>
      <c r="I322" s="41"/>
      <c r="J322" s="41"/>
      <c r="K322" s="43"/>
      <c r="L322" s="43"/>
      <c r="M322" s="44"/>
      <c r="U322" s="3" t="str">
        <f t="shared" si="33"/>
        <v/>
      </c>
      <c r="V322" s="3" t="str">
        <f t="shared" si="34"/>
        <v/>
      </c>
      <c r="AD322" s="6" t="str">
        <f t="shared" si="35"/>
        <v/>
      </c>
    </row>
    <row r="323" spans="1:30" x14ac:dyDescent="0.25">
      <c r="A323" s="39"/>
      <c r="B323" s="40"/>
      <c r="C323" s="2"/>
      <c r="D323" s="43"/>
      <c r="E323" s="40"/>
      <c r="F323" s="2"/>
      <c r="G323" s="43"/>
      <c r="H323" s="40"/>
      <c r="I323" s="41"/>
      <c r="J323" s="41"/>
      <c r="K323" s="43"/>
      <c r="L323" s="43"/>
      <c r="M323" s="44"/>
      <c r="U323" s="3" t="str">
        <f t="shared" si="33"/>
        <v/>
      </c>
      <c r="V323" s="3" t="str">
        <f t="shared" si="34"/>
        <v/>
      </c>
      <c r="AD323" s="6" t="str">
        <f t="shared" si="35"/>
        <v/>
      </c>
    </row>
    <row r="324" spans="1:30" x14ac:dyDescent="0.25">
      <c r="A324" s="39"/>
      <c r="B324" s="40"/>
      <c r="C324" s="2"/>
      <c r="D324" s="43"/>
      <c r="E324" s="40"/>
      <c r="F324" s="2"/>
      <c r="G324" s="43"/>
      <c r="H324" s="40"/>
      <c r="I324" s="41"/>
      <c r="J324" s="41"/>
      <c r="K324" s="43"/>
      <c r="L324" s="43"/>
      <c r="M324" s="44"/>
      <c r="U324" s="3" t="str">
        <f t="shared" ref="U324:U387" si="36">IF(COUNTIF(Q:Q,O324)*COUNTIF(S:S,O324),O324,"")</f>
        <v/>
      </c>
      <c r="V324" s="3" t="str">
        <f t="shared" ref="V324:V387" si="37">IF(U324&gt;$A$14,U324,"")</f>
        <v/>
      </c>
      <c r="AD324" s="6" t="str">
        <f t="shared" ref="AD324:AD387" si="38">IF(COUNTIF(AB:AB,Z324),Z324,"")</f>
        <v/>
      </c>
    </row>
    <row r="325" spans="1:30" x14ac:dyDescent="0.25">
      <c r="A325" s="39"/>
      <c r="B325" s="40"/>
      <c r="C325" s="2"/>
      <c r="D325" s="43"/>
      <c r="E325" s="40"/>
      <c r="F325" s="2"/>
      <c r="G325" s="43"/>
      <c r="H325" s="40"/>
      <c r="I325" s="41"/>
      <c r="J325" s="41"/>
      <c r="K325" s="43"/>
      <c r="L325" s="43"/>
      <c r="M325" s="44"/>
      <c r="U325" s="3" t="str">
        <f t="shared" si="36"/>
        <v/>
      </c>
      <c r="V325" s="3" t="str">
        <f t="shared" si="37"/>
        <v/>
      </c>
      <c r="AD325" s="6" t="str">
        <f t="shared" si="38"/>
        <v/>
      </c>
    </row>
    <row r="326" spans="1:30" x14ac:dyDescent="0.25">
      <c r="A326" s="39"/>
      <c r="B326" s="40"/>
      <c r="C326" s="2"/>
      <c r="D326" s="43"/>
      <c r="E326" s="40"/>
      <c r="F326" s="2"/>
      <c r="G326" s="43"/>
      <c r="H326" s="40"/>
      <c r="I326" s="41"/>
      <c r="J326" s="41"/>
      <c r="K326" s="43"/>
      <c r="L326" s="43"/>
      <c r="M326" s="44"/>
      <c r="U326" s="3" t="str">
        <f t="shared" si="36"/>
        <v/>
      </c>
      <c r="V326" s="3" t="str">
        <f t="shared" si="37"/>
        <v/>
      </c>
      <c r="AD326" s="6" t="str">
        <f t="shared" si="38"/>
        <v/>
      </c>
    </row>
    <row r="327" spans="1:30" x14ac:dyDescent="0.25">
      <c r="A327" s="39"/>
      <c r="B327" s="40"/>
      <c r="C327" s="2"/>
      <c r="D327" s="43"/>
      <c r="E327" s="40"/>
      <c r="F327" s="2"/>
      <c r="G327" s="43"/>
      <c r="H327" s="40"/>
      <c r="I327" s="41"/>
      <c r="J327" s="41"/>
      <c r="K327" s="43"/>
      <c r="L327" s="43"/>
      <c r="M327" s="44"/>
      <c r="U327" s="3" t="str">
        <f t="shared" si="36"/>
        <v/>
      </c>
      <c r="V327" s="3" t="str">
        <f t="shared" si="37"/>
        <v/>
      </c>
      <c r="AD327" s="6" t="str">
        <f t="shared" si="38"/>
        <v/>
      </c>
    </row>
    <row r="328" spans="1:30" x14ac:dyDescent="0.25">
      <c r="A328" s="39"/>
      <c r="B328" s="40"/>
      <c r="C328" s="2"/>
      <c r="D328" s="43"/>
      <c r="E328" s="40"/>
      <c r="F328" s="2"/>
      <c r="G328" s="43"/>
      <c r="H328" s="40"/>
      <c r="I328" s="41"/>
      <c r="J328" s="41"/>
      <c r="K328" s="43"/>
      <c r="L328" s="43"/>
      <c r="M328" s="44"/>
      <c r="U328" s="3" t="str">
        <f t="shared" si="36"/>
        <v/>
      </c>
      <c r="V328" s="3" t="str">
        <f t="shared" si="37"/>
        <v/>
      </c>
      <c r="AD328" s="6" t="str">
        <f t="shared" si="38"/>
        <v/>
      </c>
    </row>
    <row r="329" spans="1:30" x14ac:dyDescent="0.25">
      <c r="A329" s="39"/>
      <c r="B329" s="40"/>
      <c r="C329" s="2"/>
      <c r="D329" s="43"/>
      <c r="E329" s="40"/>
      <c r="F329" s="2"/>
      <c r="G329" s="43"/>
      <c r="H329" s="40"/>
      <c r="I329" s="41"/>
      <c r="J329" s="41"/>
      <c r="K329" s="43"/>
      <c r="L329" s="43"/>
      <c r="M329" s="44"/>
      <c r="U329" s="3" t="str">
        <f t="shared" si="36"/>
        <v/>
      </c>
      <c r="V329" s="3" t="str">
        <f t="shared" si="37"/>
        <v/>
      </c>
      <c r="AD329" s="6" t="str">
        <f t="shared" si="38"/>
        <v/>
      </c>
    </row>
    <row r="330" spans="1:30" x14ac:dyDescent="0.25">
      <c r="A330" s="39"/>
      <c r="B330" s="40"/>
      <c r="C330" s="2"/>
      <c r="D330" s="43"/>
      <c r="E330" s="40"/>
      <c r="F330" s="2"/>
      <c r="G330" s="43"/>
      <c r="H330" s="40"/>
      <c r="I330" s="41"/>
      <c r="J330" s="41"/>
      <c r="K330" s="43"/>
      <c r="L330" s="43"/>
      <c r="M330" s="44"/>
      <c r="U330" s="3" t="str">
        <f t="shared" si="36"/>
        <v/>
      </c>
      <c r="V330" s="3" t="str">
        <f t="shared" si="37"/>
        <v/>
      </c>
      <c r="AD330" s="6" t="str">
        <f t="shared" si="38"/>
        <v/>
      </c>
    </row>
    <row r="331" spans="1:30" x14ac:dyDescent="0.25">
      <c r="A331" s="39"/>
      <c r="B331" s="40"/>
      <c r="C331" s="2"/>
      <c r="D331" s="43"/>
      <c r="E331" s="40"/>
      <c r="F331" s="2"/>
      <c r="G331" s="43"/>
      <c r="H331" s="40"/>
      <c r="I331" s="41"/>
      <c r="J331" s="41"/>
      <c r="K331" s="43"/>
      <c r="L331" s="43"/>
      <c r="M331" s="44"/>
      <c r="U331" s="3" t="str">
        <f t="shared" si="36"/>
        <v/>
      </c>
      <c r="V331" s="3" t="str">
        <f t="shared" si="37"/>
        <v/>
      </c>
      <c r="AD331" s="6" t="str">
        <f t="shared" si="38"/>
        <v/>
      </c>
    </row>
    <row r="332" spans="1:30" x14ac:dyDescent="0.25">
      <c r="A332" s="39"/>
      <c r="B332" s="40"/>
      <c r="C332" s="2"/>
      <c r="D332" s="43"/>
      <c r="E332" s="40"/>
      <c r="F332" s="2"/>
      <c r="G332" s="43"/>
      <c r="H332" s="40"/>
      <c r="I332" s="41"/>
      <c r="J332" s="41"/>
      <c r="K332" s="43"/>
      <c r="L332" s="43"/>
      <c r="M332" s="44"/>
      <c r="U332" s="3" t="str">
        <f t="shared" si="36"/>
        <v/>
      </c>
      <c r="V332" s="3" t="str">
        <f t="shared" si="37"/>
        <v/>
      </c>
      <c r="AD332" s="6" t="str">
        <f t="shared" si="38"/>
        <v/>
      </c>
    </row>
    <row r="333" spans="1:30" x14ac:dyDescent="0.25">
      <c r="A333" s="39"/>
      <c r="B333" s="40"/>
      <c r="C333" s="2"/>
      <c r="D333" s="43"/>
      <c r="E333" s="40"/>
      <c r="F333" s="2"/>
      <c r="G333" s="43"/>
      <c r="H333" s="40"/>
      <c r="I333" s="41"/>
      <c r="J333" s="41"/>
      <c r="K333" s="43"/>
      <c r="L333" s="43"/>
      <c r="M333" s="44"/>
      <c r="U333" s="3" t="str">
        <f t="shared" si="36"/>
        <v/>
      </c>
      <c r="V333" s="3" t="str">
        <f t="shared" si="37"/>
        <v/>
      </c>
      <c r="AD333" s="6" t="str">
        <f t="shared" si="38"/>
        <v/>
      </c>
    </row>
    <row r="334" spans="1:30" x14ac:dyDescent="0.25">
      <c r="A334" s="39"/>
      <c r="B334" s="40"/>
      <c r="C334" s="2"/>
      <c r="D334" s="43"/>
      <c r="E334" s="40"/>
      <c r="F334" s="2"/>
      <c r="G334" s="43"/>
      <c r="H334" s="40"/>
      <c r="I334" s="41"/>
      <c r="J334" s="41"/>
      <c r="K334" s="43"/>
      <c r="L334" s="43"/>
      <c r="M334" s="44"/>
      <c r="U334" s="3" t="str">
        <f t="shared" si="36"/>
        <v/>
      </c>
      <c r="V334" s="3" t="str">
        <f t="shared" si="37"/>
        <v/>
      </c>
      <c r="AD334" s="6" t="str">
        <f t="shared" si="38"/>
        <v/>
      </c>
    </row>
    <row r="335" spans="1:30" x14ac:dyDescent="0.25">
      <c r="A335" s="39"/>
      <c r="B335" s="40"/>
      <c r="C335" s="2"/>
      <c r="D335" s="43"/>
      <c r="E335" s="40"/>
      <c r="F335" s="2"/>
      <c r="G335" s="43"/>
      <c r="H335" s="40"/>
      <c r="I335" s="41"/>
      <c r="J335" s="41"/>
      <c r="K335" s="43"/>
      <c r="L335" s="43"/>
      <c r="M335" s="44"/>
      <c r="U335" s="3" t="str">
        <f t="shared" si="36"/>
        <v/>
      </c>
      <c r="V335" s="3" t="str">
        <f t="shared" si="37"/>
        <v/>
      </c>
      <c r="AD335" s="6" t="str">
        <f t="shared" si="38"/>
        <v/>
      </c>
    </row>
    <row r="336" spans="1:30" x14ac:dyDescent="0.25">
      <c r="A336" s="39"/>
      <c r="B336" s="40"/>
      <c r="C336" s="2"/>
      <c r="D336" s="43"/>
      <c r="E336" s="40"/>
      <c r="F336" s="2"/>
      <c r="G336" s="43"/>
      <c r="H336" s="40"/>
      <c r="I336" s="41"/>
      <c r="J336" s="41"/>
      <c r="K336" s="43"/>
      <c r="L336" s="43"/>
      <c r="M336" s="44"/>
      <c r="U336" s="3" t="str">
        <f t="shared" si="36"/>
        <v/>
      </c>
      <c r="V336" s="3" t="str">
        <f t="shared" si="37"/>
        <v/>
      </c>
      <c r="AD336" s="6" t="str">
        <f t="shared" si="38"/>
        <v/>
      </c>
    </row>
    <row r="337" spans="1:30" x14ac:dyDescent="0.25">
      <c r="A337" s="39"/>
      <c r="B337" s="40"/>
      <c r="C337" s="2"/>
      <c r="D337" s="43"/>
      <c r="E337" s="40"/>
      <c r="F337" s="2"/>
      <c r="G337" s="43"/>
      <c r="H337" s="40"/>
      <c r="I337" s="41"/>
      <c r="J337" s="41"/>
      <c r="K337" s="43"/>
      <c r="L337" s="43"/>
      <c r="M337" s="44"/>
      <c r="U337" s="3" t="str">
        <f t="shared" si="36"/>
        <v/>
      </c>
      <c r="V337" s="3" t="str">
        <f t="shared" si="37"/>
        <v/>
      </c>
      <c r="AD337" s="6" t="str">
        <f t="shared" si="38"/>
        <v/>
      </c>
    </row>
    <row r="338" spans="1:30" x14ac:dyDescent="0.25">
      <c r="A338" s="39"/>
      <c r="B338" s="40"/>
      <c r="C338" s="2"/>
      <c r="D338" s="43"/>
      <c r="E338" s="40"/>
      <c r="F338" s="2"/>
      <c r="G338" s="43"/>
      <c r="H338" s="40"/>
      <c r="I338" s="41"/>
      <c r="J338" s="41"/>
      <c r="K338" s="43"/>
      <c r="L338" s="43"/>
      <c r="M338" s="44"/>
      <c r="U338" s="3" t="str">
        <f t="shared" si="36"/>
        <v/>
      </c>
      <c r="V338" s="3" t="str">
        <f t="shared" si="37"/>
        <v/>
      </c>
      <c r="AD338" s="6" t="str">
        <f t="shared" si="38"/>
        <v/>
      </c>
    </row>
    <row r="339" spans="1:30" x14ac:dyDescent="0.25">
      <c r="A339" s="39"/>
      <c r="B339" s="40"/>
      <c r="C339" s="2"/>
      <c r="D339" s="43"/>
      <c r="E339" s="40"/>
      <c r="F339" s="2"/>
      <c r="G339" s="43"/>
      <c r="H339" s="40"/>
      <c r="I339" s="41"/>
      <c r="J339" s="41"/>
      <c r="K339" s="43"/>
      <c r="L339" s="43"/>
      <c r="M339" s="44"/>
      <c r="U339" s="3" t="str">
        <f t="shared" si="36"/>
        <v/>
      </c>
      <c r="V339" s="3" t="str">
        <f t="shared" si="37"/>
        <v/>
      </c>
      <c r="AD339" s="6" t="str">
        <f t="shared" si="38"/>
        <v/>
      </c>
    </row>
    <row r="340" spans="1:30" x14ac:dyDescent="0.25">
      <c r="A340" s="39"/>
      <c r="B340" s="40"/>
      <c r="C340" s="2"/>
      <c r="D340" s="43"/>
      <c r="E340" s="40"/>
      <c r="F340" s="2"/>
      <c r="G340" s="43"/>
      <c r="H340" s="40"/>
      <c r="I340" s="41"/>
      <c r="J340" s="41"/>
      <c r="K340" s="43"/>
      <c r="L340" s="43"/>
      <c r="M340" s="44"/>
      <c r="U340" s="3" t="str">
        <f t="shared" si="36"/>
        <v/>
      </c>
      <c r="V340" s="3" t="str">
        <f t="shared" si="37"/>
        <v/>
      </c>
      <c r="AD340" s="6" t="str">
        <f t="shared" si="38"/>
        <v/>
      </c>
    </row>
    <row r="341" spans="1:30" x14ac:dyDescent="0.25">
      <c r="A341" s="39"/>
      <c r="B341" s="40"/>
      <c r="C341" s="2"/>
      <c r="D341" s="43"/>
      <c r="E341" s="40"/>
      <c r="F341" s="2"/>
      <c r="G341" s="43"/>
      <c r="H341" s="40"/>
      <c r="I341" s="41"/>
      <c r="J341" s="41"/>
      <c r="K341" s="43"/>
      <c r="L341" s="43"/>
      <c r="M341" s="44"/>
      <c r="U341" s="3" t="str">
        <f t="shared" si="36"/>
        <v/>
      </c>
      <c r="V341" s="3" t="str">
        <f t="shared" si="37"/>
        <v/>
      </c>
      <c r="AD341" s="6" t="str">
        <f t="shared" si="38"/>
        <v/>
      </c>
    </row>
    <row r="342" spans="1:30" x14ac:dyDescent="0.25">
      <c r="A342" s="39"/>
      <c r="B342" s="40"/>
      <c r="C342" s="2"/>
      <c r="D342" s="43"/>
      <c r="E342" s="40"/>
      <c r="F342" s="2"/>
      <c r="G342" s="43"/>
      <c r="H342" s="40"/>
      <c r="I342" s="41"/>
      <c r="J342" s="41"/>
      <c r="K342" s="43"/>
      <c r="L342" s="43"/>
      <c r="M342" s="44"/>
      <c r="U342" s="3" t="str">
        <f t="shared" si="36"/>
        <v/>
      </c>
      <c r="V342" s="3" t="str">
        <f t="shared" si="37"/>
        <v/>
      </c>
      <c r="AD342" s="6" t="str">
        <f t="shared" si="38"/>
        <v/>
      </c>
    </row>
    <row r="343" spans="1:30" x14ac:dyDescent="0.25">
      <c r="A343" s="39"/>
      <c r="B343" s="40"/>
      <c r="C343" s="2"/>
      <c r="D343" s="43"/>
      <c r="E343" s="40"/>
      <c r="F343" s="2"/>
      <c r="G343" s="43"/>
      <c r="H343" s="40"/>
      <c r="I343" s="41"/>
      <c r="J343" s="41"/>
      <c r="K343" s="43"/>
      <c r="L343" s="43"/>
      <c r="M343" s="44"/>
      <c r="U343" s="3" t="str">
        <f t="shared" si="36"/>
        <v/>
      </c>
      <c r="V343" s="3" t="str">
        <f t="shared" si="37"/>
        <v/>
      </c>
      <c r="AD343" s="6" t="str">
        <f t="shared" si="38"/>
        <v/>
      </c>
    </row>
    <row r="344" spans="1:30" x14ac:dyDescent="0.25">
      <c r="A344" s="39"/>
      <c r="B344" s="40"/>
      <c r="C344" s="2"/>
      <c r="D344" s="43"/>
      <c r="E344" s="40"/>
      <c r="F344" s="2"/>
      <c r="G344" s="43"/>
      <c r="H344" s="40"/>
      <c r="I344" s="41"/>
      <c r="J344" s="41"/>
      <c r="K344" s="43"/>
      <c r="L344" s="43"/>
      <c r="M344" s="44"/>
      <c r="U344" s="3" t="str">
        <f t="shared" si="36"/>
        <v/>
      </c>
      <c r="V344" s="3" t="str">
        <f t="shared" si="37"/>
        <v/>
      </c>
      <c r="AD344" s="6" t="str">
        <f t="shared" si="38"/>
        <v/>
      </c>
    </row>
    <row r="345" spans="1:30" x14ac:dyDescent="0.25">
      <c r="A345" s="39"/>
      <c r="B345" s="40"/>
      <c r="C345" s="2"/>
      <c r="D345" s="43"/>
      <c r="E345" s="40"/>
      <c r="F345" s="2"/>
      <c r="G345" s="43"/>
      <c r="H345" s="40"/>
      <c r="I345" s="41"/>
      <c r="J345" s="41"/>
      <c r="K345" s="43"/>
      <c r="L345" s="43"/>
      <c r="M345" s="44"/>
      <c r="U345" s="3" t="str">
        <f t="shared" si="36"/>
        <v/>
      </c>
      <c r="V345" s="3" t="str">
        <f t="shared" si="37"/>
        <v/>
      </c>
      <c r="AD345" s="6" t="str">
        <f t="shared" si="38"/>
        <v/>
      </c>
    </row>
    <row r="346" spans="1:30" x14ac:dyDescent="0.25">
      <c r="A346" s="39"/>
      <c r="B346" s="40"/>
      <c r="C346" s="2"/>
      <c r="D346" s="43"/>
      <c r="E346" s="40"/>
      <c r="F346" s="2"/>
      <c r="G346" s="43"/>
      <c r="H346" s="40"/>
      <c r="I346" s="41"/>
      <c r="J346" s="41"/>
      <c r="K346" s="43"/>
      <c r="L346" s="43"/>
      <c r="M346" s="44"/>
      <c r="U346" s="3" t="str">
        <f t="shared" si="36"/>
        <v/>
      </c>
      <c r="V346" s="3" t="str">
        <f t="shared" si="37"/>
        <v/>
      </c>
      <c r="AD346" s="6" t="str">
        <f t="shared" si="38"/>
        <v/>
      </c>
    </row>
    <row r="347" spans="1:30" x14ac:dyDescent="0.25">
      <c r="A347" s="39"/>
      <c r="B347" s="40"/>
      <c r="C347" s="2"/>
      <c r="D347" s="43"/>
      <c r="E347" s="40"/>
      <c r="F347" s="2"/>
      <c r="G347" s="43"/>
      <c r="H347" s="40"/>
      <c r="I347" s="41"/>
      <c r="J347" s="41"/>
      <c r="K347" s="43"/>
      <c r="L347" s="43"/>
      <c r="M347" s="44"/>
      <c r="U347" s="3" t="str">
        <f t="shared" si="36"/>
        <v/>
      </c>
      <c r="V347" s="3" t="str">
        <f t="shared" si="37"/>
        <v/>
      </c>
      <c r="AD347" s="6" t="str">
        <f t="shared" si="38"/>
        <v/>
      </c>
    </row>
    <row r="348" spans="1:30" x14ac:dyDescent="0.25">
      <c r="A348" s="39"/>
      <c r="B348" s="40"/>
      <c r="C348" s="2"/>
      <c r="D348" s="43"/>
      <c r="E348" s="40"/>
      <c r="F348" s="2"/>
      <c r="G348" s="43"/>
      <c r="H348" s="40"/>
      <c r="I348" s="41"/>
      <c r="J348" s="41"/>
      <c r="K348" s="43"/>
      <c r="L348" s="43"/>
      <c r="M348" s="44"/>
      <c r="U348" s="3" t="str">
        <f t="shared" si="36"/>
        <v/>
      </c>
      <c r="V348" s="3" t="str">
        <f t="shared" si="37"/>
        <v/>
      </c>
      <c r="AD348" s="6" t="str">
        <f t="shared" si="38"/>
        <v/>
      </c>
    </row>
    <row r="349" spans="1:30" x14ac:dyDescent="0.25">
      <c r="A349" s="39"/>
      <c r="B349" s="40"/>
      <c r="C349" s="2"/>
      <c r="D349" s="43"/>
      <c r="E349" s="40"/>
      <c r="F349" s="2"/>
      <c r="G349" s="43"/>
      <c r="H349" s="40"/>
      <c r="I349" s="41"/>
      <c r="J349" s="41"/>
      <c r="K349" s="43"/>
      <c r="L349" s="43"/>
      <c r="M349" s="44"/>
      <c r="U349" s="3" t="str">
        <f t="shared" si="36"/>
        <v/>
      </c>
      <c r="V349" s="3" t="str">
        <f t="shared" si="37"/>
        <v/>
      </c>
      <c r="AD349" s="6" t="str">
        <f t="shared" si="38"/>
        <v/>
      </c>
    </row>
    <row r="350" spans="1:30" x14ac:dyDescent="0.25">
      <c r="A350" s="39"/>
      <c r="B350" s="40"/>
      <c r="C350" s="2"/>
      <c r="D350" s="43"/>
      <c r="E350" s="40"/>
      <c r="F350" s="2"/>
      <c r="G350" s="43"/>
      <c r="H350" s="40"/>
      <c r="I350" s="41"/>
      <c r="J350" s="41"/>
      <c r="K350" s="43"/>
      <c r="L350" s="43"/>
      <c r="M350" s="44"/>
      <c r="U350" s="3" t="str">
        <f t="shared" si="36"/>
        <v/>
      </c>
      <c r="V350" s="3" t="str">
        <f t="shared" si="37"/>
        <v/>
      </c>
      <c r="AD350" s="6" t="str">
        <f t="shared" si="38"/>
        <v/>
      </c>
    </row>
    <row r="351" spans="1:30" x14ac:dyDescent="0.25">
      <c r="A351" s="39"/>
      <c r="B351" s="40"/>
      <c r="C351" s="2"/>
      <c r="D351" s="43"/>
      <c r="E351" s="40"/>
      <c r="F351" s="2"/>
      <c r="G351" s="43"/>
      <c r="H351" s="40"/>
      <c r="I351" s="41"/>
      <c r="J351" s="41"/>
      <c r="K351" s="43"/>
      <c r="L351" s="43"/>
      <c r="M351" s="44"/>
      <c r="U351" s="3" t="str">
        <f t="shared" si="36"/>
        <v/>
      </c>
      <c r="V351" s="3" t="str">
        <f t="shared" si="37"/>
        <v/>
      </c>
      <c r="AD351" s="6" t="str">
        <f t="shared" si="38"/>
        <v/>
      </c>
    </row>
    <row r="352" spans="1:30" x14ac:dyDescent="0.25">
      <c r="A352" s="39"/>
      <c r="B352" s="40"/>
      <c r="C352" s="2"/>
      <c r="D352" s="43"/>
      <c r="E352" s="40"/>
      <c r="F352" s="2"/>
      <c r="G352" s="43"/>
      <c r="H352" s="40"/>
      <c r="I352" s="41"/>
      <c r="J352" s="41"/>
      <c r="K352" s="43"/>
      <c r="L352" s="43"/>
      <c r="M352" s="44"/>
      <c r="U352" s="3" t="str">
        <f t="shared" si="36"/>
        <v/>
      </c>
      <c r="V352" s="3" t="str">
        <f t="shared" si="37"/>
        <v/>
      </c>
      <c r="AD352" s="6" t="str">
        <f t="shared" si="38"/>
        <v/>
      </c>
    </row>
    <row r="353" spans="1:30" x14ac:dyDescent="0.25">
      <c r="A353" s="39"/>
      <c r="B353" s="40"/>
      <c r="C353" s="2"/>
      <c r="D353" s="43"/>
      <c r="E353" s="40"/>
      <c r="F353" s="2"/>
      <c r="G353" s="43"/>
      <c r="H353" s="40"/>
      <c r="I353" s="41"/>
      <c r="J353" s="41"/>
      <c r="K353" s="43"/>
      <c r="L353" s="43"/>
      <c r="M353" s="44"/>
      <c r="U353" s="3" t="str">
        <f t="shared" si="36"/>
        <v/>
      </c>
      <c r="V353" s="3" t="str">
        <f t="shared" si="37"/>
        <v/>
      </c>
      <c r="AD353" s="6" t="str">
        <f t="shared" si="38"/>
        <v/>
      </c>
    </row>
    <row r="354" spans="1:30" x14ac:dyDescent="0.25">
      <c r="A354" s="39"/>
      <c r="B354" s="40"/>
      <c r="C354" s="2"/>
      <c r="D354" s="43"/>
      <c r="E354" s="40"/>
      <c r="F354" s="2"/>
      <c r="G354" s="43"/>
      <c r="H354" s="40"/>
      <c r="I354" s="41"/>
      <c r="J354" s="41"/>
      <c r="K354" s="43"/>
      <c r="L354" s="43"/>
      <c r="M354" s="44"/>
      <c r="U354" s="3" t="str">
        <f t="shared" si="36"/>
        <v/>
      </c>
      <c r="V354" s="3" t="str">
        <f t="shared" si="37"/>
        <v/>
      </c>
      <c r="AD354" s="6" t="str">
        <f t="shared" si="38"/>
        <v/>
      </c>
    </row>
    <row r="355" spans="1:30" x14ac:dyDescent="0.25">
      <c r="A355" s="39"/>
      <c r="B355" s="40"/>
      <c r="C355" s="2"/>
      <c r="D355" s="43"/>
      <c r="E355" s="40"/>
      <c r="F355" s="2"/>
      <c r="G355" s="43"/>
      <c r="H355" s="40"/>
      <c r="I355" s="41"/>
      <c r="J355" s="41"/>
      <c r="K355" s="43"/>
      <c r="L355" s="43"/>
      <c r="M355" s="44"/>
      <c r="U355" s="3" t="str">
        <f t="shared" si="36"/>
        <v/>
      </c>
      <c r="V355" s="3" t="str">
        <f t="shared" si="37"/>
        <v/>
      </c>
      <c r="AD355" s="6" t="str">
        <f t="shared" si="38"/>
        <v/>
      </c>
    </row>
    <row r="356" spans="1:30" x14ac:dyDescent="0.25">
      <c r="A356" s="39"/>
      <c r="B356" s="40"/>
      <c r="C356" s="2"/>
      <c r="D356" s="43"/>
      <c r="E356" s="40"/>
      <c r="F356" s="2"/>
      <c r="G356" s="43"/>
      <c r="H356" s="40"/>
      <c r="I356" s="41"/>
      <c r="J356" s="41"/>
      <c r="K356" s="43"/>
      <c r="L356" s="43"/>
      <c r="M356" s="44"/>
      <c r="U356" s="3" t="str">
        <f t="shared" si="36"/>
        <v/>
      </c>
      <c r="V356" s="3" t="str">
        <f t="shared" si="37"/>
        <v/>
      </c>
      <c r="AD356" s="6" t="str">
        <f t="shared" si="38"/>
        <v/>
      </c>
    </row>
    <row r="357" spans="1:30" x14ac:dyDescent="0.25">
      <c r="A357" s="39"/>
      <c r="B357" s="40"/>
      <c r="C357" s="2"/>
      <c r="D357" s="43"/>
      <c r="E357" s="40"/>
      <c r="F357" s="2"/>
      <c r="G357" s="43"/>
      <c r="H357" s="40"/>
      <c r="I357" s="41"/>
      <c r="J357" s="41"/>
      <c r="K357" s="43"/>
      <c r="L357" s="43"/>
      <c r="M357" s="44"/>
      <c r="U357" s="3" t="str">
        <f t="shared" si="36"/>
        <v/>
      </c>
      <c r="V357" s="3" t="str">
        <f t="shared" si="37"/>
        <v/>
      </c>
      <c r="AD357" s="6" t="str">
        <f t="shared" si="38"/>
        <v/>
      </c>
    </row>
    <row r="358" spans="1:30" x14ac:dyDescent="0.25">
      <c r="A358" s="39"/>
      <c r="B358" s="40"/>
      <c r="C358" s="2"/>
      <c r="D358" s="43"/>
      <c r="E358" s="40"/>
      <c r="F358" s="2"/>
      <c r="G358" s="43"/>
      <c r="H358" s="40"/>
      <c r="I358" s="41"/>
      <c r="J358" s="41"/>
      <c r="K358" s="43"/>
      <c r="L358" s="43"/>
      <c r="M358" s="44"/>
      <c r="U358" s="3" t="str">
        <f t="shared" si="36"/>
        <v/>
      </c>
      <c r="V358" s="3" t="str">
        <f t="shared" si="37"/>
        <v/>
      </c>
      <c r="AD358" s="6" t="str">
        <f t="shared" si="38"/>
        <v/>
      </c>
    </row>
    <row r="359" spans="1:30" x14ac:dyDescent="0.25">
      <c r="A359" s="39"/>
      <c r="B359" s="40"/>
      <c r="C359" s="2"/>
      <c r="D359" s="43"/>
      <c r="E359" s="40"/>
      <c r="F359" s="2"/>
      <c r="G359" s="43"/>
      <c r="H359" s="40"/>
      <c r="I359" s="41"/>
      <c r="J359" s="41"/>
      <c r="K359" s="43"/>
      <c r="L359" s="43"/>
      <c r="M359" s="44"/>
      <c r="U359" s="3" t="str">
        <f t="shared" si="36"/>
        <v/>
      </c>
      <c r="V359" s="3" t="str">
        <f t="shared" si="37"/>
        <v/>
      </c>
      <c r="AD359" s="6" t="str">
        <f t="shared" si="38"/>
        <v/>
      </c>
    </row>
    <row r="360" spans="1:30" x14ac:dyDescent="0.25">
      <c r="A360" s="39"/>
      <c r="B360" s="40"/>
      <c r="C360" s="2"/>
      <c r="D360" s="43"/>
      <c r="E360" s="40"/>
      <c r="F360" s="2"/>
      <c r="G360" s="43"/>
      <c r="H360" s="40"/>
      <c r="I360" s="41"/>
      <c r="J360" s="41"/>
      <c r="K360" s="43"/>
      <c r="L360" s="43"/>
      <c r="M360" s="44"/>
      <c r="U360" s="3" t="str">
        <f t="shared" si="36"/>
        <v/>
      </c>
      <c r="V360" s="3" t="str">
        <f t="shared" si="37"/>
        <v/>
      </c>
      <c r="AD360" s="6" t="str">
        <f t="shared" si="38"/>
        <v/>
      </c>
    </row>
    <row r="361" spans="1:30" x14ac:dyDescent="0.25">
      <c r="A361" s="39"/>
      <c r="B361" s="40"/>
      <c r="C361" s="2"/>
      <c r="D361" s="43"/>
      <c r="E361" s="40"/>
      <c r="F361" s="2"/>
      <c r="G361" s="43"/>
      <c r="H361" s="40"/>
      <c r="I361" s="41"/>
      <c r="J361" s="41"/>
      <c r="K361" s="43"/>
      <c r="L361" s="43"/>
      <c r="M361" s="44"/>
      <c r="U361" s="3" t="str">
        <f t="shared" si="36"/>
        <v/>
      </c>
      <c r="V361" s="3" t="str">
        <f t="shared" si="37"/>
        <v/>
      </c>
      <c r="AD361" s="6" t="str">
        <f t="shared" si="38"/>
        <v/>
      </c>
    </row>
    <row r="362" spans="1:30" x14ac:dyDescent="0.25">
      <c r="A362" s="39"/>
      <c r="B362" s="40"/>
      <c r="C362" s="2"/>
      <c r="D362" s="43"/>
      <c r="E362" s="40"/>
      <c r="F362" s="2"/>
      <c r="G362" s="43"/>
      <c r="H362" s="40"/>
      <c r="I362" s="41"/>
      <c r="J362" s="41"/>
      <c r="K362" s="43"/>
      <c r="L362" s="43"/>
      <c r="M362" s="44"/>
      <c r="U362" s="3" t="str">
        <f t="shared" si="36"/>
        <v/>
      </c>
      <c r="V362" s="3" t="str">
        <f t="shared" si="37"/>
        <v/>
      </c>
      <c r="AD362" s="6" t="str">
        <f t="shared" si="38"/>
        <v/>
      </c>
    </row>
    <row r="363" spans="1:30" x14ac:dyDescent="0.25">
      <c r="A363" s="39"/>
      <c r="B363" s="40"/>
      <c r="C363" s="2"/>
      <c r="D363" s="43"/>
      <c r="E363" s="40"/>
      <c r="F363" s="2"/>
      <c r="G363" s="43"/>
      <c r="H363" s="40"/>
      <c r="I363" s="41"/>
      <c r="J363" s="41"/>
      <c r="K363" s="43"/>
      <c r="L363" s="43"/>
      <c r="M363" s="44"/>
      <c r="U363" s="3" t="str">
        <f t="shared" si="36"/>
        <v/>
      </c>
      <c r="V363" s="3" t="str">
        <f t="shared" si="37"/>
        <v/>
      </c>
      <c r="AD363" s="6" t="str">
        <f t="shared" si="38"/>
        <v/>
      </c>
    </row>
    <row r="364" spans="1:30" x14ac:dyDescent="0.25">
      <c r="A364" s="39"/>
      <c r="B364" s="40"/>
      <c r="C364" s="2"/>
      <c r="D364" s="43"/>
      <c r="E364" s="40"/>
      <c r="F364" s="2"/>
      <c r="G364" s="43"/>
      <c r="H364" s="40"/>
      <c r="I364" s="41"/>
      <c r="J364" s="41"/>
      <c r="K364" s="43"/>
      <c r="L364" s="43"/>
      <c r="M364" s="44"/>
      <c r="U364" s="3" t="str">
        <f t="shared" si="36"/>
        <v/>
      </c>
      <c r="V364" s="3" t="str">
        <f t="shared" si="37"/>
        <v/>
      </c>
      <c r="AD364" s="6" t="str">
        <f t="shared" si="38"/>
        <v/>
      </c>
    </row>
    <row r="365" spans="1:30" x14ac:dyDescent="0.25">
      <c r="A365" s="39"/>
      <c r="B365" s="40"/>
      <c r="C365" s="2"/>
      <c r="D365" s="43"/>
      <c r="E365" s="40"/>
      <c r="F365" s="2"/>
      <c r="G365" s="43"/>
      <c r="H365" s="40"/>
      <c r="I365" s="41"/>
      <c r="J365" s="41"/>
      <c r="K365" s="43"/>
      <c r="L365" s="43"/>
      <c r="M365" s="44"/>
      <c r="U365" s="3" t="str">
        <f t="shared" si="36"/>
        <v/>
      </c>
      <c r="V365" s="3" t="str">
        <f t="shared" si="37"/>
        <v/>
      </c>
      <c r="AD365" s="6" t="str">
        <f t="shared" si="38"/>
        <v/>
      </c>
    </row>
    <row r="366" spans="1:30" x14ac:dyDescent="0.25">
      <c r="A366" s="39"/>
      <c r="B366" s="40"/>
      <c r="C366" s="2"/>
      <c r="D366" s="43"/>
      <c r="E366" s="40"/>
      <c r="F366" s="2"/>
      <c r="G366" s="43"/>
      <c r="H366" s="40"/>
      <c r="I366" s="41"/>
      <c r="J366" s="41"/>
      <c r="K366" s="43"/>
      <c r="L366" s="43"/>
      <c r="M366" s="44"/>
      <c r="U366" s="3" t="str">
        <f t="shared" si="36"/>
        <v/>
      </c>
      <c r="V366" s="3" t="str">
        <f t="shared" si="37"/>
        <v/>
      </c>
      <c r="AD366" s="6" t="str">
        <f t="shared" si="38"/>
        <v/>
      </c>
    </row>
    <row r="367" spans="1:30" x14ac:dyDescent="0.25">
      <c r="A367" s="39"/>
      <c r="B367" s="40"/>
      <c r="C367" s="2"/>
      <c r="D367" s="43"/>
      <c r="E367" s="40"/>
      <c r="F367" s="2"/>
      <c r="G367" s="43"/>
      <c r="H367" s="40"/>
      <c r="I367" s="41"/>
      <c r="J367" s="41"/>
      <c r="K367" s="43"/>
      <c r="L367" s="43"/>
      <c r="M367" s="44"/>
      <c r="U367" s="3" t="str">
        <f t="shared" si="36"/>
        <v/>
      </c>
      <c r="V367" s="3" t="str">
        <f t="shared" si="37"/>
        <v/>
      </c>
      <c r="AD367" s="6" t="str">
        <f t="shared" si="38"/>
        <v/>
      </c>
    </row>
    <row r="368" spans="1:30" x14ac:dyDescent="0.25">
      <c r="A368" s="39"/>
      <c r="B368" s="40"/>
      <c r="C368" s="2"/>
      <c r="D368" s="43"/>
      <c r="E368" s="40"/>
      <c r="F368" s="2"/>
      <c r="G368" s="43"/>
      <c r="H368" s="40"/>
      <c r="I368" s="41"/>
      <c r="J368" s="41"/>
      <c r="K368" s="43"/>
      <c r="L368" s="43"/>
      <c r="M368" s="44"/>
      <c r="U368" s="3" t="str">
        <f t="shared" si="36"/>
        <v/>
      </c>
      <c r="V368" s="3" t="str">
        <f t="shared" si="37"/>
        <v/>
      </c>
      <c r="AD368" s="6" t="str">
        <f t="shared" si="38"/>
        <v/>
      </c>
    </row>
    <row r="369" spans="1:30" x14ac:dyDescent="0.25">
      <c r="A369" s="39"/>
      <c r="B369" s="40"/>
      <c r="C369" s="2"/>
      <c r="D369" s="43"/>
      <c r="E369" s="40"/>
      <c r="F369" s="2"/>
      <c r="G369" s="43"/>
      <c r="H369" s="40"/>
      <c r="I369" s="41"/>
      <c r="J369" s="41"/>
      <c r="K369" s="43"/>
      <c r="L369" s="43"/>
      <c r="M369" s="44"/>
      <c r="U369" s="3" t="str">
        <f t="shared" si="36"/>
        <v/>
      </c>
      <c r="V369" s="3" t="str">
        <f t="shared" si="37"/>
        <v/>
      </c>
      <c r="AD369" s="6" t="str">
        <f t="shared" si="38"/>
        <v/>
      </c>
    </row>
    <row r="370" spans="1:30" x14ac:dyDescent="0.25">
      <c r="A370" s="39"/>
      <c r="B370" s="40"/>
      <c r="C370" s="2"/>
      <c r="D370" s="43"/>
      <c r="E370" s="40"/>
      <c r="F370" s="2"/>
      <c r="G370" s="43"/>
      <c r="H370" s="40"/>
      <c r="I370" s="41"/>
      <c r="J370" s="41"/>
      <c r="K370" s="43"/>
      <c r="L370" s="43"/>
      <c r="M370" s="44"/>
      <c r="U370" s="3" t="str">
        <f t="shared" si="36"/>
        <v/>
      </c>
      <c r="V370" s="3" t="str">
        <f t="shared" si="37"/>
        <v/>
      </c>
      <c r="AD370" s="6" t="str">
        <f t="shared" si="38"/>
        <v/>
      </c>
    </row>
    <row r="371" spans="1:30" x14ac:dyDescent="0.25">
      <c r="A371" s="39"/>
      <c r="B371" s="40"/>
      <c r="C371" s="2"/>
      <c r="D371" s="43"/>
      <c r="E371" s="40"/>
      <c r="F371" s="2"/>
      <c r="G371" s="43"/>
      <c r="H371" s="40"/>
      <c r="I371" s="41"/>
      <c r="J371" s="41"/>
      <c r="K371" s="43"/>
      <c r="L371" s="43"/>
      <c r="M371" s="44"/>
      <c r="U371" s="3" t="str">
        <f t="shared" si="36"/>
        <v/>
      </c>
      <c r="V371" s="3" t="str">
        <f t="shared" si="37"/>
        <v/>
      </c>
      <c r="AD371" s="6" t="str">
        <f t="shared" si="38"/>
        <v/>
      </c>
    </row>
    <row r="372" spans="1:30" x14ac:dyDescent="0.25">
      <c r="A372" s="39"/>
      <c r="B372" s="40"/>
      <c r="C372" s="2"/>
      <c r="D372" s="43"/>
      <c r="E372" s="40"/>
      <c r="F372" s="2"/>
      <c r="G372" s="43"/>
      <c r="H372" s="40"/>
      <c r="I372" s="41"/>
      <c r="J372" s="41"/>
      <c r="K372" s="43"/>
      <c r="L372" s="43"/>
      <c r="M372" s="44"/>
      <c r="U372" s="3" t="str">
        <f t="shared" si="36"/>
        <v/>
      </c>
      <c r="V372" s="3" t="str">
        <f t="shared" si="37"/>
        <v/>
      </c>
      <c r="AD372" s="6" t="str">
        <f t="shared" si="38"/>
        <v/>
      </c>
    </row>
    <row r="373" spans="1:30" x14ac:dyDescent="0.25">
      <c r="A373" s="39"/>
      <c r="B373" s="40"/>
      <c r="C373" s="2"/>
      <c r="D373" s="43"/>
      <c r="E373" s="40"/>
      <c r="F373" s="2"/>
      <c r="G373" s="43"/>
      <c r="H373" s="40"/>
      <c r="I373" s="41"/>
      <c r="J373" s="41"/>
      <c r="K373" s="43"/>
      <c r="L373" s="43"/>
      <c r="M373" s="44"/>
      <c r="U373" s="3" t="str">
        <f t="shared" si="36"/>
        <v/>
      </c>
      <c r="V373" s="3" t="str">
        <f t="shared" si="37"/>
        <v/>
      </c>
      <c r="AD373" s="6" t="str">
        <f t="shared" si="38"/>
        <v/>
      </c>
    </row>
    <row r="374" spans="1:30" x14ac:dyDescent="0.25">
      <c r="A374" s="39"/>
      <c r="B374" s="40"/>
      <c r="C374" s="2"/>
      <c r="D374" s="43"/>
      <c r="E374" s="40"/>
      <c r="F374" s="2"/>
      <c r="G374" s="43"/>
      <c r="H374" s="40"/>
      <c r="I374" s="41"/>
      <c r="J374" s="41"/>
      <c r="K374" s="43"/>
      <c r="L374" s="43"/>
      <c r="M374" s="44"/>
      <c r="U374" s="3" t="str">
        <f t="shared" si="36"/>
        <v/>
      </c>
      <c r="V374" s="3" t="str">
        <f t="shared" si="37"/>
        <v/>
      </c>
      <c r="AD374" s="6" t="str">
        <f t="shared" si="38"/>
        <v/>
      </c>
    </row>
    <row r="375" spans="1:30" x14ac:dyDescent="0.25">
      <c r="A375" s="39"/>
      <c r="B375" s="40"/>
      <c r="C375" s="2"/>
      <c r="D375" s="43"/>
      <c r="E375" s="40"/>
      <c r="F375" s="2"/>
      <c r="G375" s="43"/>
      <c r="H375" s="40"/>
      <c r="I375" s="41"/>
      <c r="J375" s="41"/>
      <c r="K375" s="43"/>
      <c r="L375" s="43"/>
      <c r="M375" s="44"/>
      <c r="U375" s="3" t="str">
        <f t="shared" si="36"/>
        <v/>
      </c>
      <c r="V375" s="3" t="str">
        <f t="shared" si="37"/>
        <v/>
      </c>
      <c r="AD375" s="6" t="str">
        <f t="shared" si="38"/>
        <v/>
      </c>
    </row>
    <row r="376" spans="1:30" x14ac:dyDescent="0.25">
      <c r="A376" s="39"/>
      <c r="B376" s="40"/>
      <c r="C376" s="2"/>
      <c r="D376" s="43"/>
      <c r="E376" s="40"/>
      <c r="F376" s="2"/>
      <c r="G376" s="43"/>
      <c r="H376" s="40"/>
      <c r="I376" s="41"/>
      <c r="J376" s="41"/>
      <c r="K376" s="43"/>
      <c r="L376" s="43"/>
      <c r="M376" s="44"/>
      <c r="U376" s="3" t="str">
        <f t="shared" si="36"/>
        <v/>
      </c>
      <c r="V376" s="3" t="str">
        <f t="shared" si="37"/>
        <v/>
      </c>
      <c r="AD376" s="6" t="str">
        <f t="shared" si="38"/>
        <v/>
      </c>
    </row>
    <row r="377" spans="1:30" x14ac:dyDescent="0.25">
      <c r="A377" s="39"/>
      <c r="B377" s="40"/>
      <c r="C377" s="2"/>
      <c r="D377" s="43"/>
      <c r="E377" s="40"/>
      <c r="F377" s="2"/>
      <c r="G377" s="43"/>
      <c r="H377" s="40"/>
      <c r="I377" s="41"/>
      <c r="J377" s="41"/>
      <c r="K377" s="43"/>
      <c r="L377" s="43"/>
      <c r="M377" s="44"/>
      <c r="U377" s="3" t="str">
        <f t="shared" si="36"/>
        <v/>
      </c>
      <c r="V377" s="3" t="str">
        <f t="shared" si="37"/>
        <v/>
      </c>
      <c r="AD377" s="6" t="str">
        <f t="shared" si="38"/>
        <v/>
      </c>
    </row>
    <row r="378" spans="1:30" x14ac:dyDescent="0.25">
      <c r="A378" s="39"/>
      <c r="B378" s="40"/>
      <c r="C378" s="2"/>
      <c r="D378" s="43"/>
      <c r="E378" s="40"/>
      <c r="F378" s="2"/>
      <c r="G378" s="43"/>
      <c r="H378" s="40"/>
      <c r="I378" s="41"/>
      <c r="J378" s="41"/>
      <c r="K378" s="43"/>
      <c r="L378" s="43"/>
      <c r="M378" s="44"/>
      <c r="U378" s="3" t="str">
        <f t="shared" si="36"/>
        <v/>
      </c>
      <c r="V378" s="3" t="str">
        <f t="shared" si="37"/>
        <v/>
      </c>
      <c r="AD378" s="6" t="str">
        <f t="shared" si="38"/>
        <v/>
      </c>
    </row>
    <row r="379" spans="1:30" x14ac:dyDescent="0.25">
      <c r="A379" s="39"/>
      <c r="B379" s="40"/>
      <c r="C379" s="2"/>
      <c r="D379" s="43"/>
      <c r="E379" s="40"/>
      <c r="F379" s="2"/>
      <c r="G379" s="43"/>
      <c r="H379" s="40"/>
      <c r="I379" s="41"/>
      <c r="J379" s="41"/>
      <c r="K379" s="43"/>
      <c r="L379" s="43"/>
      <c r="M379" s="44"/>
      <c r="U379" s="3" t="str">
        <f t="shared" si="36"/>
        <v/>
      </c>
      <c r="V379" s="3" t="str">
        <f t="shared" si="37"/>
        <v/>
      </c>
      <c r="AD379" s="6" t="str">
        <f t="shared" si="38"/>
        <v/>
      </c>
    </row>
    <row r="380" spans="1:30" x14ac:dyDescent="0.25">
      <c r="A380" s="39"/>
      <c r="B380" s="40"/>
      <c r="C380" s="2"/>
      <c r="D380" s="43"/>
      <c r="E380" s="40"/>
      <c r="F380" s="2"/>
      <c r="G380" s="43"/>
      <c r="H380" s="40"/>
      <c r="I380" s="41"/>
      <c r="J380" s="41"/>
      <c r="K380" s="43"/>
      <c r="L380" s="43"/>
      <c r="M380" s="44"/>
      <c r="U380" s="3" t="str">
        <f t="shared" si="36"/>
        <v/>
      </c>
      <c r="V380" s="3" t="str">
        <f t="shared" si="37"/>
        <v/>
      </c>
      <c r="AD380" s="6" t="str">
        <f t="shared" si="38"/>
        <v/>
      </c>
    </row>
    <row r="381" spans="1:30" x14ac:dyDescent="0.25">
      <c r="A381" s="39"/>
      <c r="B381" s="40"/>
      <c r="C381" s="2"/>
      <c r="D381" s="43"/>
      <c r="E381" s="40"/>
      <c r="F381" s="2"/>
      <c r="G381" s="43"/>
      <c r="H381" s="40"/>
      <c r="I381" s="41"/>
      <c r="J381" s="41"/>
      <c r="K381" s="43"/>
      <c r="L381" s="43"/>
      <c r="M381" s="44"/>
      <c r="U381" s="3" t="str">
        <f t="shared" si="36"/>
        <v/>
      </c>
      <c r="V381" s="3" t="str">
        <f t="shared" si="37"/>
        <v/>
      </c>
      <c r="AD381" s="6" t="str">
        <f t="shared" si="38"/>
        <v/>
      </c>
    </row>
    <row r="382" spans="1:30" x14ac:dyDescent="0.25">
      <c r="A382" s="39"/>
      <c r="B382" s="40"/>
      <c r="C382" s="2"/>
      <c r="D382" s="43"/>
      <c r="E382" s="40"/>
      <c r="F382" s="2"/>
      <c r="G382" s="43"/>
      <c r="H382" s="40"/>
      <c r="I382" s="41"/>
      <c r="J382" s="41"/>
      <c r="K382" s="43"/>
      <c r="L382" s="43"/>
      <c r="M382" s="44"/>
      <c r="U382" s="3" t="str">
        <f t="shared" si="36"/>
        <v/>
      </c>
      <c r="V382" s="3" t="str">
        <f t="shared" si="37"/>
        <v/>
      </c>
      <c r="AD382" s="6" t="str">
        <f t="shared" si="38"/>
        <v/>
      </c>
    </row>
    <row r="383" spans="1:30" x14ac:dyDescent="0.25">
      <c r="A383" s="39"/>
      <c r="B383" s="40"/>
      <c r="C383" s="2"/>
      <c r="D383" s="43"/>
      <c r="E383" s="40"/>
      <c r="F383" s="2"/>
      <c r="G383" s="43"/>
      <c r="H383" s="40"/>
      <c r="I383" s="41"/>
      <c r="J383" s="41"/>
      <c r="K383" s="43"/>
      <c r="L383" s="43"/>
      <c r="M383" s="44"/>
      <c r="U383" s="3" t="str">
        <f t="shared" si="36"/>
        <v/>
      </c>
      <c r="V383" s="3" t="str">
        <f t="shared" si="37"/>
        <v/>
      </c>
      <c r="AD383" s="6" t="str">
        <f t="shared" si="38"/>
        <v/>
      </c>
    </row>
    <row r="384" spans="1:30" x14ac:dyDescent="0.25">
      <c r="A384" s="39"/>
      <c r="B384" s="40"/>
      <c r="C384" s="2"/>
      <c r="D384" s="43"/>
      <c r="E384" s="40"/>
      <c r="F384" s="2"/>
      <c r="G384" s="43"/>
      <c r="H384" s="40"/>
      <c r="I384" s="41"/>
      <c r="J384" s="41"/>
      <c r="K384" s="43"/>
      <c r="L384" s="43"/>
      <c r="M384" s="44"/>
      <c r="U384" s="3" t="str">
        <f t="shared" si="36"/>
        <v/>
      </c>
      <c r="V384" s="3" t="str">
        <f t="shared" si="37"/>
        <v/>
      </c>
      <c r="AD384" s="6" t="str">
        <f t="shared" si="38"/>
        <v/>
      </c>
    </row>
    <row r="385" spans="1:30" x14ac:dyDescent="0.25">
      <c r="A385" s="39"/>
      <c r="B385" s="40"/>
      <c r="C385" s="2"/>
      <c r="D385" s="43"/>
      <c r="E385" s="40"/>
      <c r="F385" s="2"/>
      <c r="G385" s="43"/>
      <c r="H385" s="40"/>
      <c r="I385" s="41"/>
      <c r="J385" s="41"/>
      <c r="K385" s="43"/>
      <c r="L385" s="43"/>
      <c r="M385" s="44"/>
      <c r="U385" s="3" t="str">
        <f t="shared" si="36"/>
        <v/>
      </c>
      <c r="V385" s="3" t="str">
        <f t="shared" si="37"/>
        <v/>
      </c>
      <c r="AD385" s="6" t="str">
        <f t="shared" si="38"/>
        <v/>
      </c>
    </row>
    <row r="386" spans="1:30" x14ac:dyDescent="0.25">
      <c r="A386" s="39"/>
      <c r="B386" s="40"/>
      <c r="C386" s="2"/>
      <c r="D386" s="43"/>
      <c r="E386" s="40"/>
      <c r="F386" s="2"/>
      <c r="G386" s="43"/>
      <c r="H386" s="40"/>
      <c r="I386" s="41"/>
      <c r="J386" s="41"/>
      <c r="K386" s="43"/>
      <c r="L386" s="43"/>
      <c r="M386" s="44"/>
      <c r="U386" s="3" t="str">
        <f t="shared" si="36"/>
        <v/>
      </c>
      <c r="V386" s="3" t="str">
        <f t="shared" si="37"/>
        <v/>
      </c>
      <c r="AD386" s="6" t="str">
        <f t="shared" si="38"/>
        <v/>
      </c>
    </row>
    <row r="387" spans="1:30" x14ac:dyDescent="0.25">
      <c r="A387" s="39"/>
      <c r="B387" s="40"/>
      <c r="C387" s="2"/>
      <c r="D387" s="43"/>
      <c r="E387" s="40"/>
      <c r="F387" s="2"/>
      <c r="G387" s="43"/>
      <c r="H387" s="40"/>
      <c r="I387" s="41"/>
      <c r="J387" s="41"/>
      <c r="K387" s="43"/>
      <c r="L387" s="43"/>
      <c r="M387" s="44"/>
      <c r="U387" s="3" t="str">
        <f t="shared" si="36"/>
        <v/>
      </c>
      <c r="V387" s="3" t="str">
        <f t="shared" si="37"/>
        <v/>
      </c>
      <c r="AD387" s="6" t="str">
        <f t="shared" si="38"/>
        <v/>
      </c>
    </row>
    <row r="388" spans="1:30" x14ac:dyDescent="0.25">
      <c r="A388" s="39"/>
      <c r="B388" s="40"/>
      <c r="C388" s="2"/>
      <c r="D388" s="43"/>
      <c r="E388" s="40"/>
      <c r="F388" s="2"/>
      <c r="G388" s="43"/>
      <c r="H388" s="40"/>
      <c r="I388" s="41"/>
      <c r="J388" s="41"/>
      <c r="K388" s="43"/>
      <c r="L388" s="43"/>
      <c r="M388" s="44"/>
      <c r="U388" s="3" t="str">
        <f t="shared" ref="U388:U451" si="39">IF(COUNTIF(Q:Q,O388)*COUNTIF(S:S,O388),O388,"")</f>
        <v/>
      </c>
      <c r="V388" s="3" t="str">
        <f t="shared" ref="V388:V451" si="40">IF(U388&gt;$A$14,U388,"")</f>
        <v/>
      </c>
      <c r="AD388" s="6" t="str">
        <f t="shared" ref="AD388:AD421" si="41">IF(COUNTIF(AB:AB,Z388),Z388,"")</f>
        <v/>
      </c>
    </row>
    <row r="389" spans="1:30" x14ac:dyDescent="0.25">
      <c r="A389" s="39"/>
      <c r="B389" s="40"/>
      <c r="C389" s="2"/>
      <c r="D389" s="43"/>
      <c r="E389" s="40"/>
      <c r="F389" s="2"/>
      <c r="G389" s="43"/>
      <c r="H389" s="40"/>
      <c r="I389" s="41"/>
      <c r="J389" s="41"/>
      <c r="K389" s="43"/>
      <c r="L389" s="43"/>
      <c r="M389" s="44"/>
      <c r="U389" s="3" t="str">
        <f t="shared" si="39"/>
        <v/>
      </c>
      <c r="V389" s="3" t="str">
        <f t="shared" si="40"/>
        <v/>
      </c>
      <c r="AD389" s="6" t="str">
        <f t="shared" si="41"/>
        <v/>
      </c>
    </row>
    <row r="390" spans="1:30" x14ac:dyDescent="0.25">
      <c r="A390" s="39"/>
      <c r="B390" s="40"/>
      <c r="C390" s="2"/>
      <c r="D390" s="43"/>
      <c r="E390" s="40"/>
      <c r="F390" s="2"/>
      <c r="G390" s="43"/>
      <c r="H390" s="40"/>
      <c r="I390" s="41"/>
      <c r="J390" s="41"/>
      <c r="K390" s="43"/>
      <c r="L390" s="43"/>
      <c r="M390" s="44"/>
      <c r="U390" s="3" t="str">
        <f t="shared" si="39"/>
        <v/>
      </c>
      <c r="V390" s="3" t="str">
        <f t="shared" si="40"/>
        <v/>
      </c>
      <c r="AD390" s="6" t="str">
        <f t="shared" si="41"/>
        <v/>
      </c>
    </row>
    <row r="391" spans="1:30" x14ac:dyDescent="0.25">
      <c r="A391" s="39"/>
      <c r="B391" s="40"/>
      <c r="C391" s="2"/>
      <c r="D391" s="43"/>
      <c r="E391" s="40"/>
      <c r="F391" s="2"/>
      <c r="G391" s="43"/>
      <c r="H391" s="40"/>
      <c r="I391" s="41"/>
      <c r="J391" s="41"/>
      <c r="K391" s="43"/>
      <c r="L391" s="43"/>
      <c r="M391" s="44"/>
      <c r="U391" s="3" t="str">
        <f t="shared" si="39"/>
        <v/>
      </c>
      <c r="V391" s="3" t="str">
        <f t="shared" si="40"/>
        <v/>
      </c>
      <c r="AD391" s="6" t="str">
        <f t="shared" si="41"/>
        <v/>
      </c>
    </row>
    <row r="392" spans="1:30" x14ac:dyDescent="0.25">
      <c r="A392" s="39"/>
      <c r="B392" s="40"/>
      <c r="C392" s="2"/>
      <c r="D392" s="43"/>
      <c r="E392" s="40"/>
      <c r="F392" s="2"/>
      <c r="G392" s="43"/>
      <c r="H392" s="40"/>
      <c r="I392" s="41"/>
      <c r="J392" s="41"/>
      <c r="K392" s="43"/>
      <c r="L392" s="43"/>
      <c r="M392" s="44"/>
      <c r="U392" s="3" t="str">
        <f t="shared" si="39"/>
        <v/>
      </c>
      <c r="V392" s="3" t="str">
        <f t="shared" si="40"/>
        <v/>
      </c>
      <c r="AD392" s="6" t="str">
        <f t="shared" si="41"/>
        <v/>
      </c>
    </row>
    <row r="393" spans="1:30" x14ac:dyDescent="0.25">
      <c r="A393" s="39"/>
      <c r="B393" s="40"/>
      <c r="C393" s="2"/>
      <c r="D393" s="43"/>
      <c r="E393" s="40"/>
      <c r="F393" s="2"/>
      <c r="G393" s="43"/>
      <c r="H393" s="40"/>
      <c r="I393" s="41"/>
      <c r="J393" s="41"/>
      <c r="K393" s="43"/>
      <c r="L393" s="43"/>
      <c r="M393" s="44"/>
      <c r="U393" s="3" t="str">
        <f t="shared" si="39"/>
        <v/>
      </c>
      <c r="V393" s="3" t="str">
        <f t="shared" si="40"/>
        <v/>
      </c>
      <c r="AD393" s="6" t="str">
        <f t="shared" si="41"/>
        <v/>
      </c>
    </row>
    <row r="394" spans="1:30" x14ac:dyDescent="0.25">
      <c r="A394" s="39"/>
      <c r="B394" s="40"/>
      <c r="C394" s="2"/>
      <c r="D394" s="43"/>
      <c r="E394" s="40"/>
      <c r="F394" s="2"/>
      <c r="G394" s="43"/>
      <c r="H394" s="40"/>
      <c r="I394" s="41"/>
      <c r="J394" s="41"/>
      <c r="K394" s="43"/>
      <c r="L394" s="43"/>
      <c r="M394" s="44"/>
      <c r="U394" s="3" t="str">
        <f t="shared" si="39"/>
        <v/>
      </c>
      <c r="V394" s="3" t="str">
        <f t="shared" si="40"/>
        <v/>
      </c>
      <c r="AD394" s="6" t="str">
        <f t="shared" si="41"/>
        <v/>
      </c>
    </row>
    <row r="395" spans="1:30" x14ac:dyDescent="0.25">
      <c r="A395" s="39"/>
      <c r="B395" s="40"/>
      <c r="C395" s="2"/>
      <c r="D395" s="43"/>
      <c r="E395" s="40"/>
      <c r="F395" s="2"/>
      <c r="G395" s="43"/>
      <c r="H395" s="40"/>
      <c r="I395" s="41"/>
      <c r="J395" s="41"/>
      <c r="K395" s="43"/>
      <c r="L395" s="43"/>
      <c r="M395" s="44"/>
      <c r="U395" s="3" t="str">
        <f t="shared" si="39"/>
        <v/>
      </c>
      <c r="V395" s="3" t="str">
        <f t="shared" si="40"/>
        <v/>
      </c>
      <c r="AD395" s="6" t="str">
        <f t="shared" si="41"/>
        <v/>
      </c>
    </row>
    <row r="396" spans="1:30" x14ac:dyDescent="0.25">
      <c r="A396" s="39"/>
      <c r="B396" s="40"/>
      <c r="C396" s="2"/>
      <c r="D396" s="43"/>
      <c r="E396" s="40"/>
      <c r="F396" s="2"/>
      <c r="G396" s="43"/>
      <c r="H396" s="40"/>
      <c r="I396" s="41"/>
      <c r="J396" s="41"/>
      <c r="K396" s="43"/>
      <c r="L396" s="43"/>
      <c r="M396" s="44"/>
      <c r="U396" s="3" t="str">
        <f t="shared" si="39"/>
        <v/>
      </c>
      <c r="V396" s="3" t="str">
        <f t="shared" si="40"/>
        <v/>
      </c>
      <c r="AD396" s="6" t="str">
        <f t="shared" si="41"/>
        <v/>
      </c>
    </row>
    <row r="397" spans="1:30" x14ac:dyDescent="0.25">
      <c r="A397" s="39"/>
      <c r="B397" s="40"/>
      <c r="C397" s="2"/>
      <c r="D397" s="43"/>
      <c r="E397" s="40"/>
      <c r="F397" s="2"/>
      <c r="G397" s="43"/>
      <c r="H397" s="40"/>
      <c r="I397" s="41"/>
      <c r="J397" s="41"/>
      <c r="K397" s="43"/>
      <c r="L397" s="43"/>
      <c r="M397" s="44"/>
      <c r="U397" s="3" t="str">
        <f t="shared" si="39"/>
        <v/>
      </c>
      <c r="V397" s="3" t="str">
        <f t="shared" si="40"/>
        <v/>
      </c>
      <c r="AD397" s="6" t="str">
        <f t="shared" si="41"/>
        <v/>
      </c>
    </row>
    <row r="398" spans="1:30" x14ac:dyDescent="0.25">
      <c r="A398" s="39"/>
      <c r="B398" s="40"/>
      <c r="C398" s="2"/>
      <c r="D398" s="43"/>
      <c r="E398" s="40"/>
      <c r="F398" s="2"/>
      <c r="G398" s="43"/>
      <c r="H398" s="40"/>
      <c r="I398" s="41"/>
      <c r="J398" s="41"/>
      <c r="K398" s="43"/>
      <c r="L398" s="43"/>
      <c r="M398" s="44"/>
      <c r="U398" s="3" t="str">
        <f t="shared" si="39"/>
        <v/>
      </c>
      <c r="V398" s="3" t="str">
        <f t="shared" si="40"/>
        <v/>
      </c>
      <c r="AD398" s="6" t="str">
        <f t="shared" si="41"/>
        <v/>
      </c>
    </row>
    <row r="399" spans="1:30" x14ac:dyDescent="0.25">
      <c r="A399" s="39"/>
      <c r="B399" s="40"/>
      <c r="C399" s="2"/>
      <c r="D399" s="43"/>
      <c r="E399" s="40"/>
      <c r="F399" s="2"/>
      <c r="G399" s="43"/>
      <c r="H399" s="40"/>
      <c r="I399" s="41"/>
      <c r="J399" s="41"/>
      <c r="K399" s="43"/>
      <c r="L399" s="43"/>
      <c r="M399" s="44"/>
      <c r="U399" s="3" t="str">
        <f t="shared" si="39"/>
        <v/>
      </c>
      <c r="V399" s="3" t="str">
        <f t="shared" si="40"/>
        <v/>
      </c>
      <c r="AD399" s="6" t="str">
        <f t="shared" si="41"/>
        <v/>
      </c>
    </row>
    <row r="400" spans="1:30" x14ac:dyDescent="0.25">
      <c r="A400" s="39"/>
      <c r="B400" s="40"/>
      <c r="C400" s="2"/>
      <c r="D400" s="43"/>
      <c r="E400" s="40"/>
      <c r="F400" s="2"/>
      <c r="G400" s="43"/>
      <c r="H400" s="40"/>
      <c r="I400" s="41"/>
      <c r="J400" s="41"/>
      <c r="K400" s="43"/>
      <c r="L400" s="43"/>
      <c r="M400" s="44"/>
      <c r="U400" s="3" t="str">
        <f t="shared" si="39"/>
        <v/>
      </c>
      <c r="V400" s="3" t="str">
        <f t="shared" si="40"/>
        <v/>
      </c>
      <c r="AD400" s="6" t="str">
        <f t="shared" si="41"/>
        <v/>
      </c>
    </row>
    <row r="401" spans="1:30" x14ac:dyDescent="0.25">
      <c r="A401" s="39"/>
      <c r="B401" s="40"/>
      <c r="C401" s="2"/>
      <c r="D401" s="43"/>
      <c r="E401" s="40"/>
      <c r="F401" s="2"/>
      <c r="G401" s="43"/>
      <c r="H401" s="40"/>
      <c r="I401" s="41"/>
      <c r="J401" s="41"/>
      <c r="K401" s="43"/>
      <c r="L401" s="43"/>
      <c r="M401" s="44"/>
      <c r="U401" s="3" t="str">
        <f t="shared" si="39"/>
        <v/>
      </c>
      <c r="V401" s="3" t="str">
        <f t="shared" si="40"/>
        <v/>
      </c>
      <c r="AD401" s="6" t="str">
        <f t="shared" si="41"/>
        <v/>
      </c>
    </row>
    <row r="402" spans="1:30" x14ac:dyDescent="0.25">
      <c r="A402" s="39"/>
      <c r="B402" s="40"/>
      <c r="C402" s="2"/>
      <c r="D402" s="43"/>
      <c r="E402" s="40"/>
      <c r="F402" s="2"/>
      <c r="G402" s="43"/>
      <c r="H402" s="40"/>
      <c r="I402" s="41"/>
      <c r="J402" s="41"/>
      <c r="K402" s="43"/>
      <c r="L402" s="43"/>
      <c r="M402" s="44"/>
      <c r="U402" s="3" t="str">
        <f t="shared" si="39"/>
        <v/>
      </c>
      <c r="V402" s="3" t="str">
        <f t="shared" si="40"/>
        <v/>
      </c>
      <c r="AD402" s="6" t="str">
        <f t="shared" si="41"/>
        <v/>
      </c>
    </row>
    <row r="403" spans="1:30" x14ac:dyDescent="0.25">
      <c r="A403" s="39"/>
      <c r="B403" s="40"/>
      <c r="C403" s="2"/>
      <c r="D403" s="43"/>
      <c r="E403" s="40"/>
      <c r="F403" s="2"/>
      <c r="G403" s="43"/>
      <c r="H403" s="40"/>
      <c r="I403" s="41"/>
      <c r="J403" s="41"/>
      <c r="K403" s="43"/>
      <c r="L403" s="43"/>
      <c r="M403" s="44"/>
      <c r="U403" s="3" t="str">
        <f t="shared" si="39"/>
        <v/>
      </c>
      <c r="V403" s="3" t="str">
        <f t="shared" si="40"/>
        <v/>
      </c>
      <c r="AD403" s="6" t="str">
        <f t="shared" si="41"/>
        <v/>
      </c>
    </row>
    <row r="404" spans="1:30" x14ac:dyDescent="0.25">
      <c r="A404" s="39"/>
      <c r="B404" s="40"/>
      <c r="C404" s="2"/>
      <c r="D404" s="43"/>
      <c r="E404" s="40"/>
      <c r="F404" s="2"/>
      <c r="G404" s="43"/>
      <c r="H404" s="40"/>
      <c r="I404" s="41"/>
      <c r="J404" s="41"/>
      <c r="K404" s="43"/>
      <c r="L404" s="43"/>
      <c r="M404" s="44"/>
      <c r="U404" s="3" t="str">
        <f t="shared" si="39"/>
        <v/>
      </c>
      <c r="V404" s="3" t="str">
        <f t="shared" si="40"/>
        <v/>
      </c>
      <c r="AD404" s="6" t="str">
        <f t="shared" si="41"/>
        <v/>
      </c>
    </row>
    <row r="405" spans="1:30" x14ac:dyDescent="0.25">
      <c r="A405" s="39"/>
      <c r="B405" s="40"/>
      <c r="C405" s="2"/>
      <c r="D405" s="43"/>
      <c r="E405" s="40"/>
      <c r="F405" s="2"/>
      <c r="G405" s="43"/>
      <c r="H405" s="40"/>
      <c r="I405" s="41"/>
      <c r="J405" s="41"/>
      <c r="K405" s="43"/>
      <c r="L405" s="43"/>
      <c r="M405" s="44"/>
      <c r="U405" s="3" t="str">
        <f t="shared" si="39"/>
        <v/>
      </c>
      <c r="V405" s="3" t="str">
        <f t="shared" si="40"/>
        <v/>
      </c>
      <c r="AD405" s="6" t="str">
        <f t="shared" si="41"/>
        <v/>
      </c>
    </row>
    <row r="406" spans="1:30" x14ac:dyDescent="0.25">
      <c r="A406" s="39"/>
      <c r="B406" s="40"/>
      <c r="C406" s="2"/>
      <c r="D406" s="43"/>
      <c r="E406" s="40"/>
      <c r="F406" s="2"/>
      <c r="G406" s="43"/>
      <c r="H406" s="40"/>
      <c r="I406" s="41"/>
      <c r="J406" s="41"/>
      <c r="K406" s="43"/>
      <c r="L406" s="43"/>
      <c r="M406" s="44"/>
      <c r="U406" s="3" t="str">
        <f t="shared" si="39"/>
        <v/>
      </c>
      <c r="V406" s="3" t="str">
        <f t="shared" si="40"/>
        <v/>
      </c>
      <c r="AD406" s="6" t="str">
        <f t="shared" si="41"/>
        <v/>
      </c>
    </row>
    <row r="407" spans="1:30" x14ac:dyDescent="0.25">
      <c r="A407" s="39"/>
      <c r="B407" s="40"/>
      <c r="C407" s="2"/>
      <c r="D407" s="43"/>
      <c r="E407" s="40"/>
      <c r="F407" s="2"/>
      <c r="G407" s="43"/>
      <c r="H407" s="40"/>
      <c r="I407" s="41"/>
      <c r="J407" s="41"/>
      <c r="K407" s="43"/>
      <c r="L407" s="43"/>
      <c r="M407" s="44"/>
      <c r="U407" s="3" t="str">
        <f t="shared" si="39"/>
        <v/>
      </c>
      <c r="V407" s="3" t="str">
        <f t="shared" si="40"/>
        <v/>
      </c>
      <c r="AD407" s="6" t="str">
        <f t="shared" si="41"/>
        <v/>
      </c>
    </row>
    <row r="408" spans="1:30" x14ac:dyDescent="0.25">
      <c r="A408" s="39"/>
      <c r="B408" s="40"/>
      <c r="C408" s="2"/>
      <c r="D408" s="43"/>
      <c r="E408" s="40"/>
      <c r="F408" s="2"/>
      <c r="G408" s="43"/>
      <c r="H408" s="40"/>
      <c r="I408" s="41"/>
      <c r="J408" s="41"/>
      <c r="K408" s="43"/>
      <c r="L408" s="43"/>
      <c r="M408" s="44"/>
      <c r="U408" s="3" t="str">
        <f t="shared" si="39"/>
        <v/>
      </c>
      <c r="V408" s="3" t="str">
        <f t="shared" si="40"/>
        <v/>
      </c>
      <c r="AD408" s="6" t="str">
        <f t="shared" si="41"/>
        <v/>
      </c>
    </row>
    <row r="409" spans="1:30" x14ac:dyDescent="0.25">
      <c r="A409" s="39"/>
      <c r="B409" s="40"/>
      <c r="C409" s="2"/>
      <c r="D409" s="43"/>
      <c r="E409" s="40"/>
      <c r="F409" s="2"/>
      <c r="G409" s="43"/>
      <c r="H409" s="40"/>
      <c r="I409" s="41"/>
      <c r="J409" s="41"/>
      <c r="K409" s="43"/>
      <c r="L409" s="43"/>
      <c r="M409" s="44"/>
      <c r="U409" s="3" t="str">
        <f t="shared" si="39"/>
        <v/>
      </c>
      <c r="V409" s="3" t="str">
        <f t="shared" si="40"/>
        <v/>
      </c>
      <c r="AD409" s="6" t="str">
        <f t="shared" si="41"/>
        <v/>
      </c>
    </row>
    <row r="410" spans="1:30" x14ac:dyDescent="0.25">
      <c r="A410" s="39"/>
      <c r="B410" s="40"/>
      <c r="C410" s="2"/>
      <c r="D410" s="43"/>
      <c r="E410" s="40"/>
      <c r="F410" s="2"/>
      <c r="G410" s="43"/>
      <c r="H410" s="40"/>
      <c r="I410" s="41"/>
      <c r="J410" s="41"/>
      <c r="K410" s="43"/>
      <c r="L410" s="43"/>
      <c r="M410" s="44"/>
      <c r="U410" s="3" t="str">
        <f t="shared" si="39"/>
        <v/>
      </c>
      <c r="V410" s="3" t="str">
        <f t="shared" si="40"/>
        <v/>
      </c>
      <c r="AD410" s="6" t="str">
        <f t="shared" si="41"/>
        <v/>
      </c>
    </row>
    <row r="411" spans="1:30" x14ac:dyDescent="0.25">
      <c r="A411" s="39"/>
      <c r="B411" s="40"/>
      <c r="C411" s="2"/>
      <c r="D411" s="43"/>
      <c r="E411" s="40"/>
      <c r="F411" s="2"/>
      <c r="G411" s="43"/>
      <c r="H411" s="40"/>
      <c r="I411" s="41"/>
      <c r="J411" s="41"/>
      <c r="K411" s="43"/>
      <c r="L411" s="43"/>
      <c r="M411" s="44"/>
      <c r="U411" s="3" t="str">
        <f t="shared" si="39"/>
        <v/>
      </c>
      <c r="V411" s="3" t="str">
        <f t="shared" si="40"/>
        <v/>
      </c>
      <c r="AD411" s="6" t="str">
        <f t="shared" si="41"/>
        <v/>
      </c>
    </row>
    <row r="412" spans="1:30" x14ac:dyDescent="0.25">
      <c r="A412" s="39"/>
      <c r="B412" s="40"/>
      <c r="C412" s="2"/>
      <c r="D412" s="43"/>
      <c r="E412" s="40"/>
      <c r="F412" s="2"/>
      <c r="G412" s="43"/>
      <c r="H412" s="40"/>
      <c r="I412" s="41"/>
      <c r="J412" s="41"/>
      <c r="K412" s="43"/>
      <c r="L412" s="43"/>
      <c r="M412" s="44"/>
      <c r="U412" s="3" t="str">
        <f t="shared" si="39"/>
        <v/>
      </c>
      <c r="V412" s="3" t="str">
        <f t="shared" si="40"/>
        <v/>
      </c>
      <c r="AD412" s="6" t="str">
        <f t="shared" si="41"/>
        <v/>
      </c>
    </row>
    <row r="413" spans="1:30" x14ac:dyDescent="0.25">
      <c r="A413" s="39"/>
      <c r="B413" s="40"/>
      <c r="C413" s="2"/>
      <c r="D413" s="43"/>
      <c r="E413" s="40"/>
      <c r="F413" s="2"/>
      <c r="G413" s="43"/>
      <c r="H413" s="40"/>
      <c r="I413" s="41"/>
      <c r="J413" s="41"/>
      <c r="K413" s="43"/>
      <c r="L413" s="43"/>
      <c r="M413" s="44"/>
      <c r="U413" s="3" t="str">
        <f t="shared" si="39"/>
        <v/>
      </c>
      <c r="V413" s="3" t="str">
        <f t="shared" si="40"/>
        <v/>
      </c>
      <c r="AD413" s="6" t="str">
        <f t="shared" si="41"/>
        <v/>
      </c>
    </row>
    <row r="414" spans="1:30" x14ac:dyDescent="0.25">
      <c r="A414" s="39"/>
      <c r="B414" s="40"/>
      <c r="C414" s="2"/>
      <c r="D414" s="43"/>
      <c r="E414" s="40"/>
      <c r="F414" s="2"/>
      <c r="G414" s="43"/>
      <c r="H414" s="40"/>
      <c r="I414" s="41"/>
      <c r="J414" s="41"/>
      <c r="K414" s="43"/>
      <c r="L414" s="43"/>
      <c r="M414" s="44"/>
      <c r="U414" s="3" t="str">
        <f t="shared" si="39"/>
        <v/>
      </c>
      <c r="V414" s="3" t="str">
        <f t="shared" si="40"/>
        <v/>
      </c>
      <c r="AD414" s="6" t="str">
        <f t="shared" si="41"/>
        <v/>
      </c>
    </row>
    <row r="415" spans="1:30" x14ac:dyDescent="0.25">
      <c r="A415" s="39"/>
      <c r="B415" s="40"/>
      <c r="C415" s="2"/>
      <c r="D415" s="43"/>
      <c r="E415" s="40"/>
      <c r="F415" s="2"/>
      <c r="G415" s="43"/>
      <c r="H415" s="40"/>
      <c r="I415" s="41"/>
      <c r="J415" s="41"/>
      <c r="K415" s="43"/>
      <c r="L415" s="43"/>
      <c r="M415" s="44"/>
      <c r="U415" s="3" t="str">
        <f t="shared" si="39"/>
        <v/>
      </c>
      <c r="V415" s="3" t="str">
        <f t="shared" si="40"/>
        <v/>
      </c>
      <c r="AD415" s="6" t="str">
        <f t="shared" si="41"/>
        <v/>
      </c>
    </row>
    <row r="416" spans="1:30" x14ac:dyDescent="0.25">
      <c r="A416" s="39"/>
      <c r="B416" s="40"/>
      <c r="C416" s="2"/>
      <c r="D416" s="43"/>
      <c r="E416" s="40"/>
      <c r="F416" s="2"/>
      <c r="G416" s="43"/>
      <c r="H416" s="40"/>
      <c r="I416" s="41"/>
      <c r="J416" s="41"/>
      <c r="K416" s="43"/>
      <c r="L416" s="43"/>
      <c r="M416" s="44"/>
      <c r="U416" s="3" t="str">
        <f t="shared" si="39"/>
        <v/>
      </c>
      <c r="V416" s="3" t="str">
        <f t="shared" si="40"/>
        <v/>
      </c>
      <c r="AD416" s="6" t="str">
        <f t="shared" si="41"/>
        <v/>
      </c>
    </row>
    <row r="417" spans="1:30" x14ac:dyDescent="0.25">
      <c r="A417" s="39"/>
      <c r="B417" s="40"/>
      <c r="C417" s="2"/>
      <c r="D417" s="43"/>
      <c r="E417" s="40"/>
      <c r="F417" s="2"/>
      <c r="G417" s="43"/>
      <c r="H417" s="40"/>
      <c r="I417" s="41"/>
      <c r="J417" s="41"/>
      <c r="K417" s="43"/>
      <c r="L417" s="43"/>
      <c r="M417" s="44"/>
      <c r="U417" s="3" t="str">
        <f t="shared" si="39"/>
        <v/>
      </c>
      <c r="V417" s="3" t="str">
        <f t="shared" si="40"/>
        <v/>
      </c>
      <c r="AD417" s="6" t="str">
        <f t="shared" si="41"/>
        <v/>
      </c>
    </row>
    <row r="418" spans="1:30" x14ac:dyDescent="0.25">
      <c r="A418" s="39"/>
      <c r="B418" s="40"/>
      <c r="C418" s="2"/>
      <c r="D418" s="43"/>
      <c r="E418" s="40"/>
      <c r="F418" s="2"/>
      <c r="G418" s="43"/>
      <c r="H418" s="40"/>
      <c r="I418" s="41"/>
      <c r="J418" s="41"/>
      <c r="K418" s="43"/>
      <c r="L418" s="43"/>
      <c r="M418" s="44"/>
      <c r="U418" s="3" t="str">
        <f t="shared" si="39"/>
        <v/>
      </c>
      <c r="V418" s="3" t="str">
        <f t="shared" si="40"/>
        <v/>
      </c>
      <c r="AD418" s="6" t="str">
        <f t="shared" si="41"/>
        <v/>
      </c>
    </row>
    <row r="419" spans="1:30" x14ac:dyDescent="0.25">
      <c r="A419" s="39"/>
      <c r="B419" s="40"/>
      <c r="C419" s="2"/>
      <c r="D419" s="43"/>
      <c r="E419" s="40"/>
      <c r="F419" s="2"/>
      <c r="G419" s="43"/>
      <c r="H419" s="40"/>
      <c r="I419" s="41"/>
      <c r="J419" s="41"/>
      <c r="K419" s="43"/>
      <c r="L419" s="43"/>
      <c r="M419" s="44"/>
      <c r="U419" s="3" t="str">
        <f t="shared" si="39"/>
        <v/>
      </c>
      <c r="V419" s="3" t="str">
        <f t="shared" si="40"/>
        <v/>
      </c>
      <c r="AD419" s="6" t="str">
        <f t="shared" si="41"/>
        <v/>
      </c>
    </row>
    <row r="420" spans="1:30" x14ac:dyDescent="0.25">
      <c r="A420" s="39"/>
      <c r="B420" s="40"/>
      <c r="C420" s="2"/>
      <c r="D420" s="43"/>
      <c r="E420" s="40"/>
      <c r="F420" s="2"/>
      <c r="G420" s="43"/>
      <c r="H420" s="40"/>
      <c r="I420" s="41"/>
      <c r="J420" s="41"/>
      <c r="K420" s="43"/>
      <c r="L420" s="43"/>
      <c r="M420" s="44"/>
      <c r="U420" s="3" t="str">
        <f t="shared" si="39"/>
        <v/>
      </c>
      <c r="V420" s="3" t="str">
        <f t="shared" si="40"/>
        <v/>
      </c>
      <c r="AD420" s="6" t="str">
        <f t="shared" si="41"/>
        <v/>
      </c>
    </row>
    <row r="421" spans="1:30" x14ac:dyDescent="0.25">
      <c r="A421" s="39"/>
      <c r="B421" s="40"/>
      <c r="C421" s="2"/>
      <c r="D421" s="43"/>
      <c r="E421" s="40"/>
      <c r="F421" s="2"/>
      <c r="G421" s="43"/>
      <c r="H421" s="40"/>
      <c r="I421" s="41"/>
      <c r="J421" s="41"/>
      <c r="K421" s="43"/>
      <c r="L421" s="43"/>
      <c r="M421" s="44"/>
      <c r="U421" s="3" t="str">
        <f t="shared" si="39"/>
        <v/>
      </c>
      <c r="V421" s="3" t="str">
        <f t="shared" si="40"/>
        <v/>
      </c>
      <c r="AD421" s="6" t="str">
        <f t="shared" si="41"/>
        <v/>
      </c>
    </row>
    <row r="422" spans="1:30" x14ac:dyDescent="0.25">
      <c r="A422" s="39"/>
      <c r="B422" s="40"/>
      <c r="C422" s="2"/>
      <c r="D422" s="43"/>
      <c r="E422" s="40"/>
      <c r="F422" s="2"/>
      <c r="G422" s="43"/>
      <c r="H422" s="40"/>
      <c r="I422" s="41"/>
      <c r="J422" s="41"/>
      <c r="K422" s="43"/>
      <c r="L422" s="43"/>
      <c r="M422" s="44"/>
      <c r="U422" s="3" t="str">
        <f t="shared" si="39"/>
        <v/>
      </c>
      <c r="V422" s="3" t="str">
        <f t="shared" si="40"/>
        <v/>
      </c>
    </row>
    <row r="423" spans="1:30" x14ac:dyDescent="0.25">
      <c r="A423" s="39"/>
      <c r="B423" s="40"/>
      <c r="C423" s="2"/>
      <c r="D423" s="43"/>
      <c r="E423" s="40"/>
      <c r="F423" s="2"/>
      <c r="G423" s="43"/>
      <c r="H423" s="40"/>
      <c r="I423" s="41"/>
      <c r="J423" s="41"/>
      <c r="K423" s="43"/>
      <c r="L423" s="43"/>
      <c r="M423" s="44"/>
      <c r="U423" s="3" t="str">
        <f t="shared" si="39"/>
        <v/>
      </c>
      <c r="V423" s="3" t="str">
        <f t="shared" si="40"/>
        <v/>
      </c>
    </row>
    <row r="424" spans="1:30" x14ac:dyDescent="0.25">
      <c r="A424" s="39"/>
      <c r="B424" s="40"/>
      <c r="C424" s="2"/>
      <c r="D424" s="43"/>
      <c r="E424" s="40"/>
      <c r="F424" s="2"/>
      <c r="G424" s="43"/>
      <c r="H424" s="40"/>
      <c r="I424" s="41"/>
      <c r="J424" s="41"/>
      <c r="K424" s="43"/>
      <c r="L424" s="43"/>
      <c r="M424" s="44"/>
      <c r="U424" s="3" t="str">
        <f t="shared" si="39"/>
        <v/>
      </c>
      <c r="V424" s="3" t="str">
        <f t="shared" si="40"/>
        <v/>
      </c>
    </row>
    <row r="425" spans="1:30" x14ac:dyDescent="0.25">
      <c r="A425" s="39"/>
      <c r="B425" s="40"/>
      <c r="C425" s="2"/>
      <c r="D425" s="43"/>
      <c r="E425" s="40"/>
      <c r="F425" s="2"/>
      <c r="G425" s="43"/>
      <c r="H425" s="40"/>
      <c r="I425" s="41"/>
      <c r="J425" s="41"/>
      <c r="K425" s="43"/>
      <c r="L425" s="43"/>
      <c r="M425" s="44"/>
      <c r="U425" s="3" t="str">
        <f t="shared" si="39"/>
        <v/>
      </c>
      <c r="V425" s="3" t="str">
        <f t="shared" si="40"/>
        <v/>
      </c>
    </row>
    <row r="426" spans="1:30" x14ac:dyDescent="0.25">
      <c r="A426" s="39"/>
      <c r="B426" s="40"/>
      <c r="C426" s="2"/>
      <c r="D426" s="43"/>
      <c r="E426" s="40"/>
      <c r="F426" s="2"/>
      <c r="G426" s="43"/>
      <c r="H426" s="40"/>
      <c r="I426" s="41"/>
      <c r="J426" s="41"/>
      <c r="K426" s="43"/>
      <c r="L426" s="43"/>
      <c r="M426" s="44"/>
      <c r="U426" s="3" t="str">
        <f t="shared" si="39"/>
        <v/>
      </c>
      <c r="V426" s="3" t="str">
        <f t="shared" si="40"/>
        <v/>
      </c>
    </row>
    <row r="427" spans="1:30" x14ac:dyDescent="0.25">
      <c r="A427" s="39"/>
      <c r="B427" s="40"/>
      <c r="C427" s="2"/>
      <c r="D427" s="43"/>
      <c r="E427" s="40"/>
      <c r="F427" s="2"/>
      <c r="G427" s="43"/>
      <c r="H427" s="40"/>
      <c r="I427" s="41"/>
      <c r="J427" s="41"/>
      <c r="K427" s="43"/>
      <c r="L427" s="43"/>
      <c r="M427" s="44"/>
      <c r="U427" s="3" t="str">
        <f t="shared" si="39"/>
        <v/>
      </c>
      <c r="V427" s="3" t="str">
        <f t="shared" si="40"/>
        <v/>
      </c>
    </row>
    <row r="428" spans="1:30" x14ac:dyDescent="0.25">
      <c r="A428" s="39"/>
      <c r="B428" s="40"/>
      <c r="C428" s="2"/>
      <c r="D428" s="43"/>
      <c r="E428" s="40"/>
      <c r="F428" s="2"/>
      <c r="G428" s="43"/>
      <c r="H428" s="40"/>
      <c r="I428" s="41"/>
      <c r="J428" s="41"/>
      <c r="K428" s="43"/>
      <c r="L428" s="43"/>
      <c r="M428" s="44"/>
      <c r="U428" s="3" t="str">
        <f t="shared" si="39"/>
        <v/>
      </c>
      <c r="V428" s="3" t="str">
        <f t="shared" si="40"/>
        <v/>
      </c>
    </row>
    <row r="429" spans="1:30" x14ac:dyDescent="0.25">
      <c r="A429" s="39"/>
      <c r="B429" s="40"/>
      <c r="C429" s="2"/>
      <c r="D429" s="43"/>
      <c r="E429" s="40"/>
      <c r="F429" s="2"/>
      <c r="G429" s="43"/>
      <c r="H429" s="40"/>
      <c r="I429" s="41"/>
      <c r="J429" s="41"/>
      <c r="K429" s="43"/>
      <c r="L429" s="43"/>
      <c r="M429" s="44"/>
      <c r="U429" s="3" t="str">
        <f t="shared" si="39"/>
        <v/>
      </c>
      <c r="V429" s="3" t="str">
        <f t="shared" si="40"/>
        <v/>
      </c>
    </row>
    <row r="430" spans="1:30" x14ac:dyDescent="0.25">
      <c r="A430" s="39"/>
      <c r="B430" s="40"/>
      <c r="C430" s="2"/>
      <c r="D430" s="43"/>
      <c r="E430" s="40"/>
      <c r="F430" s="2"/>
      <c r="G430" s="43"/>
      <c r="H430" s="40"/>
      <c r="I430" s="41"/>
      <c r="J430" s="41"/>
      <c r="K430" s="43"/>
      <c r="L430" s="43"/>
      <c r="M430" s="44"/>
      <c r="U430" s="3" t="str">
        <f t="shared" si="39"/>
        <v/>
      </c>
      <c r="V430" s="3" t="str">
        <f t="shared" si="40"/>
        <v/>
      </c>
    </row>
    <row r="431" spans="1:30" x14ac:dyDescent="0.25">
      <c r="A431" s="39"/>
      <c r="B431" s="40"/>
      <c r="C431" s="2"/>
      <c r="D431" s="43"/>
      <c r="E431" s="40"/>
      <c r="F431" s="2"/>
      <c r="G431" s="43"/>
      <c r="H431" s="40"/>
      <c r="I431" s="41"/>
      <c r="J431" s="41"/>
      <c r="K431" s="43"/>
      <c r="L431" s="43"/>
      <c r="M431" s="44"/>
      <c r="U431" s="3" t="str">
        <f t="shared" si="39"/>
        <v/>
      </c>
      <c r="V431" s="3" t="str">
        <f t="shared" si="40"/>
        <v/>
      </c>
    </row>
    <row r="432" spans="1:30" x14ac:dyDescent="0.25">
      <c r="A432" s="39"/>
      <c r="B432" s="40"/>
      <c r="C432" s="2"/>
      <c r="D432" s="43"/>
      <c r="E432" s="40"/>
      <c r="F432" s="2"/>
      <c r="G432" s="43"/>
      <c r="H432" s="40"/>
      <c r="I432" s="41"/>
      <c r="J432" s="41"/>
      <c r="K432" s="43"/>
      <c r="L432" s="43"/>
      <c r="M432" s="44"/>
      <c r="U432" s="3" t="str">
        <f t="shared" si="39"/>
        <v/>
      </c>
      <c r="V432" s="3" t="str">
        <f t="shared" si="40"/>
        <v/>
      </c>
    </row>
    <row r="433" spans="1:22" x14ac:dyDescent="0.25">
      <c r="A433" s="39"/>
      <c r="B433" s="40"/>
      <c r="C433" s="2"/>
      <c r="D433" s="43"/>
      <c r="E433" s="40"/>
      <c r="F433" s="2"/>
      <c r="G433" s="43"/>
      <c r="H433" s="40"/>
      <c r="I433" s="41"/>
      <c r="J433" s="41"/>
      <c r="K433" s="43"/>
      <c r="L433" s="43"/>
      <c r="M433" s="44"/>
      <c r="U433" s="3" t="str">
        <f t="shared" si="39"/>
        <v/>
      </c>
      <c r="V433" s="3" t="str">
        <f t="shared" si="40"/>
        <v/>
      </c>
    </row>
    <row r="434" spans="1:22" x14ac:dyDescent="0.25">
      <c r="A434" s="39"/>
      <c r="B434" s="40"/>
      <c r="C434" s="2"/>
      <c r="D434" s="43"/>
      <c r="E434" s="40"/>
      <c r="F434" s="2"/>
      <c r="G434" s="43"/>
      <c r="H434" s="40"/>
      <c r="I434" s="41"/>
      <c r="J434" s="41"/>
      <c r="K434" s="43"/>
      <c r="L434" s="43"/>
      <c r="M434" s="44"/>
      <c r="U434" s="3" t="str">
        <f t="shared" si="39"/>
        <v/>
      </c>
      <c r="V434" s="3" t="str">
        <f t="shared" si="40"/>
        <v/>
      </c>
    </row>
    <row r="435" spans="1:22" x14ac:dyDescent="0.25">
      <c r="A435" s="39"/>
      <c r="B435" s="40"/>
      <c r="C435" s="2"/>
      <c r="D435" s="43"/>
      <c r="E435" s="40"/>
      <c r="F435" s="2"/>
      <c r="G435" s="43"/>
      <c r="H435" s="40"/>
      <c r="I435" s="41"/>
      <c r="J435" s="41"/>
      <c r="K435" s="43"/>
      <c r="L435" s="43"/>
      <c r="M435" s="44"/>
      <c r="U435" s="3" t="str">
        <f t="shared" si="39"/>
        <v/>
      </c>
      <c r="V435" s="3" t="str">
        <f t="shared" si="40"/>
        <v/>
      </c>
    </row>
    <row r="436" spans="1:22" x14ac:dyDescent="0.25">
      <c r="A436" s="39"/>
      <c r="B436" s="40"/>
      <c r="C436" s="2"/>
      <c r="D436" s="43"/>
      <c r="E436" s="40"/>
      <c r="F436" s="2"/>
      <c r="G436" s="43"/>
      <c r="H436" s="40"/>
      <c r="I436" s="41"/>
      <c r="J436" s="41"/>
      <c r="K436" s="43"/>
      <c r="L436" s="43"/>
      <c r="M436" s="44"/>
      <c r="U436" s="3" t="str">
        <f t="shared" si="39"/>
        <v/>
      </c>
      <c r="V436" s="3" t="str">
        <f t="shared" si="40"/>
        <v/>
      </c>
    </row>
    <row r="437" spans="1:22" x14ac:dyDescent="0.25">
      <c r="A437" s="39"/>
      <c r="B437" s="40"/>
      <c r="C437" s="2"/>
      <c r="D437" s="43"/>
      <c r="E437" s="40"/>
      <c r="F437" s="2"/>
      <c r="G437" s="43"/>
      <c r="H437" s="40"/>
      <c r="I437" s="41"/>
      <c r="J437" s="41"/>
      <c r="K437" s="43"/>
      <c r="L437" s="43"/>
      <c r="M437" s="44"/>
      <c r="U437" s="3" t="str">
        <f t="shared" si="39"/>
        <v/>
      </c>
      <c r="V437" s="3" t="str">
        <f t="shared" si="40"/>
        <v/>
      </c>
    </row>
    <row r="438" spans="1:22" x14ac:dyDescent="0.25">
      <c r="A438" s="39"/>
      <c r="B438" s="40"/>
      <c r="C438" s="2"/>
      <c r="D438" s="43"/>
      <c r="E438" s="40"/>
      <c r="F438" s="2"/>
      <c r="G438" s="43"/>
      <c r="H438" s="40"/>
      <c r="I438" s="41"/>
      <c r="J438" s="41"/>
      <c r="K438" s="43"/>
      <c r="L438" s="43"/>
      <c r="M438" s="44"/>
      <c r="U438" s="3" t="str">
        <f t="shared" si="39"/>
        <v/>
      </c>
      <c r="V438" s="3" t="str">
        <f t="shared" si="40"/>
        <v/>
      </c>
    </row>
    <row r="439" spans="1:22" x14ac:dyDescent="0.25">
      <c r="A439" s="39"/>
      <c r="B439" s="40"/>
      <c r="C439" s="2"/>
      <c r="D439" s="43"/>
      <c r="E439" s="40"/>
      <c r="F439" s="2"/>
      <c r="G439" s="43"/>
      <c r="H439" s="40"/>
      <c r="I439" s="41"/>
      <c r="J439" s="41"/>
      <c r="K439" s="43"/>
      <c r="L439" s="43"/>
      <c r="M439" s="44"/>
      <c r="U439" s="3" t="str">
        <f t="shared" si="39"/>
        <v/>
      </c>
      <c r="V439" s="3" t="str">
        <f t="shared" si="40"/>
        <v/>
      </c>
    </row>
    <row r="440" spans="1:22" x14ac:dyDescent="0.25">
      <c r="A440" s="39"/>
      <c r="B440" s="40"/>
      <c r="C440" s="2"/>
      <c r="D440" s="43"/>
      <c r="E440" s="40"/>
      <c r="F440" s="2"/>
      <c r="G440" s="43"/>
      <c r="H440" s="40"/>
      <c r="I440" s="41"/>
      <c r="J440" s="41"/>
      <c r="K440" s="43"/>
      <c r="L440" s="43"/>
      <c r="M440" s="44"/>
      <c r="U440" s="3" t="str">
        <f t="shared" si="39"/>
        <v/>
      </c>
      <c r="V440" s="3" t="str">
        <f t="shared" si="40"/>
        <v/>
      </c>
    </row>
    <row r="441" spans="1:22" x14ac:dyDescent="0.25">
      <c r="A441" s="39"/>
      <c r="B441" s="40"/>
      <c r="C441" s="2"/>
      <c r="D441" s="43"/>
      <c r="E441" s="40"/>
      <c r="F441" s="2"/>
      <c r="G441" s="43"/>
      <c r="H441" s="40"/>
      <c r="I441" s="41"/>
      <c r="J441" s="41"/>
      <c r="K441" s="43"/>
      <c r="L441" s="43"/>
      <c r="M441" s="44"/>
      <c r="U441" s="3" t="str">
        <f t="shared" si="39"/>
        <v/>
      </c>
      <c r="V441" s="3" t="str">
        <f t="shared" si="40"/>
        <v/>
      </c>
    </row>
    <row r="442" spans="1:22" x14ac:dyDescent="0.25">
      <c r="A442" s="39"/>
      <c r="B442" s="40"/>
      <c r="C442" s="2"/>
      <c r="D442" s="43"/>
      <c r="E442" s="40"/>
      <c r="F442" s="2"/>
      <c r="G442" s="43"/>
      <c r="H442" s="40"/>
      <c r="I442" s="41"/>
      <c r="J442" s="41"/>
      <c r="K442" s="43"/>
      <c r="L442" s="43"/>
      <c r="M442" s="44"/>
      <c r="U442" s="3" t="str">
        <f t="shared" si="39"/>
        <v/>
      </c>
      <c r="V442" s="3" t="str">
        <f t="shared" si="40"/>
        <v/>
      </c>
    </row>
    <row r="443" spans="1:22" x14ac:dyDescent="0.25">
      <c r="A443" s="39"/>
      <c r="B443" s="40"/>
      <c r="C443" s="2"/>
      <c r="D443" s="43"/>
      <c r="E443" s="40"/>
      <c r="F443" s="2"/>
      <c r="G443" s="43"/>
      <c r="H443" s="40"/>
      <c r="I443" s="41"/>
      <c r="J443" s="41"/>
      <c r="K443" s="43"/>
      <c r="L443" s="43"/>
      <c r="M443" s="44"/>
      <c r="U443" s="3" t="str">
        <f t="shared" si="39"/>
        <v/>
      </c>
      <c r="V443" s="3" t="str">
        <f t="shared" si="40"/>
        <v/>
      </c>
    </row>
    <row r="444" spans="1:22" x14ac:dyDescent="0.25">
      <c r="A444" s="39"/>
      <c r="B444" s="40"/>
      <c r="C444" s="2"/>
      <c r="D444" s="43"/>
      <c r="E444" s="40"/>
      <c r="F444" s="2"/>
      <c r="G444" s="43"/>
      <c r="H444" s="40"/>
      <c r="I444" s="41"/>
      <c r="J444" s="41"/>
      <c r="K444" s="43"/>
      <c r="L444" s="43"/>
      <c r="M444" s="44"/>
      <c r="U444" s="3" t="str">
        <f t="shared" si="39"/>
        <v/>
      </c>
      <c r="V444" s="3" t="str">
        <f t="shared" si="40"/>
        <v/>
      </c>
    </row>
    <row r="445" spans="1:22" x14ac:dyDescent="0.25">
      <c r="A445" s="39"/>
      <c r="B445" s="40"/>
      <c r="C445" s="2"/>
      <c r="D445" s="43"/>
      <c r="E445" s="40"/>
      <c r="F445" s="2"/>
      <c r="G445" s="43"/>
      <c r="H445" s="40"/>
      <c r="I445" s="41"/>
      <c r="J445" s="41"/>
      <c r="K445" s="43"/>
      <c r="L445" s="43"/>
      <c r="M445" s="44"/>
      <c r="U445" s="3" t="str">
        <f t="shared" si="39"/>
        <v/>
      </c>
      <c r="V445" s="3" t="str">
        <f t="shared" si="40"/>
        <v/>
      </c>
    </row>
    <row r="446" spans="1:22" x14ac:dyDescent="0.25">
      <c r="A446" s="39"/>
      <c r="B446" s="40"/>
      <c r="C446" s="2"/>
      <c r="D446" s="43"/>
      <c r="E446" s="40"/>
      <c r="F446" s="2"/>
      <c r="G446" s="43"/>
      <c r="H446" s="40"/>
      <c r="I446" s="41"/>
      <c r="J446" s="41"/>
      <c r="K446" s="43"/>
      <c r="L446" s="43"/>
      <c r="M446" s="44"/>
      <c r="U446" s="3" t="str">
        <f t="shared" si="39"/>
        <v/>
      </c>
      <c r="V446" s="3" t="str">
        <f t="shared" si="40"/>
        <v/>
      </c>
    </row>
    <row r="447" spans="1:22" x14ac:dyDescent="0.25">
      <c r="A447" s="39"/>
      <c r="B447" s="40"/>
      <c r="C447" s="2"/>
      <c r="D447" s="43"/>
      <c r="E447" s="40"/>
      <c r="F447" s="2"/>
      <c r="G447" s="43"/>
      <c r="H447" s="40"/>
      <c r="I447" s="41"/>
      <c r="J447" s="41"/>
      <c r="K447" s="43"/>
      <c r="L447" s="43"/>
      <c r="M447" s="44"/>
      <c r="U447" s="3" t="str">
        <f t="shared" si="39"/>
        <v/>
      </c>
      <c r="V447" s="3" t="str">
        <f t="shared" si="40"/>
        <v/>
      </c>
    </row>
    <row r="448" spans="1:22" x14ac:dyDescent="0.25">
      <c r="A448" s="39"/>
      <c r="B448" s="40"/>
      <c r="C448" s="2"/>
      <c r="D448" s="43"/>
      <c r="E448" s="40"/>
      <c r="F448" s="2"/>
      <c r="G448" s="43"/>
      <c r="H448" s="40"/>
      <c r="I448" s="41"/>
      <c r="J448" s="41"/>
      <c r="K448" s="43"/>
      <c r="L448" s="43"/>
      <c r="M448" s="44"/>
      <c r="U448" s="3" t="str">
        <f t="shared" si="39"/>
        <v/>
      </c>
      <c r="V448" s="3" t="str">
        <f t="shared" si="40"/>
        <v/>
      </c>
    </row>
    <row r="449" spans="1:22" x14ac:dyDescent="0.25">
      <c r="A449" s="39"/>
      <c r="B449" s="40"/>
      <c r="C449" s="2"/>
      <c r="D449" s="43"/>
      <c r="E449" s="40"/>
      <c r="F449" s="2"/>
      <c r="G449" s="43"/>
      <c r="H449" s="40"/>
      <c r="I449" s="41"/>
      <c r="J449" s="41"/>
      <c r="K449" s="43"/>
      <c r="L449" s="43"/>
      <c r="M449" s="44"/>
      <c r="U449" s="3" t="str">
        <f t="shared" si="39"/>
        <v/>
      </c>
      <c r="V449" s="3" t="str">
        <f t="shared" si="40"/>
        <v/>
      </c>
    </row>
    <row r="450" spans="1:22" x14ac:dyDescent="0.25">
      <c r="A450" s="39"/>
      <c r="B450" s="40"/>
      <c r="C450" s="2"/>
      <c r="D450" s="43"/>
      <c r="E450" s="40"/>
      <c r="F450" s="2"/>
      <c r="G450" s="43"/>
      <c r="H450" s="40"/>
      <c r="I450" s="41"/>
      <c r="J450" s="41"/>
      <c r="K450" s="43"/>
      <c r="L450" s="43"/>
      <c r="M450" s="44"/>
      <c r="U450" s="3" t="str">
        <f t="shared" si="39"/>
        <v/>
      </c>
      <c r="V450" s="3" t="str">
        <f t="shared" si="40"/>
        <v/>
      </c>
    </row>
    <row r="451" spans="1:22" x14ac:dyDescent="0.25">
      <c r="A451" s="39"/>
      <c r="B451" s="40"/>
      <c r="C451" s="2"/>
      <c r="D451" s="43"/>
      <c r="E451" s="40"/>
      <c r="F451" s="2"/>
      <c r="G451" s="43"/>
      <c r="H451" s="40"/>
      <c r="I451" s="41"/>
      <c r="J451" s="41"/>
      <c r="K451" s="43"/>
      <c r="L451" s="43"/>
      <c r="M451" s="44"/>
      <c r="U451" s="3" t="str">
        <f t="shared" si="39"/>
        <v/>
      </c>
      <c r="V451" s="3" t="str">
        <f t="shared" si="40"/>
        <v/>
      </c>
    </row>
    <row r="452" spans="1:22" x14ac:dyDescent="0.25">
      <c r="A452" s="39"/>
      <c r="B452" s="40"/>
      <c r="C452" s="2"/>
      <c r="D452" s="43"/>
      <c r="E452" s="40"/>
      <c r="F452" s="2"/>
      <c r="G452" s="43"/>
      <c r="H452" s="40"/>
      <c r="I452" s="41"/>
      <c r="J452" s="41"/>
      <c r="K452" s="43"/>
      <c r="L452" s="43"/>
      <c r="M452" s="44"/>
      <c r="U452" s="3" t="str">
        <f t="shared" ref="U452:U515" si="42">IF(COUNTIF(Q:Q,O452)*COUNTIF(S:S,O452),O452,"")</f>
        <v/>
      </c>
      <c r="V452" s="3" t="str">
        <f t="shared" ref="V452:V515" si="43">IF(U452&gt;$A$14,U452,"")</f>
        <v/>
      </c>
    </row>
    <row r="453" spans="1:22" x14ac:dyDescent="0.25">
      <c r="A453" s="39"/>
      <c r="B453" s="40"/>
      <c r="C453" s="2"/>
      <c r="D453" s="43"/>
      <c r="E453" s="40"/>
      <c r="F453" s="2"/>
      <c r="G453" s="43"/>
      <c r="H453" s="40"/>
      <c r="I453" s="41"/>
      <c r="J453" s="41"/>
      <c r="K453" s="43"/>
      <c r="L453" s="43"/>
      <c r="M453" s="44"/>
      <c r="U453" s="3" t="str">
        <f t="shared" si="42"/>
        <v/>
      </c>
      <c r="V453" s="3" t="str">
        <f t="shared" si="43"/>
        <v/>
      </c>
    </row>
    <row r="454" spans="1:22" x14ac:dyDescent="0.25">
      <c r="A454" s="39"/>
      <c r="B454" s="40"/>
      <c r="C454" s="2"/>
      <c r="D454" s="43"/>
      <c r="E454" s="40"/>
      <c r="F454" s="2"/>
      <c r="G454" s="43"/>
      <c r="H454" s="40"/>
      <c r="I454" s="41"/>
      <c r="J454" s="41"/>
      <c r="K454" s="43"/>
      <c r="L454" s="43"/>
      <c r="M454" s="44"/>
      <c r="U454" s="3" t="str">
        <f t="shared" si="42"/>
        <v/>
      </c>
      <c r="V454" s="3" t="str">
        <f t="shared" si="43"/>
        <v/>
      </c>
    </row>
    <row r="455" spans="1:22" x14ac:dyDescent="0.25">
      <c r="A455" s="39"/>
      <c r="B455" s="40"/>
      <c r="C455" s="2"/>
      <c r="D455" s="43"/>
      <c r="E455" s="40"/>
      <c r="F455" s="2"/>
      <c r="G455" s="43"/>
      <c r="H455" s="40"/>
      <c r="I455" s="41"/>
      <c r="J455" s="41"/>
      <c r="K455" s="43"/>
      <c r="L455" s="43"/>
      <c r="M455" s="44"/>
      <c r="U455" s="3" t="str">
        <f t="shared" si="42"/>
        <v/>
      </c>
      <c r="V455" s="3" t="str">
        <f t="shared" si="43"/>
        <v/>
      </c>
    </row>
    <row r="456" spans="1:22" x14ac:dyDescent="0.25">
      <c r="A456" s="39"/>
      <c r="B456" s="40"/>
      <c r="C456" s="2"/>
      <c r="D456" s="43"/>
      <c r="E456" s="40"/>
      <c r="F456" s="2"/>
      <c r="G456" s="43"/>
      <c r="H456" s="40"/>
      <c r="I456" s="41"/>
      <c r="J456" s="41"/>
      <c r="K456" s="43"/>
      <c r="L456" s="43"/>
      <c r="M456" s="44"/>
      <c r="U456" s="3" t="str">
        <f t="shared" si="42"/>
        <v/>
      </c>
      <c r="V456" s="3" t="str">
        <f t="shared" si="43"/>
        <v/>
      </c>
    </row>
    <row r="457" spans="1:22" x14ac:dyDescent="0.25">
      <c r="A457" s="39"/>
      <c r="B457" s="40"/>
      <c r="C457" s="2"/>
      <c r="D457" s="43"/>
      <c r="E457" s="40"/>
      <c r="F457" s="2"/>
      <c r="G457" s="43"/>
      <c r="H457" s="40"/>
      <c r="I457" s="41"/>
      <c r="J457" s="41"/>
      <c r="K457" s="43"/>
      <c r="L457" s="43"/>
      <c r="M457" s="44"/>
      <c r="U457" s="3" t="str">
        <f t="shared" si="42"/>
        <v/>
      </c>
      <c r="V457" s="3" t="str">
        <f t="shared" si="43"/>
        <v/>
      </c>
    </row>
    <row r="458" spans="1:22" x14ac:dyDescent="0.25">
      <c r="A458" s="39"/>
      <c r="B458" s="40"/>
      <c r="C458" s="2"/>
      <c r="D458" s="43"/>
      <c r="E458" s="40"/>
      <c r="F458" s="2"/>
      <c r="G458" s="43"/>
      <c r="H458" s="40"/>
      <c r="I458" s="41"/>
      <c r="J458" s="41"/>
      <c r="K458" s="43"/>
      <c r="L458" s="43"/>
      <c r="M458" s="44"/>
      <c r="U458" s="3" t="str">
        <f t="shared" si="42"/>
        <v/>
      </c>
      <c r="V458" s="3" t="str">
        <f t="shared" si="43"/>
        <v/>
      </c>
    </row>
    <row r="459" spans="1:22" x14ac:dyDescent="0.25">
      <c r="A459" s="39"/>
      <c r="B459" s="40"/>
      <c r="C459" s="2"/>
      <c r="D459" s="43"/>
      <c r="E459" s="40"/>
      <c r="F459" s="2"/>
      <c r="G459" s="43"/>
      <c r="H459" s="40"/>
      <c r="I459" s="41"/>
      <c r="J459" s="41"/>
      <c r="K459" s="43"/>
      <c r="L459" s="43"/>
      <c r="M459" s="44"/>
      <c r="U459" s="3" t="str">
        <f t="shared" si="42"/>
        <v/>
      </c>
      <c r="V459" s="3" t="str">
        <f t="shared" si="43"/>
        <v/>
      </c>
    </row>
    <row r="460" spans="1:22" x14ac:dyDescent="0.25">
      <c r="A460" s="39"/>
      <c r="B460" s="40"/>
      <c r="C460" s="2"/>
      <c r="D460" s="43"/>
      <c r="E460" s="40"/>
      <c r="F460" s="2"/>
      <c r="G460" s="43"/>
      <c r="H460" s="40"/>
      <c r="I460" s="41"/>
      <c r="J460" s="41"/>
      <c r="K460" s="43"/>
      <c r="L460" s="43"/>
      <c r="M460" s="44"/>
      <c r="U460" s="3" t="str">
        <f t="shared" si="42"/>
        <v/>
      </c>
      <c r="V460" s="3" t="str">
        <f t="shared" si="43"/>
        <v/>
      </c>
    </row>
    <row r="461" spans="1:22" x14ac:dyDescent="0.25">
      <c r="A461" s="39"/>
      <c r="B461" s="40"/>
      <c r="C461" s="2"/>
      <c r="D461" s="43"/>
      <c r="E461" s="40"/>
      <c r="F461" s="2"/>
      <c r="G461" s="43"/>
      <c r="H461" s="40"/>
      <c r="I461" s="41"/>
      <c r="J461" s="41"/>
      <c r="K461" s="43"/>
      <c r="L461" s="43"/>
      <c r="M461" s="44"/>
      <c r="U461" s="3" t="str">
        <f t="shared" si="42"/>
        <v/>
      </c>
      <c r="V461" s="3" t="str">
        <f t="shared" si="43"/>
        <v/>
      </c>
    </row>
    <row r="462" spans="1:22" x14ac:dyDescent="0.25">
      <c r="A462" s="39"/>
      <c r="B462" s="40"/>
      <c r="C462" s="2"/>
      <c r="D462" s="43"/>
      <c r="E462" s="40"/>
      <c r="F462" s="2"/>
      <c r="G462" s="43"/>
      <c r="H462" s="40"/>
      <c r="I462" s="41"/>
      <c r="J462" s="41"/>
      <c r="K462" s="43"/>
      <c r="L462" s="43"/>
      <c r="M462" s="44"/>
      <c r="U462" s="3" t="str">
        <f t="shared" si="42"/>
        <v/>
      </c>
      <c r="V462" s="3" t="str">
        <f t="shared" si="43"/>
        <v/>
      </c>
    </row>
    <row r="463" spans="1:22" x14ac:dyDescent="0.25">
      <c r="A463" s="39"/>
      <c r="B463" s="40"/>
      <c r="C463" s="2"/>
      <c r="D463" s="43"/>
      <c r="E463" s="40"/>
      <c r="F463" s="2"/>
      <c r="G463" s="43"/>
      <c r="H463" s="40"/>
      <c r="I463" s="41"/>
      <c r="J463" s="41"/>
      <c r="K463" s="43"/>
      <c r="L463" s="43"/>
      <c r="M463" s="44"/>
      <c r="U463" s="3" t="str">
        <f t="shared" si="42"/>
        <v/>
      </c>
      <c r="V463" s="3" t="str">
        <f t="shared" si="43"/>
        <v/>
      </c>
    </row>
    <row r="464" spans="1:22" x14ac:dyDescent="0.25">
      <c r="A464" s="39"/>
      <c r="B464" s="40"/>
      <c r="C464" s="2"/>
      <c r="D464" s="43"/>
      <c r="E464" s="40"/>
      <c r="F464" s="2"/>
      <c r="G464" s="43"/>
      <c r="H464" s="40"/>
      <c r="I464" s="41"/>
      <c r="J464" s="41"/>
      <c r="K464" s="43"/>
      <c r="L464" s="43"/>
      <c r="M464" s="44"/>
      <c r="U464" s="3" t="str">
        <f t="shared" si="42"/>
        <v/>
      </c>
      <c r="V464" s="3" t="str">
        <f t="shared" si="43"/>
        <v/>
      </c>
    </row>
    <row r="465" spans="1:22" x14ac:dyDescent="0.25">
      <c r="A465" s="39"/>
      <c r="B465" s="40"/>
      <c r="C465" s="2"/>
      <c r="D465" s="43"/>
      <c r="E465" s="40"/>
      <c r="F465" s="2"/>
      <c r="G465" s="43"/>
      <c r="H465" s="40"/>
      <c r="I465" s="41"/>
      <c r="J465" s="41"/>
      <c r="K465" s="43"/>
      <c r="L465" s="43"/>
      <c r="M465" s="44"/>
      <c r="U465" s="3" t="str">
        <f t="shared" si="42"/>
        <v/>
      </c>
      <c r="V465" s="3" t="str">
        <f t="shared" si="43"/>
        <v/>
      </c>
    </row>
    <row r="466" spans="1:22" x14ac:dyDescent="0.25">
      <c r="A466" s="39"/>
      <c r="B466" s="40"/>
      <c r="C466" s="2"/>
      <c r="D466" s="43"/>
      <c r="E466" s="40"/>
      <c r="F466" s="2"/>
      <c r="G466" s="43"/>
      <c r="H466" s="40"/>
      <c r="I466" s="41"/>
      <c r="J466" s="41"/>
      <c r="K466" s="43"/>
      <c r="L466" s="43"/>
      <c r="M466" s="44"/>
      <c r="U466" s="3" t="str">
        <f t="shared" si="42"/>
        <v/>
      </c>
      <c r="V466" s="3" t="str">
        <f t="shared" si="43"/>
        <v/>
      </c>
    </row>
    <row r="467" spans="1:22" x14ac:dyDescent="0.25">
      <c r="A467" s="39"/>
      <c r="B467" s="40"/>
      <c r="C467" s="2"/>
      <c r="D467" s="43"/>
      <c r="E467" s="40"/>
      <c r="F467" s="2"/>
      <c r="G467" s="43"/>
      <c r="H467" s="40"/>
      <c r="I467" s="41"/>
      <c r="J467" s="41"/>
      <c r="K467" s="43"/>
      <c r="L467" s="43"/>
      <c r="M467" s="44"/>
      <c r="U467" s="3" t="str">
        <f t="shared" si="42"/>
        <v/>
      </c>
      <c r="V467" s="3" t="str">
        <f t="shared" si="43"/>
        <v/>
      </c>
    </row>
    <row r="468" spans="1:22" x14ac:dyDescent="0.25">
      <c r="A468" s="39"/>
      <c r="B468" s="40"/>
      <c r="C468" s="2"/>
      <c r="D468" s="43"/>
      <c r="E468" s="40"/>
      <c r="F468" s="2"/>
      <c r="G468" s="43"/>
      <c r="H468" s="40"/>
      <c r="I468" s="41"/>
      <c r="J468" s="41"/>
      <c r="K468" s="43"/>
      <c r="L468" s="43"/>
      <c r="M468" s="44"/>
      <c r="U468" s="3" t="str">
        <f t="shared" si="42"/>
        <v/>
      </c>
      <c r="V468" s="3" t="str">
        <f t="shared" si="43"/>
        <v/>
      </c>
    </row>
    <row r="469" spans="1:22" x14ac:dyDescent="0.25">
      <c r="A469" s="39"/>
      <c r="B469" s="40"/>
      <c r="C469" s="2"/>
      <c r="D469" s="43"/>
      <c r="E469" s="40"/>
      <c r="F469" s="2"/>
      <c r="G469" s="43"/>
      <c r="H469" s="40"/>
      <c r="I469" s="41"/>
      <c r="J469" s="41"/>
      <c r="K469" s="43"/>
      <c r="L469" s="43"/>
      <c r="M469" s="44"/>
      <c r="U469" s="3" t="str">
        <f t="shared" si="42"/>
        <v/>
      </c>
      <c r="V469" s="3" t="str">
        <f t="shared" si="43"/>
        <v/>
      </c>
    </row>
    <row r="470" spans="1:22" x14ac:dyDescent="0.25">
      <c r="A470" s="39"/>
      <c r="B470" s="40"/>
      <c r="C470" s="2"/>
      <c r="D470" s="43"/>
      <c r="E470" s="40"/>
      <c r="F470" s="2"/>
      <c r="G470" s="43"/>
      <c r="H470" s="40"/>
      <c r="I470" s="41"/>
      <c r="J470" s="41"/>
      <c r="K470" s="43"/>
      <c r="L470" s="43"/>
      <c r="M470" s="44"/>
      <c r="U470" s="3" t="str">
        <f t="shared" si="42"/>
        <v/>
      </c>
      <c r="V470" s="3" t="str">
        <f t="shared" si="43"/>
        <v/>
      </c>
    </row>
    <row r="471" spans="1:22" x14ac:dyDescent="0.25">
      <c r="A471" s="39"/>
      <c r="B471" s="40"/>
      <c r="C471" s="2"/>
      <c r="D471" s="43"/>
      <c r="E471" s="40"/>
      <c r="F471" s="2"/>
      <c r="G471" s="43"/>
      <c r="H471" s="40"/>
      <c r="I471" s="41"/>
      <c r="J471" s="41"/>
      <c r="K471" s="43"/>
      <c r="L471" s="43"/>
      <c r="M471" s="44"/>
      <c r="U471" s="3" t="str">
        <f t="shared" si="42"/>
        <v/>
      </c>
      <c r="V471" s="3" t="str">
        <f t="shared" si="43"/>
        <v/>
      </c>
    </row>
    <row r="472" spans="1:22" x14ac:dyDescent="0.25">
      <c r="A472" s="39"/>
      <c r="B472" s="40"/>
      <c r="C472" s="2"/>
      <c r="D472" s="43"/>
      <c r="E472" s="40"/>
      <c r="F472" s="2"/>
      <c r="G472" s="43"/>
      <c r="H472" s="40"/>
      <c r="I472" s="41"/>
      <c r="J472" s="41"/>
      <c r="K472" s="43"/>
      <c r="L472" s="43"/>
      <c r="M472" s="44"/>
      <c r="U472" s="3" t="str">
        <f t="shared" si="42"/>
        <v/>
      </c>
      <c r="V472" s="3" t="str">
        <f t="shared" si="43"/>
        <v/>
      </c>
    </row>
    <row r="473" spans="1:22" x14ac:dyDescent="0.25">
      <c r="A473" s="39"/>
      <c r="B473" s="40"/>
      <c r="C473" s="2"/>
      <c r="D473" s="43"/>
      <c r="E473" s="40"/>
      <c r="F473" s="2"/>
      <c r="G473" s="43"/>
      <c r="H473" s="40"/>
      <c r="I473" s="41"/>
      <c r="J473" s="41"/>
      <c r="K473" s="43"/>
      <c r="L473" s="43"/>
      <c r="M473" s="44"/>
      <c r="U473" s="3" t="str">
        <f t="shared" si="42"/>
        <v/>
      </c>
      <c r="V473" s="3" t="str">
        <f t="shared" si="43"/>
        <v/>
      </c>
    </row>
    <row r="474" spans="1:22" x14ac:dyDescent="0.25">
      <c r="A474" s="39"/>
      <c r="B474" s="40"/>
      <c r="C474" s="2"/>
      <c r="D474" s="43"/>
      <c r="E474" s="40"/>
      <c r="F474" s="2"/>
      <c r="G474" s="43"/>
      <c r="H474" s="40"/>
      <c r="I474" s="41"/>
      <c r="J474" s="41"/>
      <c r="K474" s="43"/>
      <c r="L474" s="43"/>
      <c r="M474" s="44"/>
      <c r="U474" s="3" t="str">
        <f t="shared" si="42"/>
        <v/>
      </c>
      <c r="V474" s="3" t="str">
        <f t="shared" si="43"/>
        <v/>
      </c>
    </row>
    <row r="475" spans="1:22" x14ac:dyDescent="0.25">
      <c r="A475" s="39"/>
      <c r="B475" s="40"/>
      <c r="C475" s="2"/>
      <c r="D475" s="43"/>
      <c r="E475" s="40"/>
      <c r="F475" s="2"/>
      <c r="G475" s="43"/>
      <c r="H475" s="40"/>
      <c r="I475" s="41"/>
      <c r="J475" s="41"/>
      <c r="K475" s="43"/>
      <c r="L475" s="43"/>
      <c r="M475" s="44"/>
      <c r="U475" s="3" t="str">
        <f t="shared" si="42"/>
        <v/>
      </c>
      <c r="V475" s="3" t="str">
        <f t="shared" si="43"/>
        <v/>
      </c>
    </row>
    <row r="476" spans="1:22" x14ac:dyDescent="0.25">
      <c r="A476" s="39"/>
      <c r="B476" s="40"/>
      <c r="C476" s="2"/>
      <c r="D476" s="43"/>
      <c r="E476" s="40"/>
      <c r="F476" s="2"/>
      <c r="G476" s="43"/>
      <c r="H476" s="40"/>
      <c r="I476" s="41"/>
      <c r="J476" s="41"/>
      <c r="K476" s="43"/>
      <c r="L476" s="43"/>
      <c r="M476" s="44"/>
      <c r="U476" s="3" t="str">
        <f t="shared" si="42"/>
        <v/>
      </c>
      <c r="V476" s="3" t="str">
        <f t="shared" si="43"/>
        <v/>
      </c>
    </row>
    <row r="477" spans="1:22" x14ac:dyDescent="0.25">
      <c r="A477" s="39"/>
      <c r="B477" s="40"/>
      <c r="C477" s="2"/>
      <c r="D477" s="43"/>
      <c r="E477" s="40"/>
      <c r="F477" s="2"/>
      <c r="G477" s="43"/>
      <c r="H477" s="40"/>
      <c r="I477" s="41"/>
      <c r="J477" s="41"/>
      <c r="K477" s="43"/>
      <c r="L477" s="43"/>
      <c r="M477" s="44"/>
      <c r="U477" s="3" t="str">
        <f t="shared" si="42"/>
        <v/>
      </c>
      <c r="V477" s="3" t="str">
        <f t="shared" si="43"/>
        <v/>
      </c>
    </row>
    <row r="478" spans="1:22" x14ac:dyDescent="0.25">
      <c r="A478" s="39"/>
      <c r="B478" s="40"/>
      <c r="C478" s="2"/>
      <c r="D478" s="43"/>
      <c r="E478" s="40"/>
      <c r="F478" s="2"/>
      <c r="G478" s="43"/>
      <c r="H478" s="40"/>
      <c r="I478" s="41"/>
      <c r="J478" s="41"/>
      <c r="K478" s="43"/>
      <c r="L478" s="43"/>
      <c r="M478" s="44"/>
      <c r="U478" s="3" t="str">
        <f t="shared" si="42"/>
        <v/>
      </c>
      <c r="V478" s="3" t="str">
        <f t="shared" si="43"/>
        <v/>
      </c>
    </row>
    <row r="479" spans="1:22" x14ac:dyDescent="0.25">
      <c r="A479" s="39"/>
      <c r="B479" s="40"/>
      <c r="C479" s="2"/>
      <c r="D479" s="43"/>
      <c r="E479" s="40"/>
      <c r="F479" s="2"/>
      <c r="G479" s="43"/>
      <c r="H479" s="40"/>
      <c r="I479" s="41"/>
      <c r="J479" s="41"/>
      <c r="K479" s="43"/>
      <c r="L479" s="43"/>
      <c r="M479" s="44"/>
      <c r="U479" s="3" t="str">
        <f t="shared" si="42"/>
        <v/>
      </c>
      <c r="V479" s="3" t="str">
        <f t="shared" si="43"/>
        <v/>
      </c>
    </row>
    <row r="480" spans="1:22" x14ac:dyDescent="0.25">
      <c r="A480" s="39"/>
      <c r="B480" s="40"/>
      <c r="C480" s="2"/>
      <c r="D480" s="43"/>
      <c r="E480" s="40"/>
      <c r="F480" s="2"/>
      <c r="G480" s="43"/>
      <c r="H480" s="40"/>
      <c r="I480" s="41"/>
      <c r="J480" s="41"/>
      <c r="K480" s="43"/>
      <c r="L480" s="43"/>
      <c r="M480" s="44"/>
      <c r="U480" s="3" t="str">
        <f t="shared" si="42"/>
        <v/>
      </c>
      <c r="V480" s="3" t="str">
        <f t="shared" si="43"/>
        <v/>
      </c>
    </row>
    <row r="481" spans="1:22" x14ac:dyDescent="0.25">
      <c r="A481" s="39"/>
      <c r="B481" s="40"/>
      <c r="C481" s="2"/>
      <c r="D481" s="43"/>
      <c r="E481" s="40"/>
      <c r="F481" s="2"/>
      <c r="G481" s="43"/>
      <c r="H481" s="40"/>
      <c r="I481" s="41"/>
      <c r="J481" s="41"/>
      <c r="K481" s="43"/>
      <c r="L481" s="43"/>
      <c r="M481" s="44"/>
      <c r="U481" s="3" t="str">
        <f t="shared" si="42"/>
        <v/>
      </c>
      <c r="V481" s="3" t="str">
        <f t="shared" si="43"/>
        <v/>
      </c>
    </row>
    <row r="482" spans="1:22" x14ac:dyDescent="0.25">
      <c r="A482" s="39"/>
      <c r="B482" s="40"/>
      <c r="C482" s="2"/>
      <c r="D482" s="43"/>
      <c r="E482" s="40"/>
      <c r="F482" s="2"/>
      <c r="G482" s="43"/>
      <c r="H482" s="40"/>
      <c r="I482" s="41"/>
      <c r="J482" s="41"/>
      <c r="K482" s="43"/>
      <c r="L482" s="43"/>
      <c r="M482" s="44"/>
      <c r="U482" s="3" t="str">
        <f t="shared" si="42"/>
        <v/>
      </c>
      <c r="V482" s="3" t="str">
        <f t="shared" si="43"/>
        <v/>
      </c>
    </row>
    <row r="483" spans="1:22" x14ac:dyDescent="0.25">
      <c r="A483" s="39"/>
      <c r="B483" s="40"/>
      <c r="C483" s="2"/>
      <c r="D483" s="43"/>
      <c r="E483" s="40"/>
      <c r="F483" s="2"/>
      <c r="G483" s="43"/>
      <c r="H483" s="40"/>
      <c r="I483" s="41"/>
      <c r="J483" s="41"/>
      <c r="K483" s="43"/>
      <c r="L483" s="43"/>
      <c r="M483" s="44"/>
      <c r="U483" s="3" t="str">
        <f t="shared" si="42"/>
        <v/>
      </c>
      <c r="V483" s="3" t="str">
        <f t="shared" si="43"/>
        <v/>
      </c>
    </row>
    <row r="484" spans="1:22" x14ac:dyDescent="0.25">
      <c r="A484" s="39"/>
      <c r="B484" s="40"/>
      <c r="C484" s="2"/>
      <c r="D484" s="43"/>
      <c r="E484" s="40"/>
      <c r="F484" s="2"/>
      <c r="G484" s="43"/>
      <c r="H484" s="40"/>
      <c r="I484" s="41"/>
      <c r="J484" s="41"/>
      <c r="K484" s="43"/>
      <c r="L484" s="43"/>
      <c r="M484" s="44"/>
      <c r="U484" s="3" t="str">
        <f t="shared" si="42"/>
        <v/>
      </c>
      <c r="V484" s="3" t="str">
        <f t="shared" si="43"/>
        <v/>
      </c>
    </row>
    <row r="485" spans="1:22" x14ac:dyDescent="0.25">
      <c r="A485" s="39"/>
      <c r="B485" s="40"/>
      <c r="C485" s="2"/>
      <c r="D485" s="43"/>
      <c r="E485" s="40"/>
      <c r="F485" s="2"/>
      <c r="G485" s="43"/>
      <c r="H485" s="40"/>
      <c r="I485" s="41"/>
      <c r="J485" s="41"/>
      <c r="K485" s="43"/>
      <c r="L485" s="43"/>
      <c r="M485" s="44"/>
      <c r="U485" s="3" t="str">
        <f t="shared" si="42"/>
        <v/>
      </c>
      <c r="V485" s="3" t="str">
        <f t="shared" si="43"/>
        <v/>
      </c>
    </row>
    <row r="486" spans="1:22" x14ac:dyDescent="0.25">
      <c r="A486" s="39"/>
      <c r="B486" s="40"/>
      <c r="C486" s="2"/>
      <c r="D486" s="43"/>
      <c r="E486" s="40"/>
      <c r="F486" s="2"/>
      <c r="G486" s="43"/>
      <c r="H486" s="40"/>
      <c r="I486" s="41"/>
      <c r="J486" s="41"/>
      <c r="K486" s="43"/>
      <c r="L486" s="43"/>
      <c r="M486" s="44"/>
      <c r="U486" s="3" t="str">
        <f t="shared" si="42"/>
        <v/>
      </c>
      <c r="V486" s="3" t="str">
        <f t="shared" si="43"/>
        <v/>
      </c>
    </row>
    <row r="487" spans="1:22" x14ac:dyDescent="0.25">
      <c r="A487" s="39"/>
      <c r="B487" s="40"/>
      <c r="C487" s="2"/>
      <c r="D487" s="43"/>
      <c r="E487" s="40"/>
      <c r="F487" s="2"/>
      <c r="G487" s="43"/>
      <c r="H487" s="40"/>
      <c r="I487" s="41"/>
      <c r="J487" s="41"/>
      <c r="K487" s="43"/>
      <c r="L487" s="43"/>
      <c r="M487" s="44"/>
      <c r="U487" s="3" t="str">
        <f t="shared" si="42"/>
        <v/>
      </c>
      <c r="V487" s="3" t="str">
        <f t="shared" si="43"/>
        <v/>
      </c>
    </row>
    <row r="488" spans="1:22" x14ac:dyDescent="0.25">
      <c r="A488" s="39"/>
      <c r="B488" s="40"/>
      <c r="C488" s="2"/>
      <c r="D488" s="43"/>
      <c r="E488" s="40"/>
      <c r="F488" s="2"/>
      <c r="G488" s="43"/>
      <c r="H488" s="40"/>
      <c r="I488" s="41"/>
      <c r="J488" s="41"/>
      <c r="K488" s="43"/>
      <c r="L488" s="43"/>
      <c r="M488" s="44"/>
      <c r="U488" s="3" t="str">
        <f t="shared" si="42"/>
        <v/>
      </c>
      <c r="V488" s="3" t="str">
        <f t="shared" si="43"/>
        <v/>
      </c>
    </row>
    <row r="489" spans="1:22" x14ac:dyDescent="0.25">
      <c r="A489" s="39"/>
      <c r="B489" s="40"/>
      <c r="C489" s="2"/>
      <c r="D489" s="43"/>
      <c r="E489" s="40"/>
      <c r="F489" s="2"/>
      <c r="G489" s="43"/>
      <c r="H489" s="40"/>
      <c r="I489" s="41"/>
      <c r="J489" s="41"/>
      <c r="K489" s="43"/>
      <c r="L489" s="43"/>
      <c r="M489" s="44"/>
      <c r="U489" s="3" t="str">
        <f t="shared" si="42"/>
        <v/>
      </c>
      <c r="V489" s="3" t="str">
        <f t="shared" si="43"/>
        <v/>
      </c>
    </row>
    <row r="490" spans="1:22" x14ac:dyDescent="0.25">
      <c r="A490" s="39"/>
      <c r="B490" s="40"/>
      <c r="C490" s="2"/>
      <c r="D490" s="43"/>
      <c r="E490" s="40"/>
      <c r="F490" s="2"/>
      <c r="G490" s="43"/>
      <c r="H490" s="40"/>
      <c r="I490" s="41"/>
      <c r="J490" s="41"/>
      <c r="K490" s="43"/>
      <c r="L490" s="43"/>
      <c r="M490" s="44"/>
      <c r="U490" s="3" t="str">
        <f t="shared" si="42"/>
        <v/>
      </c>
      <c r="V490" s="3" t="str">
        <f t="shared" si="43"/>
        <v/>
      </c>
    </row>
    <row r="491" spans="1:22" x14ac:dyDescent="0.25">
      <c r="A491" s="39"/>
      <c r="B491" s="40"/>
      <c r="C491" s="2"/>
      <c r="D491" s="43"/>
      <c r="E491" s="40"/>
      <c r="F491" s="2"/>
      <c r="G491" s="43"/>
      <c r="H491" s="40"/>
      <c r="I491" s="41"/>
      <c r="J491" s="41"/>
      <c r="K491" s="43"/>
      <c r="L491" s="43"/>
      <c r="M491" s="44"/>
      <c r="U491" s="3" t="str">
        <f t="shared" si="42"/>
        <v/>
      </c>
      <c r="V491" s="3" t="str">
        <f t="shared" si="43"/>
        <v/>
      </c>
    </row>
    <row r="492" spans="1:22" x14ac:dyDescent="0.25">
      <c r="A492" s="39"/>
      <c r="B492" s="40"/>
      <c r="C492" s="2"/>
      <c r="D492" s="43"/>
      <c r="E492" s="40"/>
      <c r="F492" s="2"/>
      <c r="G492" s="43"/>
      <c r="H492" s="40"/>
      <c r="I492" s="41"/>
      <c r="J492" s="41"/>
      <c r="K492" s="43"/>
      <c r="L492" s="43"/>
      <c r="M492" s="44"/>
      <c r="U492" s="3" t="str">
        <f t="shared" si="42"/>
        <v/>
      </c>
      <c r="V492" s="3" t="str">
        <f t="shared" si="43"/>
        <v/>
      </c>
    </row>
    <row r="493" spans="1:22" x14ac:dyDescent="0.25">
      <c r="A493" s="39"/>
      <c r="B493" s="40"/>
      <c r="C493" s="2"/>
      <c r="D493" s="43"/>
      <c r="E493" s="40"/>
      <c r="F493" s="2"/>
      <c r="G493" s="43"/>
      <c r="H493" s="40"/>
      <c r="I493" s="41"/>
      <c r="J493" s="41"/>
      <c r="K493" s="43"/>
      <c r="L493" s="43"/>
      <c r="M493" s="44"/>
      <c r="U493" s="3" t="str">
        <f t="shared" si="42"/>
        <v/>
      </c>
      <c r="V493" s="3" t="str">
        <f t="shared" si="43"/>
        <v/>
      </c>
    </row>
    <row r="494" spans="1:22" x14ac:dyDescent="0.25">
      <c r="A494" s="39"/>
      <c r="B494" s="40"/>
      <c r="C494" s="2"/>
      <c r="D494" s="43"/>
      <c r="E494" s="40"/>
      <c r="F494" s="2"/>
      <c r="G494" s="43"/>
      <c r="H494" s="40"/>
      <c r="I494" s="41"/>
      <c r="J494" s="41"/>
      <c r="K494" s="43"/>
      <c r="L494" s="43"/>
      <c r="M494" s="44"/>
      <c r="U494" s="3" t="str">
        <f t="shared" si="42"/>
        <v/>
      </c>
      <c r="V494" s="3" t="str">
        <f t="shared" si="43"/>
        <v/>
      </c>
    </row>
    <row r="495" spans="1:22" x14ac:dyDescent="0.25">
      <c r="A495" s="39"/>
      <c r="B495" s="40"/>
      <c r="C495" s="2"/>
      <c r="D495" s="43"/>
      <c r="E495" s="40"/>
      <c r="F495" s="2"/>
      <c r="G495" s="43"/>
      <c r="H495" s="40"/>
      <c r="I495" s="41"/>
      <c r="J495" s="41"/>
      <c r="K495" s="43"/>
      <c r="L495" s="43"/>
      <c r="M495" s="44"/>
      <c r="U495" s="3" t="str">
        <f t="shared" si="42"/>
        <v/>
      </c>
      <c r="V495" s="3" t="str">
        <f t="shared" si="43"/>
        <v/>
      </c>
    </row>
    <row r="496" spans="1:22" x14ac:dyDescent="0.25">
      <c r="A496" s="39"/>
      <c r="B496" s="40"/>
      <c r="C496" s="2"/>
      <c r="D496" s="43"/>
      <c r="E496" s="40"/>
      <c r="F496" s="2"/>
      <c r="G496" s="43"/>
      <c r="H496" s="40"/>
      <c r="I496" s="41"/>
      <c r="J496" s="41"/>
      <c r="K496" s="43"/>
      <c r="L496" s="43"/>
      <c r="M496" s="44"/>
      <c r="U496" s="3" t="str">
        <f t="shared" si="42"/>
        <v/>
      </c>
      <c r="V496" s="3" t="str">
        <f t="shared" si="43"/>
        <v/>
      </c>
    </row>
    <row r="497" spans="1:22" x14ac:dyDescent="0.25">
      <c r="A497" s="39"/>
      <c r="B497" s="40"/>
      <c r="C497" s="2"/>
      <c r="D497" s="43"/>
      <c r="E497" s="40"/>
      <c r="F497" s="2"/>
      <c r="G497" s="43"/>
      <c r="H497" s="40"/>
      <c r="I497" s="41"/>
      <c r="J497" s="41"/>
      <c r="K497" s="43"/>
      <c r="L497" s="43"/>
      <c r="M497" s="44"/>
      <c r="U497" s="3" t="str">
        <f t="shared" si="42"/>
        <v/>
      </c>
      <c r="V497" s="3" t="str">
        <f t="shared" si="43"/>
        <v/>
      </c>
    </row>
    <row r="498" spans="1:22" x14ac:dyDescent="0.25">
      <c r="A498" s="39"/>
      <c r="B498" s="40"/>
      <c r="C498" s="2"/>
      <c r="D498" s="43"/>
      <c r="E498" s="40"/>
      <c r="F498" s="2"/>
      <c r="G498" s="43"/>
      <c r="H498" s="40"/>
      <c r="I498" s="41"/>
      <c r="J498" s="41"/>
      <c r="K498" s="43"/>
      <c r="L498" s="43"/>
      <c r="M498" s="44"/>
      <c r="U498" s="3" t="str">
        <f t="shared" si="42"/>
        <v/>
      </c>
      <c r="V498" s="3" t="str">
        <f t="shared" si="43"/>
        <v/>
      </c>
    </row>
    <row r="499" spans="1:22" x14ac:dyDescent="0.25">
      <c r="A499" s="39"/>
      <c r="B499" s="40"/>
      <c r="C499" s="2"/>
      <c r="D499" s="43"/>
      <c r="E499" s="40"/>
      <c r="F499" s="2"/>
      <c r="G499" s="43"/>
      <c r="H499" s="40"/>
      <c r="I499" s="41"/>
      <c r="J499" s="41"/>
      <c r="K499" s="43"/>
      <c r="L499" s="43"/>
      <c r="M499" s="44"/>
      <c r="U499" s="3" t="str">
        <f t="shared" si="42"/>
        <v/>
      </c>
      <c r="V499" s="3" t="str">
        <f t="shared" si="43"/>
        <v/>
      </c>
    </row>
    <row r="500" spans="1:22" x14ac:dyDescent="0.25">
      <c r="A500" s="39"/>
      <c r="B500" s="40"/>
      <c r="C500" s="2"/>
      <c r="D500" s="43"/>
      <c r="E500" s="40"/>
      <c r="F500" s="2"/>
      <c r="G500" s="43"/>
      <c r="H500" s="40"/>
      <c r="I500" s="41"/>
      <c r="J500" s="41"/>
      <c r="K500" s="43"/>
      <c r="L500" s="43"/>
      <c r="M500" s="44"/>
      <c r="U500" s="3" t="str">
        <f t="shared" si="42"/>
        <v/>
      </c>
      <c r="V500" s="3" t="str">
        <f t="shared" si="43"/>
        <v/>
      </c>
    </row>
    <row r="501" spans="1:22" x14ac:dyDescent="0.25">
      <c r="A501" s="39"/>
      <c r="B501" s="40"/>
      <c r="C501" s="2"/>
      <c r="D501" s="43"/>
      <c r="E501" s="40"/>
      <c r="F501" s="2"/>
      <c r="G501" s="43"/>
      <c r="H501" s="40"/>
      <c r="I501" s="41"/>
      <c r="J501" s="41"/>
      <c r="K501" s="43"/>
      <c r="L501" s="43"/>
      <c r="M501" s="44"/>
      <c r="U501" s="3" t="str">
        <f t="shared" si="42"/>
        <v/>
      </c>
      <c r="V501" s="3" t="str">
        <f t="shared" si="43"/>
        <v/>
      </c>
    </row>
    <row r="502" spans="1:22" x14ac:dyDescent="0.25">
      <c r="A502" s="39"/>
      <c r="B502" s="40"/>
      <c r="C502" s="2"/>
      <c r="D502" s="43"/>
      <c r="E502" s="40"/>
      <c r="F502" s="2"/>
      <c r="G502" s="43"/>
      <c r="H502" s="40"/>
      <c r="I502" s="41"/>
      <c r="J502" s="41"/>
      <c r="K502" s="43"/>
      <c r="L502" s="43"/>
      <c r="M502" s="44"/>
      <c r="U502" s="3" t="str">
        <f t="shared" si="42"/>
        <v/>
      </c>
      <c r="V502" s="3" t="str">
        <f t="shared" si="43"/>
        <v/>
      </c>
    </row>
    <row r="503" spans="1:22" x14ac:dyDescent="0.25">
      <c r="A503" s="39"/>
      <c r="B503" s="40"/>
      <c r="C503" s="2"/>
      <c r="D503" s="43"/>
      <c r="E503" s="40"/>
      <c r="F503" s="2"/>
      <c r="G503" s="43"/>
      <c r="H503" s="40"/>
      <c r="I503" s="41"/>
      <c r="J503" s="41"/>
      <c r="K503" s="43"/>
      <c r="L503" s="43"/>
      <c r="M503" s="44"/>
      <c r="U503" s="3" t="str">
        <f t="shared" si="42"/>
        <v/>
      </c>
      <c r="V503" s="3" t="str">
        <f t="shared" si="43"/>
        <v/>
      </c>
    </row>
    <row r="504" spans="1:22" x14ac:dyDescent="0.25">
      <c r="A504" s="39"/>
      <c r="B504" s="40"/>
      <c r="C504" s="2"/>
      <c r="D504" s="43"/>
      <c r="E504" s="40"/>
      <c r="F504" s="2"/>
      <c r="G504" s="43"/>
      <c r="H504" s="40"/>
      <c r="I504" s="41"/>
      <c r="J504" s="41"/>
      <c r="K504" s="43"/>
      <c r="L504" s="43"/>
      <c r="M504" s="44"/>
      <c r="U504" s="3" t="str">
        <f t="shared" si="42"/>
        <v/>
      </c>
      <c r="V504" s="3" t="str">
        <f t="shared" si="43"/>
        <v/>
      </c>
    </row>
    <row r="505" spans="1:22" x14ac:dyDescent="0.25">
      <c r="A505" s="39"/>
      <c r="B505" s="40"/>
      <c r="C505" s="2"/>
      <c r="D505" s="43"/>
      <c r="E505" s="40"/>
      <c r="F505" s="2"/>
      <c r="G505" s="43"/>
      <c r="H505" s="40"/>
      <c r="I505" s="41"/>
      <c r="J505" s="41"/>
      <c r="K505" s="43"/>
      <c r="L505" s="43"/>
      <c r="M505" s="44"/>
      <c r="U505" s="3" t="str">
        <f t="shared" si="42"/>
        <v/>
      </c>
      <c r="V505" s="3" t="str">
        <f t="shared" si="43"/>
        <v/>
      </c>
    </row>
    <row r="506" spans="1:22" x14ac:dyDescent="0.25">
      <c r="A506" s="39"/>
      <c r="B506" s="40"/>
      <c r="C506" s="2"/>
      <c r="D506" s="43"/>
      <c r="E506" s="40"/>
      <c r="F506" s="2"/>
      <c r="G506" s="43"/>
      <c r="H506" s="40"/>
      <c r="I506" s="41"/>
      <c r="J506" s="41"/>
      <c r="K506" s="43"/>
      <c r="L506" s="43"/>
      <c r="M506" s="44"/>
      <c r="U506" s="3" t="str">
        <f t="shared" si="42"/>
        <v/>
      </c>
      <c r="V506" s="3" t="str">
        <f t="shared" si="43"/>
        <v/>
      </c>
    </row>
    <row r="507" spans="1:22" x14ac:dyDescent="0.25">
      <c r="A507" s="39"/>
      <c r="B507" s="40"/>
      <c r="C507" s="2"/>
      <c r="D507" s="43"/>
      <c r="E507" s="40"/>
      <c r="F507" s="2"/>
      <c r="G507" s="43"/>
      <c r="H507" s="40"/>
      <c r="I507" s="41"/>
      <c r="J507" s="41"/>
      <c r="K507" s="43"/>
      <c r="L507" s="43"/>
      <c r="M507" s="44"/>
      <c r="U507" s="3" t="str">
        <f t="shared" si="42"/>
        <v/>
      </c>
      <c r="V507" s="3" t="str">
        <f t="shared" si="43"/>
        <v/>
      </c>
    </row>
    <row r="508" spans="1:22" x14ac:dyDescent="0.25">
      <c r="A508" s="39"/>
      <c r="B508" s="40"/>
      <c r="C508" s="2"/>
      <c r="D508" s="43"/>
      <c r="E508" s="40"/>
      <c r="F508" s="2"/>
      <c r="G508" s="43"/>
      <c r="H508" s="40"/>
      <c r="I508" s="41"/>
      <c r="J508" s="41"/>
      <c r="K508" s="43"/>
      <c r="L508" s="43"/>
      <c r="M508" s="44"/>
      <c r="U508" s="3" t="str">
        <f t="shared" si="42"/>
        <v/>
      </c>
      <c r="V508" s="3" t="str">
        <f t="shared" si="43"/>
        <v/>
      </c>
    </row>
    <row r="509" spans="1:22" x14ac:dyDescent="0.25">
      <c r="A509" s="39"/>
      <c r="B509" s="40"/>
      <c r="C509" s="2"/>
      <c r="D509" s="43"/>
      <c r="E509" s="40"/>
      <c r="F509" s="2"/>
      <c r="G509" s="43"/>
      <c r="H509" s="40"/>
      <c r="I509" s="41"/>
      <c r="J509" s="41"/>
      <c r="K509" s="43"/>
      <c r="L509" s="43"/>
      <c r="M509" s="44"/>
      <c r="U509" s="3" t="str">
        <f t="shared" si="42"/>
        <v/>
      </c>
      <c r="V509" s="3" t="str">
        <f t="shared" si="43"/>
        <v/>
      </c>
    </row>
    <row r="510" spans="1:22" x14ac:dyDescent="0.25">
      <c r="A510" s="39"/>
      <c r="B510" s="40"/>
      <c r="C510" s="2"/>
      <c r="D510" s="43"/>
      <c r="E510" s="40"/>
      <c r="F510" s="2"/>
      <c r="G510" s="43"/>
      <c r="H510" s="40"/>
      <c r="I510" s="41"/>
      <c r="J510" s="41"/>
      <c r="K510" s="43"/>
      <c r="L510" s="43"/>
      <c r="M510" s="44"/>
      <c r="U510" s="3" t="str">
        <f t="shared" si="42"/>
        <v/>
      </c>
      <c r="V510" s="3" t="str">
        <f t="shared" si="43"/>
        <v/>
      </c>
    </row>
    <row r="511" spans="1:22" x14ac:dyDescent="0.25">
      <c r="A511" s="39"/>
      <c r="B511" s="40"/>
      <c r="C511" s="2"/>
      <c r="D511" s="43"/>
      <c r="E511" s="40"/>
      <c r="F511" s="2"/>
      <c r="G511" s="43"/>
      <c r="H511" s="40"/>
      <c r="I511" s="41"/>
      <c r="J511" s="41"/>
      <c r="K511" s="43"/>
      <c r="L511" s="43"/>
      <c r="M511" s="44"/>
      <c r="U511" s="3" t="str">
        <f t="shared" si="42"/>
        <v/>
      </c>
      <c r="V511" s="3" t="str">
        <f t="shared" si="43"/>
        <v/>
      </c>
    </row>
    <row r="512" spans="1:22" x14ac:dyDescent="0.25">
      <c r="A512" s="39"/>
      <c r="B512" s="40"/>
      <c r="C512" s="2"/>
      <c r="D512" s="43"/>
      <c r="E512" s="40"/>
      <c r="F512" s="2"/>
      <c r="G512" s="43"/>
      <c r="H512" s="40"/>
      <c r="I512" s="41"/>
      <c r="J512" s="41"/>
      <c r="K512" s="43"/>
      <c r="L512" s="43"/>
      <c r="M512" s="44"/>
      <c r="U512" s="3" t="str">
        <f t="shared" si="42"/>
        <v/>
      </c>
      <c r="V512" s="3" t="str">
        <f t="shared" si="43"/>
        <v/>
      </c>
    </row>
    <row r="513" spans="1:22" x14ac:dyDescent="0.25">
      <c r="A513" s="39"/>
      <c r="B513" s="40"/>
      <c r="C513" s="2"/>
      <c r="D513" s="43"/>
      <c r="E513" s="40"/>
      <c r="F513" s="2"/>
      <c r="G513" s="43"/>
      <c r="H513" s="40"/>
      <c r="I513" s="41"/>
      <c r="J513" s="41"/>
      <c r="K513" s="43"/>
      <c r="L513" s="43"/>
      <c r="M513" s="44"/>
      <c r="U513" s="3" t="str">
        <f t="shared" si="42"/>
        <v/>
      </c>
      <c r="V513" s="3" t="str">
        <f t="shared" si="43"/>
        <v/>
      </c>
    </row>
    <row r="514" spans="1:22" x14ac:dyDescent="0.25">
      <c r="A514" s="39"/>
      <c r="B514" s="40"/>
      <c r="C514" s="2"/>
      <c r="D514" s="43"/>
      <c r="E514" s="40"/>
      <c r="F514" s="2"/>
      <c r="G514" s="43"/>
      <c r="H514" s="40"/>
      <c r="I514" s="41"/>
      <c r="J514" s="41"/>
      <c r="K514" s="43"/>
      <c r="L514" s="43"/>
      <c r="M514" s="44"/>
      <c r="U514" s="3" t="str">
        <f t="shared" si="42"/>
        <v/>
      </c>
      <c r="V514" s="3" t="str">
        <f t="shared" si="43"/>
        <v/>
      </c>
    </row>
    <row r="515" spans="1:22" x14ac:dyDescent="0.25">
      <c r="A515" s="39"/>
      <c r="B515" s="40"/>
      <c r="C515" s="2"/>
      <c r="D515" s="43"/>
      <c r="E515" s="40"/>
      <c r="F515" s="2"/>
      <c r="G515" s="43"/>
      <c r="H515" s="40"/>
      <c r="I515" s="41"/>
      <c r="J515" s="41"/>
      <c r="K515" s="43"/>
      <c r="L515" s="43"/>
      <c r="M515" s="44"/>
      <c r="U515" s="3" t="str">
        <f t="shared" si="42"/>
        <v/>
      </c>
      <c r="V515" s="3" t="str">
        <f t="shared" si="43"/>
        <v/>
      </c>
    </row>
    <row r="516" spans="1:22" x14ac:dyDescent="0.25">
      <c r="A516" s="39"/>
      <c r="B516" s="40"/>
      <c r="C516" s="2"/>
      <c r="D516" s="43"/>
      <c r="E516" s="40"/>
      <c r="F516" s="2"/>
      <c r="G516" s="43"/>
      <c r="H516" s="40"/>
      <c r="I516" s="41"/>
      <c r="J516" s="41"/>
      <c r="K516" s="43"/>
      <c r="L516" s="43"/>
      <c r="M516" s="44"/>
      <c r="U516" s="3" t="str">
        <f t="shared" ref="U516:U567" si="44">IF(COUNTIF(Q:Q,O516)*COUNTIF(S:S,O516),O516,"")</f>
        <v/>
      </c>
      <c r="V516" s="3" t="str">
        <f t="shared" ref="V516:V567" si="45">IF(U516&gt;$A$14,U516,"")</f>
        <v/>
      </c>
    </row>
    <row r="517" spans="1:22" x14ac:dyDescent="0.25">
      <c r="A517" s="39"/>
      <c r="B517" s="40"/>
      <c r="C517" s="2"/>
      <c r="D517" s="43"/>
      <c r="E517" s="40"/>
      <c r="F517" s="2"/>
      <c r="G517" s="43"/>
      <c r="H517" s="40"/>
      <c r="I517" s="41"/>
      <c r="J517" s="41"/>
      <c r="K517" s="43"/>
      <c r="L517" s="43"/>
      <c r="M517" s="44"/>
      <c r="U517" s="3" t="str">
        <f t="shared" si="44"/>
        <v/>
      </c>
      <c r="V517" s="3" t="str">
        <f t="shared" si="45"/>
        <v/>
      </c>
    </row>
    <row r="518" spans="1:22" x14ac:dyDescent="0.25">
      <c r="A518" s="39"/>
      <c r="B518" s="40"/>
      <c r="C518" s="2"/>
      <c r="D518" s="43"/>
      <c r="E518" s="40"/>
      <c r="F518" s="2"/>
      <c r="G518" s="43"/>
      <c r="H518" s="40"/>
      <c r="I518" s="41"/>
      <c r="J518" s="41"/>
      <c r="K518" s="43"/>
      <c r="L518" s="43"/>
      <c r="M518" s="44"/>
      <c r="U518" s="3" t="str">
        <f t="shared" si="44"/>
        <v/>
      </c>
      <c r="V518" s="3" t="str">
        <f t="shared" si="45"/>
        <v/>
      </c>
    </row>
    <row r="519" spans="1:22" x14ac:dyDescent="0.25">
      <c r="A519" s="39"/>
      <c r="B519" s="40"/>
      <c r="C519" s="2"/>
      <c r="D519" s="43"/>
      <c r="E519" s="40"/>
      <c r="F519" s="2"/>
      <c r="G519" s="43"/>
      <c r="H519" s="40"/>
      <c r="I519" s="41"/>
      <c r="J519" s="41"/>
      <c r="K519" s="43"/>
      <c r="L519" s="43"/>
      <c r="M519" s="44"/>
      <c r="U519" s="3" t="str">
        <f t="shared" si="44"/>
        <v/>
      </c>
      <c r="V519" s="3" t="str">
        <f t="shared" si="45"/>
        <v/>
      </c>
    </row>
    <row r="520" spans="1:22" x14ac:dyDescent="0.25">
      <c r="A520" s="39"/>
      <c r="B520" s="40"/>
      <c r="C520" s="2"/>
      <c r="D520" s="43"/>
      <c r="E520" s="40"/>
      <c r="F520" s="2"/>
      <c r="G520" s="43"/>
      <c r="H520" s="40"/>
      <c r="I520" s="41"/>
      <c r="J520" s="41"/>
      <c r="K520" s="43"/>
      <c r="L520" s="43"/>
      <c r="M520" s="44"/>
      <c r="U520" s="3" t="str">
        <f t="shared" si="44"/>
        <v/>
      </c>
      <c r="V520" s="3" t="str">
        <f t="shared" si="45"/>
        <v/>
      </c>
    </row>
    <row r="521" spans="1:22" x14ac:dyDescent="0.25">
      <c r="A521" s="39"/>
      <c r="B521" s="40"/>
      <c r="C521" s="2"/>
      <c r="D521" s="43"/>
      <c r="E521" s="40"/>
      <c r="F521" s="2"/>
      <c r="G521" s="43"/>
      <c r="H521" s="40"/>
      <c r="I521" s="41"/>
      <c r="J521" s="41"/>
      <c r="K521" s="43"/>
      <c r="L521" s="43"/>
      <c r="M521" s="44"/>
      <c r="U521" s="3" t="str">
        <f t="shared" si="44"/>
        <v/>
      </c>
      <c r="V521" s="3" t="str">
        <f t="shared" si="45"/>
        <v/>
      </c>
    </row>
    <row r="522" spans="1:22" x14ac:dyDescent="0.25">
      <c r="A522" s="39"/>
      <c r="B522" s="40"/>
      <c r="C522" s="2"/>
      <c r="D522" s="43"/>
      <c r="E522" s="40"/>
      <c r="F522" s="2"/>
      <c r="G522" s="43"/>
      <c r="H522" s="40"/>
      <c r="I522" s="41"/>
      <c r="J522" s="41"/>
      <c r="K522" s="43"/>
      <c r="L522" s="43"/>
      <c r="M522" s="44"/>
      <c r="U522" s="3" t="str">
        <f t="shared" si="44"/>
        <v/>
      </c>
      <c r="V522" s="3" t="str">
        <f t="shared" si="45"/>
        <v/>
      </c>
    </row>
    <row r="523" spans="1:22" x14ac:dyDescent="0.25">
      <c r="A523" s="39"/>
      <c r="B523" s="40"/>
      <c r="C523" s="2"/>
      <c r="D523" s="43"/>
      <c r="E523" s="40"/>
      <c r="F523" s="2"/>
      <c r="G523" s="43"/>
      <c r="H523" s="40"/>
      <c r="I523" s="41"/>
      <c r="J523" s="41"/>
      <c r="K523" s="43"/>
      <c r="L523" s="43"/>
      <c r="M523" s="44"/>
      <c r="U523" s="3" t="str">
        <f t="shared" si="44"/>
        <v/>
      </c>
      <c r="V523" s="3" t="str">
        <f t="shared" si="45"/>
        <v/>
      </c>
    </row>
    <row r="524" spans="1:22" x14ac:dyDescent="0.25">
      <c r="A524" s="39"/>
      <c r="B524" s="40"/>
      <c r="C524" s="2"/>
      <c r="D524" s="43"/>
      <c r="E524" s="40"/>
      <c r="F524" s="2"/>
      <c r="G524" s="43"/>
      <c r="H524" s="40"/>
      <c r="I524" s="41"/>
      <c r="J524" s="41"/>
      <c r="K524" s="43"/>
      <c r="L524" s="43"/>
      <c r="M524" s="44"/>
      <c r="U524" s="3" t="str">
        <f t="shared" si="44"/>
        <v/>
      </c>
      <c r="V524" s="3" t="str">
        <f t="shared" si="45"/>
        <v/>
      </c>
    </row>
    <row r="525" spans="1:22" x14ac:dyDescent="0.25">
      <c r="A525" s="39"/>
      <c r="B525" s="40"/>
      <c r="C525" s="2"/>
      <c r="D525" s="43"/>
      <c r="E525" s="40"/>
      <c r="F525" s="2"/>
      <c r="G525" s="43"/>
      <c r="H525" s="40"/>
      <c r="I525" s="41"/>
      <c r="J525" s="41"/>
      <c r="K525" s="43"/>
      <c r="L525" s="43"/>
      <c r="M525" s="44"/>
      <c r="U525" s="3" t="str">
        <f t="shared" si="44"/>
        <v/>
      </c>
      <c r="V525" s="3" t="str">
        <f t="shared" si="45"/>
        <v/>
      </c>
    </row>
    <row r="526" spans="1:22" x14ac:dyDescent="0.25">
      <c r="A526" s="39"/>
      <c r="B526" s="40"/>
      <c r="C526" s="2"/>
      <c r="D526" s="43"/>
      <c r="E526" s="40"/>
      <c r="F526" s="2"/>
      <c r="G526" s="43"/>
      <c r="H526" s="40"/>
      <c r="I526" s="41"/>
      <c r="J526" s="41"/>
      <c r="K526" s="43"/>
      <c r="L526" s="43"/>
      <c r="M526" s="44"/>
      <c r="U526" s="3" t="str">
        <f t="shared" si="44"/>
        <v/>
      </c>
      <c r="V526" s="3" t="str">
        <f t="shared" si="45"/>
        <v/>
      </c>
    </row>
    <row r="527" spans="1:22" x14ac:dyDescent="0.25">
      <c r="A527" s="39"/>
      <c r="B527" s="40"/>
      <c r="C527" s="2"/>
      <c r="D527" s="43"/>
      <c r="E527" s="40"/>
      <c r="F527" s="2"/>
      <c r="G527" s="43"/>
      <c r="H527" s="40"/>
      <c r="I527" s="41"/>
      <c r="J527" s="41"/>
      <c r="K527" s="43"/>
      <c r="L527" s="43"/>
      <c r="M527" s="44"/>
      <c r="U527" s="3" t="str">
        <f t="shared" si="44"/>
        <v/>
      </c>
      <c r="V527" s="3" t="str">
        <f t="shared" si="45"/>
        <v/>
      </c>
    </row>
    <row r="528" spans="1:22" x14ac:dyDescent="0.25">
      <c r="A528" s="39"/>
      <c r="B528" s="40"/>
      <c r="C528" s="2"/>
      <c r="D528" s="43"/>
      <c r="E528" s="40"/>
      <c r="F528" s="2"/>
      <c r="G528" s="43"/>
      <c r="H528" s="40"/>
      <c r="I528" s="41"/>
      <c r="J528" s="41"/>
      <c r="K528" s="43"/>
      <c r="L528" s="43"/>
      <c r="M528" s="44"/>
      <c r="U528" s="3" t="str">
        <f t="shared" si="44"/>
        <v/>
      </c>
      <c r="V528" s="3" t="str">
        <f t="shared" si="45"/>
        <v/>
      </c>
    </row>
    <row r="529" spans="1:22" x14ac:dyDescent="0.25">
      <c r="A529" s="39"/>
      <c r="B529" s="40"/>
      <c r="C529" s="2"/>
      <c r="D529" s="43"/>
      <c r="E529" s="40"/>
      <c r="F529" s="2"/>
      <c r="G529" s="43"/>
      <c r="H529" s="40"/>
      <c r="I529" s="41"/>
      <c r="J529" s="41"/>
      <c r="K529" s="43"/>
      <c r="L529" s="43"/>
      <c r="M529" s="44"/>
      <c r="U529" s="3" t="str">
        <f t="shared" si="44"/>
        <v/>
      </c>
      <c r="V529" s="3" t="str">
        <f t="shared" si="45"/>
        <v/>
      </c>
    </row>
    <row r="530" spans="1:22" x14ac:dyDescent="0.25">
      <c r="A530" s="39"/>
      <c r="B530" s="40"/>
      <c r="C530" s="2"/>
      <c r="D530" s="43"/>
      <c r="E530" s="40"/>
      <c r="F530" s="2"/>
      <c r="G530" s="43"/>
      <c r="H530" s="40"/>
      <c r="I530" s="41"/>
      <c r="J530" s="41"/>
      <c r="K530" s="43"/>
      <c r="L530" s="43"/>
      <c r="M530" s="44"/>
      <c r="U530" s="3" t="str">
        <f t="shared" si="44"/>
        <v/>
      </c>
      <c r="V530" s="3" t="str">
        <f t="shared" si="45"/>
        <v/>
      </c>
    </row>
    <row r="531" spans="1:22" x14ac:dyDescent="0.25">
      <c r="A531" s="39"/>
      <c r="B531" s="40"/>
      <c r="C531" s="2"/>
      <c r="D531" s="43"/>
      <c r="E531" s="40"/>
      <c r="F531" s="2"/>
      <c r="G531" s="43"/>
      <c r="H531" s="40"/>
      <c r="I531" s="41"/>
      <c r="J531" s="41"/>
      <c r="K531" s="43"/>
      <c r="L531" s="43"/>
      <c r="M531" s="44"/>
      <c r="U531" s="3" t="str">
        <f t="shared" si="44"/>
        <v/>
      </c>
      <c r="V531" s="3" t="str">
        <f t="shared" si="45"/>
        <v/>
      </c>
    </row>
    <row r="532" spans="1:22" x14ac:dyDescent="0.25">
      <c r="A532" s="39"/>
      <c r="B532" s="40"/>
      <c r="C532" s="2"/>
      <c r="D532" s="43"/>
      <c r="E532" s="40"/>
      <c r="F532" s="2"/>
      <c r="G532" s="43"/>
      <c r="H532" s="40"/>
      <c r="I532" s="41"/>
      <c r="J532" s="41"/>
      <c r="K532" s="43"/>
      <c r="L532" s="43"/>
      <c r="M532" s="44"/>
      <c r="U532" s="3" t="str">
        <f t="shared" si="44"/>
        <v/>
      </c>
      <c r="V532" s="3" t="str">
        <f t="shared" si="45"/>
        <v/>
      </c>
    </row>
    <row r="533" spans="1:22" x14ac:dyDescent="0.25">
      <c r="A533" s="39"/>
      <c r="B533" s="40"/>
      <c r="C533" s="2"/>
      <c r="D533" s="43"/>
      <c r="E533" s="40"/>
      <c r="F533" s="2"/>
      <c r="G533" s="43"/>
      <c r="H533" s="40"/>
      <c r="I533" s="41"/>
      <c r="J533" s="41"/>
      <c r="K533" s="43"/>
      <c r="L533" s="43"/>
      <c r="M533" s="44"/>
      <c r="U533" s="3" t="str">
        <f t="shared" si="44"/>
        <v/>
      </c>
      <c r="V533" s="3" t="str">
        <f t="shared" si="45"/>
        <v/>
      </c>
    </row>
    <row r="534" spans="1:22" x14ac:dyDescent="0.25">
      <c r="A534" s="39"/>
      <c r="B534" s="40"/>
      <c r="C534" s="2"/>
      <c r="D534" s="43"/>
      <c r="E534" s="40"/>
      <c r="F534" s="2"/>
      <c r="G534" s="43"/>
      <c r="H534" s="40"/>
      <c r="I534" s="41"/>
      <c r="J534" s="41"/>
      <c r="K534" s="43"/>
      <c r="L534" s="43"/>
      <c r="M534" s="44"/>
      <c r="U534" s="3" t="str">
        <f t="shared" si="44"/>
        <v/>
      </c>
      <c r="V534" s="3" t="str">
        <f t="shared" si="45"/>
        <v/>
      </c>
    </row>
    <row r="535" spans="1:22" x14ac:dyDescent="0.25">
      <c r="A535" s="39"/>
      <c r="B535" s="40"/>
      <c r="C535" s="2"/>
      <c r="D535" s="43"/>
      <c r="E535" s="40"/>
      <c r="F535" s="2"/>
      <c r="G535" s="43"/>
      <c r="H535" s="40"/>
      <c r="I535" s="41"/>
      <c r="J535" s="41"/>
      <c r="K535" s="43"/>
      <c r="L535" s="43"/>
      <c r="M535" s="44"/>
      <c r="U535" s="3" t="str">
        <f t="shared" si="44"/>
        <v/>
      </c>
      <c r="V535" s="3" t="str">
        <f t="shared" si="45"/>
        <v/>
      </c>
    </row>
    <row r="536" spans="1:22" x14ac:dyDescent="0.25">
      <c r="A536" s="39"/>
      <c r="B536" s="40"/>
      <c r="C536" s="2"/>
      <c r="D536" s="43"/>
      <c r="E536" s="40"/>
      <c r="F536" s="2"/>
      <c r="G536" s="43"/>
      <c r="H536" s="40"/>
      <c r="I536" s="41"/>
      <c r="J536" s="41"/>
      <c r="K536" s="43"/>
      <c r="L536" s="43"/>
      <c r="M536" s="44"/>
      <c r="U536" s="3" t="str">
        <f t="shared" si="44"/>
        <v/>
      </c>
      <c r="V536" s="3" t="str">
        <f t="shared" si="45"/>
        <v/>
      </c>
    </row>
    <row r="537" spans="1:22" x14ac:dyDescent="0.25">
      <c r="A537" s="39"/>
      <c r="B537" s="40"/>
      <c r="C537" s="2"/>
      <c r="D537" s="43"/>
      <c r="E537" s="40"/>
      <c r="F537" s="2"/>
      <c r="G537" s="43"/>
      <c r="H537" s="40"/>
      <c r="I537" s="41"/>
      <c r="J537" s="41"/>
      <c r="K537" s="43"/>
      <c r="L537" s="43"/>
      <c r="M537" s="44"/>
      <c r="U537" s="3" t="str">
        <f t="shared" si="44"/>
        <v/>
      </c>
      <c r="V537" s="3" t="str">
        <f t="shared" si="45"/>
        <v/>
      </c>
    </row>
    <row r="538" spans="1:22" x14ac:dyDescent="0.25">
      <c r="A538" s="39"/>
      <c r="B538" s="40"/>
      <c r="C538" s="2"/>
      <c r="D538" s="43"/>
      <c r="E538" s="40"/>
      <c r="F538" s="2"/>
      <c r="G538" s="43"/>
      <c r="H538" s="40"/>
      <c r="I538" s="41"/>
      <c r="J538" s="41"/>
      <c r="K538" s="43"/>
      <c r="L538" s="43"/>
      <c r="M538" s="44"/>
      <c r="U538" s="3" t="str">
        <f t="shared" si="44"/>
        <v/>
      </c>
      <c r="V538" s="3" t="str">
        <f t="shared" si="45"/>
        <v/>
      </c>
    </row>
    <row r="539" spans="1:22" x14ac:dyDescent="0.25">
      <c r="A539" s="39"/>
      <c r="B539" s="40"/>
      <c r="C539" s="2"/>
      <c r="D539" s="43"/>
      <c r="E539" s="40"/>
      <c r="F539" s="2"/>
      <c r="G539" s="43"/>
      <c r="H539" s="40"/>
      <c r="I539" s="41"/>
      <c r="J539" s="41"/>
      <c r="K539" s="43"/>
      <c r="L539" s="43"/>
      <c r="M539" s="44"/>
      <c r="U539" s="3" t="str">
        <f t="shared" si="44"/>
        <v/>
      </c>
      <c r="V539" s="3" t="str">
        <f t="shared" si="45"/>
        <v/>
      </c>
    </row>
    <row r="540" spans="1:22" x14ac:dyDescent="0.25">
      <c r="A540" s="39"/>
      <c r="B540" s="40"/>
      <c r="C540" s="2"/>
      <c r="D540" s="43"/>
      <c r="E540" s="40"/>
      <c r="F540" s="2"/>
      <c r="G540" s="43"/>
      <c r="H540" s="40"/>
      <c r="I540" s="41"/>
      <c r="J540" s="41"/>
      <c r="K540" s="43"/>
      <c r="L540" s="43"/>
      <c r="M540" s="44"/>
      <c r="U540" s="3" t="str">
        <f t="shared" si="44"/>
        <v/>
      </c>
      <c r="V540" s="3" t="str">
        <f t="shared" si="45"/>
        <v/>
      </c>
    </row>
    <row r="541" spans="1:22" x14ac:dyDescent="0.25">
      <c r="A541" s="39"/>
      <c r="B541" s="40"/>
      <c r="C541" s="2"/>
      <c r="D541" s="43"/>
      <c r="E541" s="40"/>
      <c r="F541" s="2"/>
      <c r="G541" s="43"/>
      <c r="H541" s="40"/>
      <c r="I541" s="41"/>
      <c r="J541" s="41"/>
      <c r="K541" s="43"/>
      <c r="L541" s="43"/>
      <c r="M541" s="44"/>
      <c r="U541" s="3" t="str">
        <f t="shared" si="44"/>
        <v/>
      </c>
      <c r="V541" s="3" t="str">
        <f t="shared" si="45"/>
        <v/>
      </c>
    </row>
    <row r="542" spans="1:22" x14ac:dyDescent="0.25">
      <c r="A542" s="39"/>
      <c r="B542" s="40"/>
      <c r="C542" s="2"/>
      <c r="D542" s="43"/>
      <c r="E542" s="40"/>
      <c r="F542" s="2"/>
      <c r="G542" s="43"/>
      <c r="H542" s="40"/>
      <c r="I542" s="41"/>
      <c r="J542" s="41"/>
      <c r="K542" s="43"/>
      <c r="L542" s="43"/>
      <c r="M542" s="44"/>
      <c r="U542" s="3" t="str">
        <f t="shared" si="44"/>
        <v/>
      </c>
      <c r="V542" s="3" t="str">
        <f t="shared" si="45"/>
        <v/>
      </c>
    </row>
    <row r="543" spans="1:22" x14ac:dyDescent="0.25">
      <c r="A543" s="39"/>
      <c r="B543" s="40"/>
      <c r="C543" s="2"/>
      <c r="D543" s="43"/>
      <c r="E543" s="40"/>
      <c r="F543" s="2"/>
      <c r="G543" s="43"/>
      <c r="H543" s="40"/>
      <c r="I543" s="41"/>
      <c r="J543" s="41"/>
      <c r="K543" s="43"/>
      <c r="L543" s="43"/>
      <c r="M543" s="44"/>
      <c r="U543" s="3" t="str">
        <f t="shared" si="44"/>
        <v/>
      </c>
      <c r="V543" s="3" t="str">
        <f t="shared" si="45"/>
        <v/>
      </c>
    </row>
    <row r="544" spans="1:22" x14ac:dyDescent="0.25">
      <c r="A544" s="39"/>
      <c r="B544" s="40"/>
      <c r="C544" s="2"/>
      <c r="D544" s="43"/>
      <c r="E544" s="40"/>
      <c r="F544" s="2"/>
      <c r="G544" s="43"/>
      <c r="H544" s="40"/>
      <c r="I544" s="41"/>
      <c r="J544" s="41"/>
      <c r="K544" s="43"/>
      <c r="L544" s="43"/>
      <c r="M544" s="44"/>
      <c r="U544" s="3" t="str">
        <f t="shared" si="44"/>
        <v/>
      </c>
      <c r="V544" s="3" t="str">
        <f t="shared" si="45"/>
        <v/>
      </c>
    </row>
    <row r="545" spans="1:22" x14ac:dyDescent="0.25">
      <c r="A545" s="39"/>
      <c r="B545" s="40"/>
      <c r="C545" s="2"/>
      <c r="D545" s="43"/>
      <c r="E545" s="40"/>
      <c r="F545" s="2"/>
      <c r="G545" s="43"/>
      <c r="H545" s="40"/>
      <c r="I545" s="41"/>
      <c r="J545" s="41"/>
      <c r="K545" s="43"/>
      <c r="L545" s="43"/>
      <c r="M545" s="44"/>
      <c r="U545" s="3" t="str">
        <f t="shared" si="44"/>
        <v/>
      </c>
      <c r="V545" s="3" t="str">
        <f t="shared" si="45"/>
        <v/>
      </c>
    </row>
    <row r="546" spans="1:22" x14ac:dyDescent="0.25">
      <c r="A546" s="39"/>
      <c r="B546" s="40"/>
      <c r="C546" s="2"/>
      <c r="D546" s="43"/>
      <c r="E546" s="40"/>
      <c r="F546" s="2"/>
      <c r="G546" s="43"/>
      <c r="H546" s="40"/>
      <c r="I546" s="41"/>
      <c r="J546" s="41"/>
      <c r="K546" s="43"/>
      <c r="L546" s="43"/>
      <c r="M546" s="44"/>
      <c r="U546" s="3" t="str">
        <f t="shared" si="44"/>
        <v/>
      </c>
      <c r="V546" s="3" t="str">
        <f t="shared" si="45"/>
        <v/>
      </c>
    </row>
    <row r="547" spans="1:22" x14ac:dyDescent="0.25">
      <c r="A547" s="39"/>
      <c r="B547" s="40"/>
      <c r="C547" s="2"/>
      <c r="D547" s="43"/>
      <c r="E547" s="40"/>
      <c r="F547" s="2"/>
      <c r="G547" s="43"/>
      <c r="H547" s="40"/>
      <c r="I547" s="41"/>
      <c r="J547" s="41"/>
      <c r="K547" s="43"/>
      <c r="L547" s="43"/>
      <c r="M547" s="44"/>
      <c r="U547" s="3" t="str">
        <f t="shared" si="44"/>
        <v/>
      </c>
      <c r="V547" s="3" t="str">
        <f t="shared" si="45"/>
        <v/>
      </c>
    </row>
    <row r="548" spans="1:22" x14ac:dyDescent="0.25">
      <c r="A548" s="39"/>
      <c r="B548" s="40"/>
      <c r="C548" s="2"/>
      <c r="D548" s="43"/>
      <c r="E548" s="40"/>
      <c r="F548" s="2"/>
      <c r="G548" s="43"/>
      <c r="H548" s="40"/>
      <c r="I548" s="41"/>
      <c r="J548" s="41"/>
      <c r="K548" s="43"/>
      <c r="L548" s="43"/>
      <c r="M548" s="44"/>
      <c r="U548" s="3" t="str">
        <f t="shared" si="44"/>
        <v/>
      </c>
      <c r="V548" s="3" t="str">
        <f t="shared" si="45"/>
        <v/>
      </c>
    </row>
    <row r="549" spans="1:22" x14ac:dyDescent="0.25">
      <c r="A549" s="39"/>
      <c r="B549" s="40"/>
      <c r="C549" s="2"/>
      <c r="D549" s="43"/>
      <c r="E549" s="40"/>
      <c r="F549" s="2"/>
      <c r="G549" s="43"/>
      <c r="H549" s="40"/>
      <c r="I549" s="41"/>
      <c r="J549" s="41"/>
      <c r="K549" s="43"/>
      <c r="L549" s="43"/>
      <c r="M549" s="44"/>
      <c r="U549" s="3" t="str">
        <f t="shared" si="44"/>
        <v/>
      </c>
      <c r="V549" s="3" t="str">
        <f t="shared" si="45"/>
        <v/>
      </c>
    </row>
    <row r="550" spans="1:22" x14ac:dyDescent="0.25">
      <c r="A550" s="39"/>
      <c r="B550" s="40"/>
      <c r="C550" s="2"/>
      <c r="D550" s="43"/>
      <c r="E550" s="40"/>
      <c r="F550" s="2"/>
      <c r="G550" s="43"/>
      <c r="H550" s="40"/>
      <c r="I550" s="41"/>
      <c r="J550" s="41"/>
      <c r="K550" s="43"/>
      <c r="L550" s="43"/>
      <c r="M550" s="44"/>
      <c r="U550" s="3" t="str">
        <f t="shared" si="44"/>
        <v/>
      </c>
      <c r="V550" s="3" t="str">
        <f t="shared" si="45"/>
        <v/>
      </c>
    </row>
    <row r="551" spans="1:22" x14ac:dyDescent="0.25">
      <c r="A551" s="39"/>
      <c r="B551" s="40"/>
      <c r="C551" s="2"/>
      <c r="D551" s="43"/>
      <c r="E551" s="40"/>
      <c r="F551" s="2"/>
      <c r="G551" s="43"/>
      <c r="H551" s="40"/>
      <c r="I551" s="41"/>
      <c r="J551" s="41"/>
      <c r="K551" s="43"/>
      <c r="L551" s="43"/>
      <c r="M551" s="44"/>
      <c r="U551" s="3" t="str">
        <f t="shared" si="44"/>
        <v/>
      </c>
      <c r="V551" s="3" t="str">
        <f t="shared" si="45"/>
        <v/>
      </c>
    </row>
    <row r="552" spans="1:22" x14ac:dyDescent="0.25">
      <c r="A552" s="39"/>
      <c r="B552" s="40"/>
      <c r="C552" s="2"/>
      <c r="D552" s="43"/>
      <c r="E552" s="40"/>
      <c r="F552" s="2"/>
      <c r="G552" s="43"/>
      <c r="H552" s="40"/>
      <c r="I552" s="41"/>
      <c r="J552" s="41"/>
      <c r="K552" s="43"/>
      <c r="L552" s="43"/>
      <c r="M552" s="44"/>
      <c r="U552" s="3" t="str">
        <f t="shared" si="44"/>
        <v/>
      </c>
      <c r="V552" s="3" t="str">
        <f t="shared" si="45"/>
        <v/>
      </c>
    </row>
    <row r="553" spans="1:22" x14ac:dyDescent="0.25">
      <c r="A553" s="39"/>
      <c r="B553" s="40"/>
      <c r="C553" s="2"/>
      <c r="D553" s="43"/>
      <c r="E553" s="40"/>
      <c r="F553" s="2"/>
      <c r="G553" s="43"/>
      <c r="H553" s="40"/>
      <c r="I553" s="41"/>
      <c r="J553" s="41"/>
      <c r="K553" s="43"/>
      <c r="L553" s="43"/>
      <c r="M553" s="44"/>
      <c r="U553" s="3" t="str">
        <f t="shared" si="44"/>
        <v/>
      </c>
      <c r="V553" s="3" t="str">
        <f t="shared" si="45"/>
        <v/>
      </c>
    </row>
    <row r="554" spans="1:22" x14ac:dyDescent="0.25">
      <c r="A554" s="39"/>
      <c r="B554" s="40"/>
      <c r="C554" s="2"/>
      <c r="D554" s="43"/>
      <c r="E554" s="40"/>
      <c r="F554" s="2"/>
      <c r="G554" s="43"/>
      <c r="H554" s="40"/>
      <c r="I554" s="41"/>
      <c r="J554" s="41"/>
      <c r="K554" s="43"/>
      <c r="L554" s="43"/>
      <c r="M554" s="44"/>
      <c r="U554" s="3" t="str">
        <f t="shared" si="44"/>
        <v/>
      </c>
      <c r="V554" s="3" t="str">
        <f t="shared" si="45"/>
        <v/>
      </c>
    </row>
    <row r="555" spans="1:22" x14ac:dyDescent="0.25">
      <c r="A555" s="39"/>
      <c r="B555" s="40"/>
      <c r="C555" s="2"/>
      <c r="D555" s="43"/>
      <c r="E555" s="40"/>
      <c r="F555" s="2"/>
      <c r="G555" s="43"/>
      <c r="H555" s="40"/>
      <c r="I555" s="41"/>
      <c r="J555" s="41"/>
      <c r="K555" s="43"/>
      <c r="L555" s="43"/>
      <c r="M555" s="44"/>
      <c r="U555" s="3" t="str">
        <f t="shared" si="44"/>
        <v/>
      </c>
      <c r="V555" s="3" t="str">
        <f t="shared" si="45"/>
        <v/>
      </c>
    </row>
    <row r="556" spans="1:22" x14ac:dyDescent="0.25">
      <c r="U556" s="3" t="str">
        <f t="shared" si="44"/>
        <v/>
      </c>
      <c r="V556" s="3" t="str">
        <f t="shared" si="45"/>
        <v/>
      </c>
    </row>
    <row r="557" spans="1:22" x14ac:dyDescent="0.25">
      <c r="U557" s="3" t="str">
        <f t="shared" si="44"/>
        <v/>
      </c>
      <c r="V557" s="3" t="str">
        <f t="shared" si="45"/>
        <v/>
      </c>
    </row>
    <row r="558" spans="1:22" x14ac:dyDescent="0.25">
      <c r="U558" s="3" t="str">
        <f t="shared" si="44"/>
        <v/>
      </c>
      <c r="V558" s="3" t="str">
        <f t="shared" si="45"/>
        <v/>
      </c>
    </row>
    <row r="559" spans="1:22" x14ac:dyDescent="0.25">
      <c r="U559" s="3" t="str">
        <f t="shared" si="44"/>
        <v/>
      </c>
      <c r="V559" s="3" t="str">
        <f t="shared" si="45"/>
        <v/>
      </c>
    </row>
    <row r="560" spans="1:22" x14ac:dyDescent="0.25">
      <c r="U560" s="3" t="str">
        <f t="shared" si="44"/>
        <v/>
      </c>
      <c r="V560" s="3" t="str">
        <f t="shared" si="45"/>
        <v/>
      </c>
    </row>
    <row r="561" spans="21:22" x14ac:dyDescent="0.25">
      <c r="U561" s="3" t="str">
        <f t="shared" si="44"/>
        <v/>
      </c>
      <c r="V561" s="3" t="str">
        <f t="shared" si="45"/>
        <v/>
      </c>
    </row>
    <row r="562" spans="21:22" x14ac:dyDescent="0.25">
      <c r="U562" s="3" t="str">
        <f t="shared" si="44"/>
        <v/>
      </c>
      <c r="V562" s="3" t="str">
        <f t="shared" si="45"/>
        <v/>
      </c>
    </row>
    <row r="563" spans="21:22" x14ac:dyDescent="0.25">
      <c r="U563" s="3" t="str">
        <f t="shared" si="44"/>
        <v/>
      </c>
      <c r="V563" s="3" t="str">
        <f t="shared" si="45"/>
        <v/>
      </c>
    </row>
    <row r="564" spans="21:22" x14ac:dyDescent="0.25">
      <c r="U564" s="3" t="str">
        <f t="shared" si="44"/>
        <v/>
      </c>
      <c r="V564" s="3" t="str">
        <f t="shared" si="45"/>
        <v/>
      </c>
    </row>
    <row r="565" spans="21:22" x14ac:dyDescent="0.25">
      <c r="U565" s="3" t="str">
        <f t="shared" si="44"/>
        <v/>
      </c>
      <c r="V565" s="3" t="str">
        <f t="shared" si="45"/>
        <v/>
      </c>
    </row>
    <row r="566" spans="21:22" x14ac:dyDescent="0.25">
      <c r="U566" s="3" t="str">
        <f t="shared" si="44"/>
        <v/>
      </c>
      <c r="V566" s="3" t="str">
        <f t="shared" si="45"/>
        <v/>
      </c>
    </row>
    <row r="567" spans="21:22" x14ac:dyDescent="0.25">
      <c r="U567" s="3" t="str">
        <f t="shared" si="44"/>
        <v/>
      </c>
      <c r="V567" s="3" t="str">
        <f t="shared" si="45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5 N50:N100 AI63:AI77 N116:N1048576">
    <cfRule type="cellIs" dxfId="0" priority="1" operator="lessThan">
      <formula>0</formula>
    </cfRule>
  </conditionalFormatting>
  <hyperlinks>
    <hyperlink ref="C4" r:id="rId1" xr:uid="{0C91FBDB-91A0-42D1-BF99-8207951E0151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2"/>
  <sheetViews>
    <sheetView showGridLines="0" workbookViewId="0"/>
  </sheetViews>
  <sheetFormatPr defaultRowHeight="15"/>
  <cols>
    <col min="1" max="1" width="12" customWidth="1"/>
    <col min="2" max="5" width="11" customWidth="1"/>
    <col min="6" max="7" width="16" customWidth="1"/>
  </cols>
  <sheetData>
    <row r="1">
      <c r="A1" s="62" t="inlineStr">
        <is>
          <t>IHYG vs AHW — continuous trade P/L comparison (roll-adjusted M6 → U6)</t>
        </is>
      </c>
    </row>
    <row r="2">
      <c r="A2" s="63" t="inlineStr">
        <is>
          <t>Long EUR HY (AHW future vs IHYG ETF) hedged short OBL 2.4% 10/28 + short Xover S44. P/L recomputes on open in Excel; post-roll &amp; new dates auto-fill as Bloomberg extends the source columns.</t>
        </is>
      </c>
    </row>
    <row r="4">
      <c r="A4" s="64" t="inlineStr">
        <is>
          <t>Assumptions (green = linked to source sheets, blue = input)</t>
        </is>
      </c>
    </row>
    <row r="5">
      <c r="A5" s="65" t="inlineStr">
        <is>
          <t>Entry date</t>
        </is>
      </c>
      <c r="B5" s="66">
        <f>'13a (2)'!A14</f>
      </c>
    </row>
    <row r="6">
      <c r="A6" s="65" t="inlineStr">
        <is>
          <t>Roll date</t>
        </is>
      </c>
      <c r="B6" s="70">
        <v>46189.625</v>
      </c>
    </row>
    <row r="7">
      <c r="A7" s="65" t="inlineStr">
        <is>
          <t>Future entry px</t>
        </is>
      </c>
      <c r="B7" s="67">
        <f>'13a (2)'!B14</f>
      </c>
    </row>
    <row r="8">
      <c r="A8" s="65" t="inlineStr">
        <is>
          <t>Value of 1 pt</t>
        </is>
      </c>
      <c r="B8" s="68">
        <f>'13a (2)'!G3</f>
      </c>
    </row>
    <row r="9">
      <c r="A9" s="65" t="inlineStr">
        <is>
          <t># contracts</t>
        </is>
      </c>
      <c r="B9" s="68">
        <f>'13a (2)'!I3</f>
      </c>
    </row>
    <row r="10">
      <c r="A10" s="65" t="inlineStr">
        <is>
          <t>M6 px @ roll</t>
        </is>
      </c>
      <c r="B10" s="67">
        <f>IFERROR(VLOOKUP($B$6,'13a (2)'!$O:$P,2,FALSE),"")</f>
      </c>
    </row>
    <row r="11">
      <c r="A11" s="65" t="inlineStr">
        <is>
          <t>U6 px @ roll</t>
        </is>
      </c>
      <c r="B11" s="67">
        <f>IFERROR(VLOOKUP($B$6,'13a (2)'!$AI:$AJ,2,FALSE),"")</f>
      </c>
    </row>
    <row r="12">
      <c r="A12" s="65" t="inlineStr">
        <is>
          <t>OBL entry px</t>
        </is>
      </c>
      <c r="B12" s="67">
        <f>'13a (2)'!E14</f>
      </c>
    </row>
    <row r="13">
      <c r="A13" s="65" t="inlineStr">
        <is>
          <t>OBL notional</t>
        </is>
      </c>
      <c r="B13" s="68">
        <f>'13a (2)'!C5</f>
      </c>
    </row>
    <row r="14">
      <c r="A14" s="65" t="inlineStr">
        <is>
          <t>OBL carry</t>
        </is>
      </c>
      <c r="B14" s="69">
        <f>'13a (2)'!C6</f>
      </c>
    </row>
    <row r="15">
      <c r="A15" s="65" t="inlineStr">
        <is>
          <t>OBL financing</t>
        </is>
      </c>
      <c r="B15" s="69">
        <f>'13a (2)'!C7</f>
      </c>
    </row>
    <row r="16">
      <c r="A16" s="65" t="inlineStr">
        <is>
          <t>Xover entry index</t>
        </is>
      </c>
      <c r="B16" s="67">
        <f>'13a (2)'!I14</f>
      </c>
    </row>
    <row r="17">
      <c r="A17" s="65" t="inlineStr">
        <is>
          <t>Xover notional</t>
        </is>
      </c>
      <c r="B17" s="68">
        <f>'13a (2)'!D5</f>
      </c>
    </row>
    <row r="20" ht="30" customHeight="1">
      <c r="A20" s="71" t="inlineStr">
        <is>
          <t>Date</t>
        </is>
      </c>
      <c r="B20" s="71" t="inlineStr">
        <is>
          <t>M6 Px</t>
        </is>
      </c>
      <c r="C20" s="71" t="inlineStr">
        <is>
          <t>U6 Px</t>
        </is>
      </c>
      <c r="D20" s="71" t="inlineStr">
        <is>
          <t>OBL Px</t>
        </is>
      </c>
      <c r="E20" s="71" t="inlineStr">
        <is>
          <t>Xover Adj.Index</t>
        </is>
      </c>
      <c r="F20" s="71" t="inlineStr">
        <is>
          <t>AHW Net P/L</t>
        </is>
      </c>
      <c r="G20" s="71" t="inlineStr">
        <is>
          <t>IHYG Net P/L</t>
        </is>
      </c>
    </row>
    <row r="21">
      <c r="A21" s="72">
        <v>46113.625</v>
      </c>
      <c r="B21" s="73">
        <f>IFERROR(VLOOKUP($A21,'13a (2)'!$O:$P,2,FALSE),"")</f>
      </c>
      <c r="C21" s="73">
        <f>IFERROR(VLOOKUP($A21,'13a (2)'!$AI:$AJ,2,FALSE),"")</f>
      </c>
      <c r="D21" s="73">
        <f>IFERROR(VLOOKUP($A21,'13a (2)'!$Q:$R,2,FALSE),"")</f>
      </c>
      <c r="E21" s="73">
        <f>IFERROR(VLOOKUP(INT($A21),'13a (2)'!$X:$Y,2,FALSE),"")</f>
      </c>
      <c r="F21" s="74">
        <v>0</v>
      </c>
      <c r="G21" s="74">
        <v>0</v>
      </c>
    </row>
    <row r="22">
      <c r="A22" s="72">
        <v>46120.625</v>
      </c>
      <c r="B22" s="73">
        <f>IFERROR(VLOOKUP($A22,'13a (2)'!$O:$P,2,FALSE),"")</f>
      </c>
      <c r="C22" s="73">
        <f>IFERROR(VLOOKUP($A22,'13a (2)'!$AI:$AJ,2,FALSE),"")</f>
      </c>
      <c r="D22" s="73">
        <f>IFERROR(VLOOKUP($A22,'13a (2)'!$Q:$R,2,FALSE),"")</f>
      </c>
      <c r="E22" s="73">
        <f>IFERROR(VLOOKUP(INT($A22),'13a (2)'!$X:$Y,2,FALSE),"")</f>
      </c>
      <c r="F22" s="74">
        <f>IF($A22&lt;=$B$6,IFERROR(VLOOKUP($A22,'13a (2)'!$A:$M,13,FALSE),""),IFERROR(($B$10-$B$7)*$B$8*$B$9+($C22-$B$11)*$B$8*$B$9-($D22-$B$12)/100*$B$13-((INT($A22)-INT($B$5))/360*$B$14*$B$13-(INT($A22)-INT($B$5))/360*$B$15*$B$13*$B$12/100)-($E22/$B$16-1)*$B$17,""))</f>
      </c>
      <c r="G22" s="74">
        <f>IFERROR(VLOOKUP($A22,'13 (2)'!$A:$M,13,FALSE),"")</f>
      </c>
    </row>
    <row r="23">
      <c r="A23" s="72">
        <v>46122.625</v>
      </c>
      <c r="B23" s="73">
        <f>IFERROR(VLOOKUP($A23,'13a (2)'!$O:$P,2,FALSE),"")</f>
      </c>
      <c r="C23" s="73">
        <f>IFERROR(VLOOKUP($A23,'13a (2)'!$AI:$AJ,2,FALSE),"")</f>
      </c>
      <c r="D23" s="73">
        <f>IFERROR(VLOOKUP($A23,'13a (2)'!$Q:$R,2,FALSE),"")</f>
      </c>
      <c r="E23" s="73">
        <f>IFERROR(VLOOKUP(INT($A23),'13a (2)'!$X:$Y,2,FALSE),"")</f>
      </c>
      <c r="F23" s="74">
        <f>IF($A23&lt;=$B$6,IFERROR(VLOOKUP($A23,'13a (2)'!$A:$M,13,FALSE),""),IFERROR(($B$10-$B$7)*$B$8*$B$9+($C23-$B$11)*$B$8*$B$9-($D23-$B$12)/100*$B$13-((INT($A23)-INT($B$5))/360*$B$14*$B$13-(INT($A23)-INT($B$5))/360*$B$15*$B$13*$B$12/100)-($E23/$B$16-1)*$B$17,""))</f>
      </c>
      <c r="G23" s="74">
        <f>IFERROR(VLOOKUP($A23,'13 (2)'!$A:$M,13,FALSE),"")</f>
      </c>
    </row>
    <row r="24">
      <c r="A24" s="72">
        <v>46126.625</v>
      </c>
      <c r="B24" s="73">
        <f>IFERROR(VLOOKUP($A24,'13a (2)'!$O:$P,2,FALSE),"")</f>
      </c>
      <c r="C24" s="73">
        <f>IFERROR(VLOOKUP($A24,'13a (2)'!$AI:$AJ,2,FALSE),"")</f>
      </c>
      <c r="D24" s="73">
        <f>IFERROR(VLOOKUP($A24,'13a (2)'!$Q:$R,2,FALSE),"")</f>
      </c>
      <c r="E24" s="73">
        <f>IFERROR(VLOOKUP(INT($A24),'13a (2)'!$X:$Y,2,FALSE),"")</f>
      </c>
      <c r="F24" s="74">
        <f>IF($A24&lt;=$B$6,IFERROR(VLOOKUP($A24,'13a (2)'!$A:$M,13,FALSE),""),IFERROR(($B$10-$B$7)*$B$8*$B$9+($C24-$B$11)*$B$8*$B$9-($D24-$B$12)/100*$B$13-((INT($A24)-INT($B$5))/360*$B$14*$B$13-(INT($A24)-INT($B$5))/360*$B$15*$B$13*$B$12/100)-($E24/$B$16-1)*$B$17,""))</f>
      </c>
      <c r="G24" s="74">
        <f>IFERROR(VLOOKUP($A24,'13 (2)'!$A:$M,13,FALSE),"")</f>
      </c>
    </row>
    <row r="25">
      <c r="A25" s="72">
        <v>46127.625</v>
      </c>
      <c r="B25" s="73">
        <f>IFERROR(VLOOKUP($A25,'13a (2)'!$O:$P,2,FALSE),"")</f>
      </c>
      <c r="C25" s="73">
        <f>IFERROR(VLOOKUP($A25,'13a (2)'!$AI:$AJ,2,FALSE),"")</f>
      </c>
      <c r="D25" s="73">
        <f>IFERROR(VLOOKUP($A25,'13a (2)'!$Q:$R,2,FALSE),"")</f>
      </c>
      <c r="E25" s="73">
        <f>IFERROR(VLOOKUP(INT($A25),'13a (2)'!$X:$Y,2,FALSE),"")</f>
      </c>
      <c r="F25" s="74">
        <f>IF($A25&lt;=$B$6,IFERROR(VLOOKUP($A25,'13a (2)'!$A:$M,13,FALSE),""),IFERROR(($B$10-$B$7)*$B$8*$B$9+($C25-$B$11)*$B$8*$B$9-($D25-$B$12)/100*$B$13-((INT($A25)-INT($B$5))/360*$B$14*$B$13-(INT($A25)-INT($B$5))/360*$B$15*$B$13*$B$12/100)-($E25/$B$16-1)*$B$17,""))</f>
      </c>
      <c r="G25" s="74">
        <f>IFERROR(VLOOKUP($A25,'13 (2)'!$A:$M,13,FALSE),"")</f>
      </c>
    </row>
    <row r="26">
      <c r="A26" s="72">
        <v>46128.625</v>
      </c>
      <c r="B26" s="73">
        <f>IFERROR(VLOOKUP($A26,'13a (2)'!$O:$P,2,FALSE),"")</f>
      </c>
      <c r="C26" s="73">
        <f>IFERROR(VLOOKUP($A26,'13a (2)'!$AI:$AJ,2,FALSE),"")</f>
      </c>
      <c r="D26" s="73">
        <f>IFERROR(VLOOKUP($A26,'13a (2)'!$Q:$R,2,FALSE),"")</f>
      </c>
      <c r="E26" s="73">
        <f>IFERROR(VLOOKUP(INT($A26),'13a (2)'!$X:$Y,2,FALSE),"")</f>
      </c>
      <c r="F26" s="74">
        <f>IF($A26&lt;=$B$6,IFERROR(VLOOKUP($A26,'13a (2)'!$A:$M,13,FALSE),""),IFERROR(($B$10-$B$7)*$B$8*$B$9+($C26-$B$11)*$B$8*$B$9-($D26-$B$12)/100*$B$13-((INT($A26)-INT($B$5))/360*$B$14*$B$13-(INT($A26)-INT($B$5))/360*$B$15*$B$13*$B$12/100)-($E26/$B$16-1)*$B$17,""))</f>
      </c>
      <c r="G26" s="74">
        <f>IFERROR(VLOOKUP($A26,'13 (2)'!$A:$M,13,FALSE),"")</f>
      </c>
    </row>
    <row r="27">
      <c r="A27" s="72">
        <v>46129.625</v>
      </c>
      <c r="B27" s="73">
        <f>IFERROR(VLOOKUP($A27,'13a (2)'!$O:$P,2,FALSE),"")</f>
      </c>
      <c r="C27" s="73">
        <f>IFERROR(VLOOKUP($A27,'13a (2)'!$AI:$AJ,2,FALSE),"")</f>
      </c>
      <c r="D27" s="73">
        <f>IFERROR(VLOOKUP($A27,'13a (2)'!$Q:$R,2,FALSE),"")</f>
      </c>
      <c r="E27" s="73">
        <f>IFERROR(VLOOKUP(INT($A27),'13a (2)'!$X:$Y,2,FALSE),"")</f>
      </c>
      <c r="F27" s="74">
        <f>IF($A27&lt;=$B$6,IFERROR(VLOOKUP($A27,'13a (2)'!$A:$M,13,FALSE),""),IFERROR(($B$10-$B$7)*$B$8*$B$9+($C27-$B$11)*$B$8*$B$9-($D27-$B$12)/100*$B$13-((INT($A27)-INT($B$5))/360*$B$14*$B$13-(INT($A27)-INT($B$5))/360*$B$15*$B$13*$B$12/100)-($E27/$B$16-1)*$B$17,""))</f>
      </c>
      <c r="G27" s="74">
        <f>IFERROR(VLOOKUP($A27,'13 (2)'!$A:$M,13,FALSE),"")</f>
      </c>
    </row>
    <row r="28">
      <c r="A28" s="72">
        <v>46132.625</v>
      </c>
      <c r="B28" s="73">
        <f>IFERROR(VLOOKUP($A28,'13a (2)'!$O:$P,2,FALSE),"")</f>
      </c>
      <c r="C28" s="73">
        <f>IFERROR(VLOOKUP($A28,'13a (2)'!$AI:$AJ,2,FALSE),"")</f>
      </c>
      <c r="D28" s="73">
        <f>IFERROR(VLOOKUP($A28,'13a (2)'!$Q:$R,2,FALSE),"")</f>
      </c>
      <c r="E28" s="73">
        <f>IFERROR(VLOOKUP(INT($A28),'13a (2)'!$X:$Y,2,FALSE),"")</f>
      </c>
      <c r="F28" s="74">
        <f>IF($A28&lt;=$B$6,IFERROR(VLOOKUP($A28,'13a (2)'!$A:$M,13,FALSE),""),IFERROR(($B$10-$B$7)*$B$8*$B$9+($C28-$B$11)*$B$8*$B$9-($D28-$B$12)/100*$B$13-((INT($A28)-INT($B$5))/360*$B$14*$B$13-(INT($A28)-INT($B$5))/360*$B$15*$B$13*$B$12/100)-($E28/$B$16-1)*$B$17,""))</f>
      </c>
      <c r="G28" s="74">
        <f>IFERROR(VLOOKUP($A28,'13 (2)'!$A:$M,13,FALSE),"")</f>
      </c>
    </row>
    <row r="29">
      <c r="A29" s="72">
        <v>46133.625</v>
      </c>
      <c r="B29" s="73">
        <f>IFERROR(VLOOKUP($A29,'13a (2)'!$O:$P,2,FALSE),"")</f>
      </c>
      <c r="C29" s="73">
        <f>IFERROR(VLOOKUP($A29,'13a (2)'!$AI:$AJ,2,FALSE),"")</f>
      </c>
      <c r="D29" s="73">
        <f>IFERROR(VLOOKUP($A29,'13a (2)'!$Q:$R,2,FALSE),"")</f>
      </c>
      <c r="E29" s="73">
        <f>IFERROR(VLOOKUP(INT($A29),'13a (2)'!$X:$Y,2,FALSE),"")</f>
      </c>
      <c r="F29" s="74">
        <f>IF($A29&lt;=$B$6,IFERROR(VLOOKUP($A29,'13a (2)'!$A:$M,13,FALSE),""),IFERROR(($B$10-$B$7)*$B$8*$B$9+($C29-$B$11)*$B$8*$B$9-($D29-$B$12)/100*$B$13-((INT($A29)-INT($B$5))/360*$B$14*$B$13-(INT($A29)-INT($B$5))/360*$B$15*$B$13*$B$12/100)-($E29/$B$16-1)*$B$17,""))</f>
      </c>
      <c r="G29" s="74">
        <f>IFERROR(VLOOKUP($A29,'13 (2)'!$A:$M,13,FALSE),"")</f>
      </c>
    </row>
    <row r="30">
      <c r="A30" s="72">
        <v>46134.625</v>
      </c>
      <c r="B30" s="73">
        <f>IFERROR(VLOOKUP($A30,'13a (2)'!$O:$P,2,FALSE),"")</f>
      </c>
      <c r="C30" s="73">
        <f>IFERROR(VLOOKUP($A30,'13a (2)'!$AI:$AJ,2,FALSE),"")</f>
      </c>
      <c r="D30" s="73">
        <f>IFERROR(VLOOKUP($A30,'13a (2)'!$Q:$R,2,FALSE),"")</f>
      </c>
      <c r="E30" s="73">
        <f>IFERROR(VLOOKUP(INT($A30),'13a (2)'!$X:$Y,2,FALSE),"")</f>
      </c>
      <c r="F30" s="74">
        <f>IF($A30&lt;=$B$6,IFERROR(VLOOKUP($A30,'13a (2)'!$A:$M,13,FALSE),""),IFERROR(($B$10-$B$7)*$B$8*$B$9+($C30-$B$11)*$B$8*$B$9-($D30-$B$12)/100*$B$13-((INT($A30)-INT($B$5))/360*$B$14*$B$13-(INT($A30)-INT($B$5))/360*$B$15*$B$13*$B$12/100)-($E30/$B$16-1)*$B$17,""))</f>
      </c>
      <c r="G30" s="74">
        <f>IFERROR(VLOOKUP($A30,'13 (2)'!$A:$M,13,FALSE),"")</f>
      </c>
    </row>
    <row r="31">
      <c r="A31" s="72">
        <v>46136.625</v>
      </c>
      <c r="B31" s="73">
        <f>IFERROR(VLOOKUP($A31,'13a (2)'!$O:$P,2,FALSE),"")</f>
      </c>
      <c r="C31" s="73">
        <f>IFERROR(VLOOKUP($A31,'13a (2)'!$AI:$AJ,2,FALSE),"")</f>
      </c>
      <c r="D31" s="73">
        <f>IFERROR(VLOOKUP($A31,'13a (2)'!$Q:$R,2,FALSE),"")</f>
      </c>
      <c r="E31" s="73">
        <f>IFERROR(VLOOKUP(INT($A31),'13a (2)'!$X:$Y,2,FALSE),"")</f>
      </c>
      <c r="F31" s="74">
        <f>IF($A31&lt;=$B$6,IFERROR(VLOOKUP($A31,'13a (2)'!$A:$M,13,FALSE),""),IFERROR(($B$10-$B$7)*$B$8*$B$9+($C31-$B$11)*$B$8*$B$9-($D31-$B$12)/100*$B$13-((INT($A31)-INT($B$5))/360*$B$14*$B$13-(INT($A31)-INT($B$5))/360*$B$15*$B$13*$B$12/100)-($E31/$B$16-1)*$B$17,""))</f>
      </c>
      <c r="G31" s="74">
        <f>IFERROR(VLOOKUP($A31,'13 (2)'!$A:$M,13,FALSE),"")</f>
      </c>
    </row>
    <row r="32">
      <c r="A32" s="72">
        <v>46139.625</v>
      </c>
      <c r="B32" s="73">
        <f>IFERROR(VLOOKUP($A32,'13a (2)'!$O:$P,2,FALSE),"")</f>
      </c>
      <c r="C32" s="73">
        <f>IFERROR(VLOOKUP($A32,'13a (2)'!$AI:$AJ,2,FALSE),"")</f>
      </c>
      <c r="D32" s="73">
        <f>IFERROR(VLOOKUP($A32,'13a (2)'!$Q:$R,2,FALSE),"")</f>
      </c>
      <c r="E32" s="73">
        <f>IFERROR(VLOOKUP(INT($A32),'13a (2)'!$X:$Y,2,FALSE),"")</f>
      </c>
      <c r="F32" s="74">
        <f>IF($A32&lt;=$B$6,IFERROR(VLOOKUP($A32,'13a (2)'!$A:$M,13,FALSE),""),IFERROR(($B$10-$B$7)*$B$8*$B$9+($C32-$B$11)*$B$8*$B$9-($D32-$B$12)/100*$B$13-((INT($A32)-INT($B$5))/360*$B$14*$B$13-(INT($A32)-INT($B$5))/360*$B$15*$B$13*$B$12/100)-($E32/$B$16-1)*$B$17,""))</f>
      </c>
      <c r="G32" s="74">
        <f>IFERROR(VLOOKUP($A32,'13 (2)'!$A:$M,13,FALSE),"")</f>
      </c>
    </row>
    <row r="33">
      <c r="A33" s="72">
        <v>46140.625</v>
      </c>
      <c r="B33" s="73">
        <f>IFERROR(VLOOKUP($A33,'13a (2)'!$O:$P,2,FALSE),"")</f>
      </c>
      <c r="C33" s="73">
        <f>IFERROR(VLOOKUP($A33,'13a (2)'!$AI:$AJ,2,FALSE),"")</f>
      </c>
      <c r="D33" s="73">
        <f>IFERROR(VLOOKUP($A33,'13a (2)'!$Q:$R,2,FALSE),"")</f>
      </c>
      <c r="E33" s="73">
        <f>IFERROR(VLOOKUP(INT($A33),'13a (2)'!$X:$Y,2,FALSE),"")</f>
      </c>
      <c r="F33" s="74">
        <f>IF($A33&lt;=$B$6,IFERROR(VLOOKUP($A33,'13a (2)'!$A:$M,13,FALSE),""),IFERROR(($B$10-$B$7)*$B$8*$B$9+($C33-$B$11)*$B$8*$B$9-($D33-$B$12)/100*$B$13-((INT($A33)-INT($B$5))/360*$B$14*$B$13-(INT($A33)-INT($B$5))/360*$B$15*$B$13*$B$12/100)-($E33/$B$16-1)*$B$17,""))</f>
      </c>
      <c r="G33" s="74">
        <f>IFERROR(VLOOKUP($A33,'13 (2)'!$A:$M,13,FALSE),"")</f>
      </c>
    </row>
    <row r="34">
      <c r="A34" s="72">
        <v>46141.625</v>
      </c>
      <c r="B34" s="73">
        <f>IFERROR(VLOOKUP($A34,'13a (2)'!$O:$P,2,FALSE),"")</f>
      </c>
      <c r="C34" s="73">
        <f>IFERROR(VLOOKUP($A34,'13a (2)'!$AI:$AJ,2,FALSE),"")</f>
      </c>
      <c r="D34" s="73">
        <f>IFERROR(VLOOKUP($A34,'13a (2)'!$Q:$R,2,FALSE),"")</f>
      </c>
      <c r="E34" s="73">
        <f>IFERROR(VLOOKUP(INT($A34),'13a (2)'!$X:$Y,2,FALSE),"")</f>
      </c>
      <c r="F34" s="74">
        <f>IF($A34&lt;=$B$6,IFERROR(VLOOKUP($A34,'13a (2)'!$A:$M,13,FALSE),""),IFERROR(($B$10-$B$7)*$B$8*$B$9+($C34-$B$11)*$B$8*$B$9-($D34-$B$12)/100*$B$13-((INT($A34)-INT($B$5))/360*$B$14*$B$13-(INT($A34)-INT($B$5))/360*$B$15*$B$13*$B$12/100)-($E34/$B$16-1)*$B$17,""))</f>
      </c>
      <c r="G34" s="74">
        <f>IFERROR(VLOOKUP($A34,'13 (2)'!$A:$M,13,FALSE),"")</f>
      </c>
    </row>
    <row r="35">
      <c r="A35" s="72">
        <v>46142.625</v>
      </c>
      <c r="B35" s="73">
        <f>IFERROR(VLOOKUP($A35,'13a (2)'!$O:$P,2,FALSE),"")</f>
      </c>
      <c r="C35" s="73">
        <f>IFERROR(VLOOKUP($A35,'13a (2)'!$AI:$AJ,2,FALSE),"")</f>
      </c>
      <c r="D35" s="73">
        <f>IFERROR(VLOOKUP($A35,'13a (2)'!$Q:$R,2,FALSE),"")</f>
      </c>
      <c r="E35" s="73">
        <f>IFERROR(VLOOKUP(INT($A35),'13a (2)'!$X:$Y,2,FALSE),"")</f>
      </c>
      <c r="F35" s="74">
        <f>IF($A35&lt;=$B$6,IFERROR(VLOOKUP($A35,'13a (2)'!$A:$M,13,FALSE),""),IFERROR(($B$10-$B$7)*$B$8*$B$9+($C35-$B$11)*$B$8*$B$9-($D35-$B$12)/100*$B$13-((INT($A35)-INT($B$5))/360*$B$14*$B$13-(INT($A35)-INT($B$5))/360*$B$15*$B$13*$B$12/100)-($E35/$B$16-1)*$B$17,""))</f>
      </c>
      <c r="G35" s="74">
        <f>IFERROR(VLOOKUP($A35,'13 (2)'!$A:$M,13,FALSE),"")</f>
      </c>
    </row>
    <row r="36">
      <c r="A36" s="72">
        <v>46147.625</v>
      </c>
      <c r="B36" s="73">
        <f>IFERROR(VLOOKUP($A36,'13a (2)'!$O:$P,2,FALSE),"")</f>
      </c>
      <c r="C36" s="73">
        <f>IFERROR(VLOOKUP($A36,'13a (2)'!$AI:$AJ,2,FALSE),"")</f>
      </c>
      <c r="D36" s="73">
        <f>IFERROR(VLOOKUP($A36,'13a (2)'!$Q:$R,2,FALSE),"")</f>
      </c>
      <c r="E36" s="73">
        <f>IFERROR(VLOOKUP(INT($A36),'13a (2)'!$X:$Y,2,FALSE),"")</f>
      </c>
      <c r="F36" s="74">
        <f>IF($A36&lt;=$B$6,IFERROR(VLOOKUP($A36,'13a (2)'!$A:$M,13,FALSE),""),IFERROR(($B$10-$B$7)*$B$8*$B$9+($C36-$B$11)*$B$8*$B$9-($D36-$B$12)/100*$B$13-((INT($A36)-INT($B$5))/360*$B$14*$B$13-(INT($A36)-INT($B$5))/360*$B$15*$B$13*$B$12/100)-($E36/$B$16-1)*$B$17,""))</f>
      </c>
      <c r="G36" s="74">
        <f>IFERROR(VLOOKUP($A36,'13 (2)'!$A:$M,13,FALSE),"")</f>
      </c>
    </row>
    <row r="37">
      <c r="A37" s="72">
        <v>46148.625</v>
      </c>
      <c r="B37" s="73">
        <f>IFERROR(VLOOKUP($A37,'13a (2)'!$O:$P,2,FALSE),"")</f>
      </c>
      <c r="C37" s="73">
        <f>IFERROR(VLOOKUP($A37,'13a (2)'!$AI:$AJ,2,FALSE),"")</f>
      </c>
      <c r="D37" s="73">
        <f>IFERROR(VLOOKUP($A37,'13a (2)'!$Q:$R,2,FALSE),"")</f>
      </c>
      <c r="E37" s="73">
        <f>IFERROR(VLOOKUP(INT($A37),'13a (2)'!$X:$Y,2,FALSE),"")</f>
      </c>
      <c r="F37" s="74">
        <f>IF($A37&lt;=$B$6,IFERROR(VLOOKUP($A37,'13a (2)'!$A:$M,13,FALSE),""),IFERROR(($B$10-$B$7)*$B$8*$B$9+($C37-$B$11)*$B$8*$B$9-($D37-$B$12)/100*$B$13-((INT($A37)-INT($B$5))/360*$B$14*$B$13-(INT($A37)-INT($B$5))/360*$B$15*$B$13*$B$12/100)-($E37/$B$16-1)*$B$17,""))</f>
      </c>
      <c r="G37" s="74">
        <f>IFERROR(VLOOKUP($A37,'13 (2)'!$A:$M,13,FALSE),"")</f>
      </c>
    </row>
    <row r="38">
      <c r="A38" s="72">
        <v>46149.625</v>
      </c>
      <c r="B38" s="73">
        <f>IFERROR(VLOOKUP($A38,'13a (2)'!$O:$P,2,FALSE),"")</f>
      </c>
      <c r="C38" s="73">
        <f>IFERROR(VLOOKUP($A38,'13a (2)'!$AI:$AJ,2,FALSE),"")</f>
      </c>
      <c r="D38" s="73">
        <f>IFERROR(VLOOKUP($A38,'13a (2)'!$Q:$R,2,FALSE),"")</f>
      </c>
      <c r="E38" s="73">
        <f>IFERROR(VLOOKUP(INT($A38),'13a (2)'!$X:$Y,2,FALSE),"")</f>
      </c>
      <c r="F38" s="74">
        <f>IF($A38&lt;=$B$6,IFERROR(VLOOKUP($A38,'13a (2)'!$A:$M,13,FALSE),""),IFERROR(($B$10-$B$7)*$B$8*$B$9+($C38-$B$11)*$B$8*$B$9-($D38-$B$12)/100*$B$13-((INT($A38)-INT($B$5))/360*$B$14*$B$13-(INT($A38)-INT($B$5))/360*$B$15*$B$13*$B$12/100)-($E38/$B$16-1)*$B$17,""))</f>
      </c>
      <c r="G38" s="74">
        <f>IFERROR(VLOOKUP($A38,'13 (2)'!$A:$M,13,FALSE),"")</f>
      </c>
    </row>
    <row r="39">
      <c r="A39" s="72">
        <v>46150.625</v>
      </c>
      <c r="B39" s="73">
        <f>IFERROR(VLOOKUP($A39,'13a (2)'!$O:$P,2,FALSE),"")</f>
      </c>
      <c r="C39" s="73">
        <f>IFERROR(VLOOKUP($A39,'13a (2)'!$AI:$AJ,2,FALSE),"")</f>
      </c>
      <c r="D39" s="73">
        <f>IFERROR(VLOOKUP($A39,'13a (2)'!$Q:$R,2,FALSE),"")</f>
      </c>
      <c r="E39" s="73">
        <f>IFERROR(VLOOKUP(INT($A39),'13a (2)'!$X:$Y,2,FALSE),"")</f>
      </c>
      <c r="F39" s="74">
        <f>IF($A39&lt;=$B$6,IFERROR(VLOOKUP($A39,'13a (2)'!$A:$M,13,FALSE),""),IFERROR(($B$10-$B$7)*$B$8*$B$9+($C39-$B$11)*$B$8*$B$9-($D39-$B$12)/100*$B$13-((INT($A39)-INT($B$5))/360*$B$14*$B$13-(INT($A39)-INT($B$5))/360*$B$15*$B$13*$B$12/100)-($E39/$B$16-1)*$B$17,""))</f>
      </c>
      <c r="G39" s="74">
        <f>IFERROR(VLOOKUP($A39,'13 (2)'!$A:$M,13,FALSE),"")</f>
      </c>
    </row>
    <row r="40">
      <c r="A40" s="72">
        <v>46154.625</v>
      </c>
      <c r="B40" s="73">
        <f>IFERROR(VLOOKUP($A40,'13a (2)'!$O:$P,2,FALSE),"")</f>
      </c>
      <c r="C40" s="73">
        <f>IFERROR(VLOOKUP($A40,'13a (2)'!$AI:$AJ,2,FALSE),"")</f>
      </c>
      <c r="D40" s="73">
        <f>IFERROR(VLOOKUP($A40,'13a (2)'!$Q:$R,2,FALSE),"")</f>
      </c>
      <c r="E40" s="73">
        <f>IFERROR(VLOOKUP(INT($A40),'13a (2)'!$X:$Y,2,FALSE),"")</f>
      </c>
      <c r="F40" s="74">
        <f>IF($A40&lt;=$B$6,IFERROR(VLOOKUP($A40,'13a (2)'!$A:$M,13,FALSE),""),IFERROR(($B$10-$B$7)*$B$8*$B$9+($C40-$B$11)*$B$8*$B$9-($D40-$B$12)/100*$B$13-((INT($A40)-INT($B$5))/360*$B$14*$B$13-(INT($A40)-INT($B$5))/360*$B$15*$B$13*$B$12/100)-($E40/$B$16-1)*$B$17,""))</f>
      </c>
      <c r="G40" s="74">
        <f>IFERROR(VLOOKUP($A40,'13 (2)'!$A:$M,13,FALSE),"")</f>
      </c>
    </row>
    <row r="41">
      <c r="A41" s="72">
        <v>46155.625</v>
      </c>
      <c r="B41" s="73">
        <f>IFERROR(VLOOKUP($A41,'13a (2)'!$O:$P,2,FALSE),"")</f>
      </c>
      <c r="C41" s="73">
        <f>IFERROR(VLOOKUP($A41,'13a (2)'!$AI:$AJ,2,FALSE),"")</f>
      </c>
      <c r="D41" s="73">
        <f>IFERROR(VLOOKUP($A41,'13a (2)'!$Q:$R,2,FALSE),"")</f>
      </c>
      <c r="E41" s="73">
        <f>IFERROR(VLOOKUP(INT($A41),'13a (2)'!$X:$Y,2,FALSE),"")</f>
      </c>
      <c r="F41" s="74">
        <f>IF($A41&lt;=$B$6,IFERROR(VLOOKUP($A41,'13a (2)'!$A:$M,13,FALSE),""),IFERROR(($B$10-$B$7)*$B$8*$B$9+($C41-$B$11)*$B$8*$B$9-($D41-$B$12)/100*$B$13-((INT($A41)-INT($B$5))/360*$B$14*$B$13-(INT($A41)-INT($B$5))/360*$B$15*$B$13*$B$12/100)-($E41/$B$16-1)*$B$17,""))</f>
      </c>
      <c r="G41" s="74">
        <f>IFERROR(VLOOKUP($A41,'13 (2)'!$A:$M,13,FALSE),"")</f>
      </c>
    </row>
    <row r="42">
      <c r="A42" s="72">
        <v>46157.625</v>
      </c>
      <c r="B42" s="73">
        <f>IFERROR(VLOOKUP($A42,'13a (2)'!$O:$P,2,FALSE),"")</f>
      </c>
      <c r="C42" s="73">
        <f>IFERROR(VLOOKUP($A42,'13a (2)'!$AI:$AJ,2,FALSE),"")</f>
      </c>
      <c r="D42" s="73">
        <f>IFERROR(VLOOKUP($A42,'13a (2)'!$Q:$R,2,FALSE),"")</f>
      </c>
      <c r="E42" s="73">
        <f>IFERROR(VLOOKUP(INT($A42),'13a (2)'!$X:$Y,2,FALSE),"")</f>
      </c>
      <c r="F42" s="74">
        <f>IF($A42&lt;=$B$6,IFERROR(VLOOKUP($A42,'13a (2)'!$A:$M,13,FALSE),""),IFERROR(($B$10-$B$7)*$B$8*$B$9+($C42-$B$11)*$B$8*$B$9-($D42-$B$12)/100*$B$13-((INT($A42)-INT($B$5))/360*$B$14*$B$13-(INT($A42)-INT($B$5))/360*$B$15*$B$13*$B$12/100)-($E42/$B$16-1)*$B$17,""))</f>
      </c>
      <c r="G42" s="74">
        <f>IFERROR(VLOOKUP($A42,'13 (2)'!$A:$M,13,FALSE),"")</f>
      </c>
    </row>
    <row r="43">
      <c r="A43" s="72">
        <v>46161.625</v>
      </c>
      <c r="B43" s="73">
        <f>IFERROR(VLOOKUP($A43,'13a (2)'!$O:$P,2,FALSE),"")</f>
      </c>
      <c r="C43" s="73">
        <f>IFERROR(VLOOKUP($A43,'13a (2)'!$AI:$AJ,2,FALSE),"")</f>
      </c>
      <c r="D43" s="73">
        <f>IFERROR(VLOOKUP($A43,'13a (2)'!$Q:$R,2,FALSE),"")</f>
      </c>
      <c r="E43" s="73">
        <f>IFERROR(VLOOKUP(INT($A43),'13a (2)'!$X:$Y,2,FALSE),"")</f>
      </c>
      <c r="F43" s="74">
        <f>IF($A43&lt;=$B$6,IFERROR(VLOOKUP($A43,'13a (2)'!$A:$M,13,FALSE),""),IFERROR(($B$10-$B$7)*$B$8*$B$9+($C43-$B$11)*$B$8*$B$9-($D43-$B$12)/100*$B$13-((INT($A43)-INT($B$5))/360*$B$14*$B$13-(INT($A43)-INT($B$5))/360*$B$15*$B$13*$B$12/100)-($E43/$B$16-1)*$B$17,""))</f>
      </c>
      <c r="G43" s="74">
        <f>IFERROR(VLOOKUP($A43,'13 (2)'!$A:$M,13,FALSE),"")</f>
      </c>
    </row>
    <row r="44">
      <c r="A44" s="72">
        <v>46162.625</v>
      </c>
      <c r="B44" s="73">
        <f>IFERROR(VLOOKUP($A44,'13a (2)'!$O:$P,2,FALSE),"")</f>
      </c>
      <c r="C44" s="73">
        <f>IFERROR(VLOOKUP($A44,'13a (2)'!$AI:$AJ,2,FALSE),"")</f>
      </c>
      <c r="D44" s="73">
        <f>IFERROR(VLOOKUP($A44,'13a (2)'!$Q:$R,2,FALSE),"")</f>
      </c>
      <c r="E44" s="73">
        <f>IFERROR(VLOOKUP(INT($A44),'13a (2)'!$X:$Y,2,FALSE),"")</f>
      </c>
      <c r="F44" s="74">
        <f>IF($A44&lt;=$B$6,IFERROR(VLOOKUP($A44,'13a (2)'!$A:$M,13,FALSE),""),IFERROR(($B$10-$B$7)*$B$8*$B$9+($C44-$B$11)*$B$8*$B$9-($D44-$B$12)/100*$B$13-((INT($A44)-INT($B$5))/360*$B$14*$B$13-(INT($A44)-INT($B$5))/360*$B$15*$B$13*$B$12/100)-($E44/$B$16-1)*$B$17,""))</f>
      </c>
      <c r="G44" s="74">
        <f>IFERROR(VLOOKUP($A44,'13 (2)'!$A:$M,13,FALSE),"")</f>
      </c>
    </row>
    <row r="45">
      <c r="A45" s="72">
        <v>46163.625</v>
      </c>
      <c r="B45" s="73">
        <f>IFERROR(VLOOKUP($A45,'13a (2)'!$O:$P,2,FALSE),"")</f>
      </c>
      <c r="C45" s="73">
        <f>IFERROR(VLOOKUP($A45,'13a (2)'!$AI:$AJ,2,FALSE),"")</f>
      </c>
      <c r="D45" s="73">
        <f>IFERROR(VLOOKUP($A45,'13a (2)'!$Q:$R,2,FALSE),"")</f>
      </c>
      <c r="E45" s="73">
        <f>IFERROR(VLOOKUP(INT($A45),'13a (2)'!$X:$Y,2,FALSE),"")</f>
      </c>
      <c r="F45" s="74">
        <f>IF($A45&lt;=$B$6,IFERROR(VLOOKUP($A45,'13a (2)'!$A:$M,13,FALSE),""),IFERROR(($B$10-$B$7)*$B$8*$B$9+($C45-$B$11)*$B$8*$B$9-($D45-$B$12)/100*$B$13-((INT($A45)-INT($B$5))/360*$B$14*$B$13-(INT($A45)-INT($B$5))/360*$B$15*$B$13*$B$12/100)-($E45/$B$16-1)*$B$17,""))</f>
      </c>
      <c r="G45" s="74">
        <f>IFERROR(VLOOKUP($A45,'13 (2)'!$A:$M,13,FALSE),"")</f>
      </c>
    </row>
    <row r="46">
      <c r="A46" s="72">
        <v>46168.625</v>
      </c>
      <c r="B46" s="73">
        <f>IFERROR(VLOOKUP($A46,'13a (2)'!$O:$P,2,FALSE),"")</f>
      </c>
      <c r="C46" s="73">
        <f>IFERROR(VLOOKUP($A46,'13a (2)'!$AI:$AJ,2,FALSE),"")</f>
      </c>
      <c r="D46" s="73">
        <f>IFERROR(VLOOKUP($A46,'13a (2)'!$Q:$R,2,FALSE),"")</f>
      </c>
      <c r="E46" s="73">
        <f>IFERROR(VLOOKUP(INT($A46),'13a (2)'!$X:$Y,2,FALSE),"")</f>
      </c>
      <c r="F46" s="74">
        <f>IF($A46&lt;=$B$6,IFERROR(VLOOKUP($A46,'13a (2)'!$A:$M,13,FALSE),""),IFERROR(($B$10-$B$7)*$B$8*$B$9+($C46-$B$11)*$B$8*$B$9-($D46-$B$12)/100*$B$13-((INT($A46)-INT($B$5))/360*$B$14*$B$13-(INT($A46)-INT($B$5))/360*$B$15*$B$13*$B$12/100)-($E46/$B$16-1)*$B$17,""))</f>
      </c>
      <c r="G46" s="74">
        <f>IFERROR(VLOOKUP($A46,'13 (2)'!$A:$M,13,FALSE),"")</f>
      </c>
    </row>
    <row r="47">
      <c r="A47" s="72">
        <v>46169.625</v>
      </c>
      <c r="B47" s="73">
        <f>IFERROR(VLOOKUP($A47,'13a (2)'!$O:$P,2,FALSE),"")</f>
      </c>
      <c r="C47" s="73">
        <f>IFERROR(VLOOKUP($A47,'13a (2)'!$AI:$AJ,2,FALSE),"")</f>
      </c>
      <c r="D47" s="73">
        <f>IFERROR(VLOOKUP($A47,'13a (2)'!$Q:$R,2,FALSE),"")</f>
      </c>
      <c r="E47" s="73">
        <f>IFERROR(VLOOKUP(INT($A47),'13a (2)'!$X:$Y,2,FALSE),"")</f>
      </c>
      <c r="F47" s="74">
        <f>IF($A47&lt;=$B$6,IFERROR(VLOOKUP($A47,'13a (2)'!$A:$M,13,FALSE),""),IFERROR(($B$10-$B$7)*$B$8*$B$9+($C47-$B$11)*$B$8*$B$9-($D47-$B$12)/100*$B$13-((INT($A47)-INT($B$5))/360*$B$14*$B$13-(INT($A47)-INT($B$5))/360*$B$15*$B$13*$B$12/100)-($E47/$B$16-1)*$B$17,""))</f>
      </c>
      <c r="G47" s="74">
        <f>IFERROR(VLOOKUP($A47,'13 (2)'!$A:$M,13,FALSE),"")</f>
      </c>
    </row>
    <row r="48">
      <c r="A48" s="72">
        <v>46170.625</v>
      </c>
      <c r="B48" s="73">
        <f>IFERROR(VLOOKUP($A48,'13a (2)'!$O:$P,2,FALSE),"")</f>
      </c>
      <c r="C48" s="73">
        <f>IFERROR(VLOOKUP($A48,'13a (2)'!$AI:$AJ,2,FALSE),"")</f>
      </c>
      <c r="D48" s="73">
        <f>IFERROR(VLOOKUP($A48,'13a (2)'!$Q:$R,2,FALSE),"")</f>
      </c>
      <c r="E48" s="73">
        <f>IFERROR(VLOOKUP(INT($A48),'13a (2)'!$X:$Y,2,FALSE),"")</f>
      </c>
      <c r="F48" s="74">
        <f>IF($A48&lt;=$B$6,IFERROR(VLOOKUP($A48,'13a (2)'!$A:$M,13,FALSE),""),IFERROR(($B$10-$B$7)*$B$8*$B$9+($C48-$B$11)*$B$8*$B$9-($D48-$B$12)/100*$B$13-((INT($A48)-INT($B$5))/360*$B$14*$B$13-(INT($A48)-INT($B$5))/360*$B$15*$B$13*$B$12/100)-($E48/$B$16-1)*$B$17,""))</f>
      </c>
      <c r="G48" s="74">
        <f>IFERROR(VLOOKUP($A48,'13 (2)'!$A:$M,13,FALSE),"")</f>
      </c>
    </row>
    <row r="49">
      <c r="A49" s="72">
        <v>46171.625</v>
      </c>
      <c r="B49" s="73">
        <f>IFERROR(VLOOKUP($A49,'13a (2)'!$O:$P,2,FALSE),"")</f>
      </c>
      <c r="C49" s="73">
        <f>IFERROR(VLOOKUP($A49,'13a (2)'!$AI:$AJ,2,FALSE),"")</f>
      </c>
      <c r="D49" s="73">
        <f>IFERROR(VLOOKUP($A49,'13a (2)'!$Q:$R,2,FALSE),"")</f>
      </c>
      <c r="E49" s="73">
        <f>IFERROR(VLOOKUP(INT($A49),'13a (2)'!$X:$Y,2,FALSE),"")</f>
      </c>
      <c r="F49" s="74">
        <f>IF($A49&lt;=$B$6,IFERROR(VLOOKUP($A49,'13a (2)'!$A:$M,13,FALSE),""),IFERROR(($B$10-$B$7)*$B$8*$B$9+($C49-$B$11)*$B$8*$B$9-($D49-$B$12)/100*$B$13-((INT($A49)-INT($B$5))/360*$B$14*$B$13-(INT($A49)-INT($B$5))/360*$B$15*$B$13*$B$12/100)-($E49/$B$16-1)*$B$17,""))</f>
      </c>
      <c r="G49" s="74">
        <f>IFERROR(VLOOKUP($A49,'13 (2)'!$A:$M,13,FALSE),"")</f>
      </c>
    </row>
    <row r="50">
      <c r="A50" s="72">
        <v>46174.625</v>
      </c>
      <c r="B50" s="73">
        <f>IFERROR(VLOOKUP($A50,'13a (2)'!$O:$P,2,FALSE),"")</f>
      </c>
      <c r="C50" s="73">
        <f>IFERROR(VLOOKUP($A50,'13a (2)'!$AI:$AJ,2,FALSE),"")</f>
      </c>
      <c r="D50" s="73">
        <f>IFERROR(VLOOKUP($A50,'13a (2)'!$Q:$R,2,FALSE),"")</f>
      </c>
      <c r="E50" s="73">
        <f>IFERROR(VLOOKUP(INT($A50),'13a (2)'!$X:$Y,2,FALSE),"")</f>
      </c>
      <c r="F50" s="74">
        <f>IF($A50&lt;=$B$6,IFERROR(VLOOKUP($A50,'13a (2)'!$A:$M,13,FALSE),""),IFERROR(($B$10-$B$7)*$B$8*$B$9+($C50-$B$11)*$B$8*$B$9-($D50-$B$12)/100*$B$13-((INT($A50)-INT($B$5))/360*$B$14*$B$13-(INT($A50)-INT($B$5))/360*$B$15*$B$13*$B$12/100)-($E50/$B$16-1)*$B$17,""))</f>
      </c>
      <c r="G50" s="74">
        <f>IFERROR(VLOOKUP($A50,'13 (2)'!$A:$M,13,FALSE),"")</f>
      </c>
    </row>
    <row r="51">
      <c r="A51" s="72">
        <v>46176.625</v>
      </c>
      <c r="B51" s="73">
        <f>IFERROR(VLOOKUP($A51,'13a (2)'!$O:$P,2,FALSE),"")</f>
      </c>
      <c r="C51" s="73">
        <f>IFERROR(VLOOKUP($A51,'13a (2)'!$AI:$AJ,2,FALSE),"")</f>
      </c>
      <c r="D51" s="73">
        <f>IFERROR(VLOOKUP($A51,'13a (2)'!$Q:$R,2,FALSE),"")</f>
      </c>
      <c r="E51" s="73">
        <f>IFERROR(VLOOKUP(INT($A51),'13a (2)'!$X:$Y,2,FALSE),"")</f>
      </c>
      <c r="F51" s="74">
        <f>IF($A51&lt;=$B$6,IFERROR(VLOOKUP($A51,'13a (2)'!$A:$M,13,FALSE),""),IFERROR(($B$10-$B$7)*$B$8*$B$9+($C51-$B$11)*$B$8*$B$9-($D51-$B$12)/100*$B$13-((INT($A51)-INT($B$5))/360*$B$14*$B$13-(INT($A51)-INT($B$5))/360*$B$15*$B$13*$B$12/100)-($E51/$B$16-1)*$B$17,""))</f>
      </c>
      <c r="G51" s="74">
        <f>IFERROR(VLOOKUP($A51,'13 (2)'!$A:$M,13,FALSE),"")</f>
      </c>
    </row>
    <row r="52">
      <c r="A52" s="72">
        <v>46177.625</v>
      </c>
      <c r="B52" s="73">
        <f>IFERROR(VLOOKUP($A52,'13a (2)'!$O:$P,2,FALSE),"")</f>
      </c>
      <c r="C52" s="73">
        <f>IFERROR(VLOOKUP($A52,'13a (2)'!$AI:$AJ,2,FALSE),"")</f>
      </c>
      <c r="D52" s="73">
        <f>IFERROR(VLOOKUP($A52,'13a (2)'!$Q:$R,2,FALSE),"")</f>
      </c>
      <c r="E52" s="73">
        <f>IFERROR(VLOOKUP(INT($A52),'13a (2)'!$X:$Y,2,FALSE),"")</f>
      </c>
      <c r="F52" s="74">
        <f>IF($A52&lt;=$B$6,IFERROR(VLOOKUP($A52,'13a (2)'!$A:$M,13,FALSE),""),IFERROR(($B$10-$B$7)*$B$8*$B$9+($C52-$B$11)*$B$8*$B$9-($D52-$B$12)/100*$B$13-((INT($A52)-INT($B$5))/360*$B$14*$B$13-(INT($A52)-INT($B$5))/360*$B$15*$B$13*$B$12/100)-($E52/$B$16-1)*$B$17,""))</f>
      </c>
      <c r="G52" s="74">
        <f>IFERROR(VLOOKUP($A52,'13 (2)'!$A:$M,13,FALSE),"")</f>
      </c>
    </row>
    <row r="53">
      <c r="A53" s="72">
        <v>46182.625</v>
      </c>
      <c r="B53" s="73">
        <f>IFERROR(VLOOKUP($A53,'13a (2)'!$O:$P,2,FALSE),"")</f>
      </c>
      <c r="C53" s="73">
        <f>IFERROR(VLOOKUP($A53,'13a (2)'!$AI:$AJ,2,FALSE),"")</f>
      </c>
      <c r="D53" s="73">
        <f>IFERROR(VLOOKUP($A53,'13a (2)'!$Q:$R,2,FALSE),"")</f>
      </c>
      <c r="E53" s="73">
        <f>IFERROR(VLOOKUP(INT($A53),'13a (2)'!$X:$Y,2,FALSE),"")</f>
      </c>
      <c r="F53" s="74">
        <f>IF($A53&lt;=$B$6,IFERROR(VLOOKUP($A53,'13a (2)'!$A:$M,13,FALSE),""),IFERROR(($B$10-$B$7)*$B$8*$B$9+($C53-$B$11)*$B$8*$B$9-($D53-$B$12)/100*$B$13-((INT($A53)-INT($B$5))/360*$B$14*$B$13-(INT($A53)-INT($B$5))/360*$B$15*$B$13*$B$12/100)-($E53/$B$16-1)*$B$17,""))</f>
      </c>
      <c r="G53" s="74">
        <f>IFERROR(VLOOKUP($A53,'13 (2)'!$A:$M,13,FALSE),"")</f>
      </c>
    </row>
    <row r="54">
      <c r="A54" s="72">
        <v>46188.625</v>
      </c>
      <c r="B54" s="73">
        <f>IFERROR(VLOOKUP($A54,'13a (2)'!$O:$P,2,FALSE),"")</f>
      </c>
      <c r="C54" s="73">
        <f>IFERROR(VLOOKUP($A54,'13a (2)'!$AI:$AJ,2,FALSE),"")</f>
      </c>
      <c r="D54" s="73">
        <f>IFERROR(VLOOKUP($A54,'13a (2)'!$Q:$R,2,FALSE),"")</f>
      </c>
      <c r="E54" s="73">
        <f>IFERROR(VLOOKUP(INT($A54),'13a (2)'!$X:$Y,2,FALSE),"")</f>
      </c>
      <c r="F54" s="74">
        <f>IF($A54&lt;=$B$6,IFERROR(VLOOKUP($A54,'13a (2)'!$A:$M,13,FALSE),""),IFERROR(($B$10-$B$7)*$B$8*$B$9+($C54-$B$11)*$B$8*$B$9-($D54-$B$12)/100*$B$13-((INT($A54)-INT($B$5))/360*$B$14*$B$13-(INT($A54)-INT($B$5))/360*$B$15*$B$13*$B$12/100)-($E54/$B$16-1)*$B$17,""))</f>
      </c>
      <c r="G54" s="74">
        <f>IFERROR(VLOOKUP($A54,'13 (2)'!$A:$M,13,FALSE),"")</f>
      </c>
    </row>
    <row r="55">
      <c r="A55" s="72">
        <v>46189.625</v>
      </c>
      <c r="B55" s="73">
        <f>IFERROR(VLOOKUP($A55,'13a (2)'!$O:$P,2,FALSE),"")</f>
      </c>
      <c r="C55" s="73">
        <f>IFERROR(VLOOKUP($A55,'13a (2)'!$AI:$AJ,2,FALSE),"")</f>
      </c>
      <c r="D55" s="73">
        <f>IFERROR(VLOOKUP($A55,'13a (2)'!$Q:$R,2,FALSE),"")</f>
      </c>
      <c r="E55" s="73">
        <f>IFERROR(VLOOKUP(INT($A55),'13a (2)'!$X:$Y,2,FALSE),"")</f>
      </c>
      <c r="F55" s="74">
        <f>IF($A55&lt;=$B$6,IFERROR(VLOOKUP($A55,'13a (2)'!$A:$M,13,FALSE),""),IFERROR(($B$10-$B$7)*$B$8*$B$9+($C55-$B$11)*$B$8*$B$9-($D55-$B$12)/100*$B$13-((INT($A55)-INT($B$5))/360*$B$14*$B$13-(INT($A55)-INT($B$5))/360*$B$15*$B$13*$B$12/100)-($E55/$B$16-1)*$B$17,""))</f>
      </c>
      <c r="G55" s="74">
        <f>IFERROR(VLOOKUP($A55,'13 (2)'!$A:$M,13,FALSE),"")</f>
      </c>
    </row>
    <row r="56">
      <c r="A56" s="72">
        <v>46190.625</v>
      </c>
      <c r="B56" s="73">
        <f>IFERROR(VLOOKUP($A56,'13a (2)'!$O:$P,2,FALSE),"")</f>
      </c>
      <c r="C56" s="73">
        <f>IFERROR(VLOOKUP($A56,'13a (2)'!$AI:$AJ,2,FALSE),"")</f>
      </c>
      <c r="D56" s="73">
        <f>IFERROR(VLOOKUP($A56,'13a (2)'!$Q:$R,2,FALSE),"")</f>
      </c>
      <c r="E56" s="73">
        <f>IFERROR(VLOOKUP(INT($A56),'13a (2)'!$X:$Y,2,FALSE),"")</f>
      </c>
      <c r="F56" s="74">
        <f>IF($A56&lt;=$B$6,IFERROR(VLOOKUP($A56,'13a (2)'!$A:$M,13,FALSE),""),IFERROR(($B$10-$B$7)*$B$8*$B$9+($C56-$B$11)*$B$8*$B$9-($D56-$B$12)/100*$B$13-((INT($A56)-INT($B$5))/360*$B$14*$B$13-(INT($A56)-INT($B$5))/360*$B$15*$B$13*$B$12/100)-($E56/$B$16-1)*$B$17,""))</f>
      </c>
      <c r="G56" s="74">
        <f>IFERROR(VLOOKUP($A56,'13 (2)'!$A:$M,13,FALSE),"")</f>
      </c>
    </row>
    <row r="57">
      <c r="A57" s="72">
        <v>46191.625</v>
      </c>
      <c r="B57" s="73">
        <f>IFERROR(VLOOKUP($A57,'13a (2)'!$O:$P,2,FALSE),"")</f>
      </c>
      <c r="C57" s="73">
        <f>IFERROR(VLOOKUP($A57,'13a (2)'!$AI:$AJ,2,FALSE),"")</f>
      </c>
      <c r="D57" s="73">
        <f>IFERROR(VLOOKUP($A57,'13a (2)'!$Q:$R,2,FALSE),"")</f>
      </c>
      <c r="E57" s="73">
        <f>IFERROR(VLOOKUP(INT($A57),'13a (2)'!$X:$Y,2,FALSE),"")</f>
      </c>
      <c r="F57" s="74">
        <f>IF($A57&lt;=$B$6,IFERROR(VLOOKUP($A57,'13a (2)'!$A:$M,13,FALSE),""),IFERROR(($B$10-$B$7)*$B$8*$B$9+($C57-$B$11)*$B$8*$B$9-($D57-$B$12)/100*$B$13-((INT($A57)-INT($B$5))/360*$B$14*$B$13-(INT($A57)-INT($B$5))/360*$B$15*$B$13*$B$12/100)-($E57/$B$16-1)*$B$17,""))</f>
      </c>
      <c r="G57" s="74">
        <f>IFERROR(VLOOKUP($A57,'13 (2)'!$A:$M,13,FALSE),"")</f>
      </c>
    </row>
    <row r="58">
      <c r="A58" s="72">
        <v>46192.625</v>
      </c>
      <c r="B58" s="73">
        <f>IFERROR(VLOOKUP($A58,'13a (2)'!$O:$P,2,FALSE),"")</f>
      </c>
      <c r="C58" s="73">
        <f>IFERROR(VLOOKUP($A58,'13a (2)'!$AI:$AJ,2,FALSE),"")</f>
      </c>
      <c r="D58" s="73">
        <f>IFERROR(VLOOKUP($A58,'13a (2)'!$Q:$R,2,FALSE),"")</f>
      </c>
      <c r="E58" s="73">
        <f>IFERROR(VLOOKUP(INT($A58),'13a (2)'!$X:$Y,2,FALSE),"")</f>
      </c>
      <c r="F58" s="74">
        <f>IF($A58&lt;=$B$6,IFERROR(VLOOKUP($A58,'13a (2)'!$A:$M,13,FALSE),""),IFERROR(($B$10-$B$7)*$B$8*$B$9+($C58-$B$11)*$B$8*$B$9-($D58-$B$12)/100*$B$13-((INT($A58)-INT($B$5))/360*$B$14*$B$13-(INT($A58)-INT($B$5))/360*$B$15*$B$13*$B$12/100)-($E58/$B$16-1)*$B$17,""))</f>
      </c>
      <c r="G58" s="74">
        <f>IFERROR(VLOOKUP($A58,'13 (2)'!$A:$M,13,FALSE),"")</f>
      </c>
    </row>
    <row r="59">
      <c r="A59" s="72">
        <v>46196.625</v>
      </c>
      <c r="B59" s="73">
        <f>IFERROR(VLOOKUP($A59,'13a (2)'!$O:$P,2,FALSE),"")</f>
      </c>
      <c r="C59" s="73">
        <f>IFERROR(VLOOKUP($A59,'13a (2)'!$AI:$AJ,2,FALSE),"")</f>
      </c>
      <c r="D59" s="73">
        <f>IFERROR(VLOOKUP($A59,'13a (2)'!$Q:$R,2,FALSE),"")</f>
      </c>
      <c r="E59" s="73">
        <f>IFERROR(VLOOKUP(INT($A59),'13a (2)'!$X:$Y,2,FALSE),"")</f>
      </c>
      <c r="F59" s="74">
        <f>IF($A59&lt;=$B$6,IFERROR(VLOOKUP($A59,'13a (2)'!$A:$M,13,FALSE),""),IFERROR(($B$10-$B$7)*$B$8*$B$9+($C59-$B$11)*$B$8*$B$9-($D59-$B$12)/100*$B$13-((INT($A59)-INT($B$5))/360*$B$14*$B$13-(INT($A59)-INT($B$5))/360*$B$15*$B$13*$B$12/100)-($E59/$B$16-1)*$B$17,""))</f>
      </c>
      <c r="G59" s="74">
        <f>IFERROR(VLOOKUP($A59,'13 (2)'!$A:$M,13,FALSE),"")</f>
      </c>
    </row>
    <row r="60">
      <c r="A60" s="72">
        <v>46197.625</v>
      </c>
      <c r="B60" s="73">
        <f>IFERROR(VLOOKUP($A60,'13a (2)'!$O:$P,2,FALSE),"")</f>
      </c>
      <c r="C60" s="73">
        <f>IFERROR(VLOOKUP($A60,'13a (2)'!$AI:$AJ,2,FALSE),"")</f>
      </c>
      <c r="D60" s="73">
        <f>IFERROR(VLOOKUP($A60,'13a (2)'!$Q:$R,2,FALSE),"")</f>
      </c>
      <c r="E60" s="73">
        <f>IFERROR(VLOOKUP(INT($A60),'13a (2)'!$X:$Y,2,FALSE),"")</f>
      </c>
      <c r="F60" s="74">
        <f>IF($A60&lt;=$B$6,IFERROR(VLOOKUP($A60,'13a (2)'!$A:$M,13,FALSE),""),IFERROR(($B$10-$B$7)*$B$8*$B$9+($C60-$B$11)*$B$8*$B$9-($D60-$B$12)/100*$B$13-((INT($A60)-INT($B$5))/360*$B$14*$B$13-(INT($A60)-INT($B$5))/360*$B$15*$B$13*$B$12/100)-($E60/$B$16-1)*$B$17,""))</f>
      </c>
      <c r="G60" s="74">
        <f>IFERROR(VLOOKUP($A60,'13 (2)'!$A:$M,13,FALSE),"")</f>
      </c>
    </row>
    <row r="61">
      <c r="A61" s="72">
        <v>46198.625</v>
      </c>
      <c r="B61" s="73">
        <f>IFERROR(VLOOKUP($A61,'13a (2)'!$O:$P,2,FALSE),"")</f>
      </c>
      <c r="C61" s="73">
        <f>IFERROR(VLOOKUP($A61,'13a (2)'!$AI:$AJ,2,FALSE),"")</f>
      </c>
      <c r="D61" s="73">
        <f>IFERROR(VLOOKUP($A61,'13a (2)'!$Q:$R,2,FALSE),"")</f>
      </c>
      <c r="E61" s="73">
        <f>IFERROR(VLOOKUP(INT($A61),'13a (2)'!$X:$Y,2,FALSE),"")</f>
      </c>
      <c r="F61" s="74">
        <f>IF($A61&lt;=$B$6,IFERROR(VLOOKUP($A61,'13a (2)'!$A:$M,13,FALSE),""),IFERROR(($B$10-$B$7)*$B$8*$B$9+($C61-$B$11)*$B$8*$B$9-($D61-$B$12)/100*$B$13-((INT($A61)-INT($B$5))/360*$B$14*$B$13-(INT($A61)-INT($B$5))/360*$B$15*$B$13*$B$12/100)-($E61/$B$16-1)*$B$17,""))</f>
      </c>
      <c r="G61" s="74">
        <f>IFERROR(VLOOKUP($A61,'13 (2)'!$A:$M,13,FALSE),"")</f>
      </c>
    </row>
    <row r="62">
      <c r="A62" s="72">
        <v>46199.625</v>
      </c>
      <c r="B62" s="73">
        <f>IFERROR(VLOOKUP($A62,'13a (2)'!$O:$P,2,FALSE),"")</f>
      </c>
      <c r="C62" s="73">
        <f>IFERROR(VLOOKUP($A62,'13a (2)'!$AI:$AJ,2,FALSE),"")</f>
      </c>
      <c r="D62" s="73">
        <f>IFERROR(VLOOKUP($A62,'13a (2)'!$Q:$R,2,FALSE),"")</f>
      </c>
      <c r="E62" s="73">
        <f>IFERROR(VLOOKUP(INT($A62),'13a (2)'!$X:$Y,2,FALSE),"")</f>
      </c>
      <c r="F62" s="74">
        <f>IF($A62&lt;=$B$6,IFERROR(VLOOKUP($A62,'13a (2)'!$A:$M,13,FALSE),""),IFERROR(($B$10-$B$7)*$B$8*$B$9+($C62-$B$11)*$B$8*$B$9-($D62-$B$12)/100*$B$13-((INT($A62)-INT($B$5))/360*$B$14*$B$13-(INT($A62)-INT($B$5))/360*$B$15*$B$13*$B$12/100)-($E62/$B$16-1)*$B$17,""))</f>
      </c>
      <c r="G62" s="74">
        <f>IFERROR(VLOOKUP($A62,'13 (2)'!$A:$M,13,FALSE),"")</f>
      </c>
    </row>
    <row r="63">
      <c r="A63" s="72">
        <v>46202.625</v>
      </c>
      <c r="B63" s="73">
        <f>IFERROR(VLOOKUP($A63,'13a (2)'!$O:$P,2,FALSE),"")</f>
      </c>
      <c r="C63" s="73">
        <f>IFERROR(VLOOKUP($A63,'13a (2)'!$AI:$AJ,2,FALSE),"")</f>
      </c>
      <c r="D63" s="73">
        <f>IFERROR(VLOOKUP($A63,'13a (2)'!$Q:$R,2,FALSE),"")</f>
      </c>
      <c r="E63" s="73">
        <f>IFERROR(VLOOKUP(INT($A63),'13a (2)'!$X:$Y,2,FALSE),"")</f>
      </c>
      <c r="F63" s="74">
        <f>IF($A63&lt;=$B$6,IFERROR(VLOOKUP($A63,'13a (2)'!$A:$M,13,FALSE),""),IFERROR(($B$10-$B$7)*$B$8*$B$9+($C63-$B$11)*$B$8*$B$9-($D63-$B$12)/100*$B$13-((INT($A63)-INT($B$5))/360*$B$14*$B$13-(INT($A63)-INT($B$5))/360*$B$15*$B$13*$B$12/100)-($E63/$B$16-1)*$B$17,""))</f>
      </c>
      <c r="G63" s="74">
        <f>IFERROR(VLOOKUP($A63,'13 (2)'!$A:$M,13,FALSE),"")</f>
      </c>
    </row>
    <row r="64">
      <c r="A64" s="72">
        <v>46203.625</v>
      </c>
      <c r="B64" s="73">
        <f>IFERROR(VLOOKUP($A64,'13a (2)'!$O:$P,2,FALSE),"")</f>
      </c>
      <c r="C64" s="73">
        <f>IFERROR(VLOOKUP($A64,'13a (2)'!$AI:$AJ,2,FALSE),"")</f>
      </c>
      <c r="D64" s="73">
        <f>IFERROR(VLOOKUP($A64,'13a (2)'!$Q:$R,2,FALSE),"")</f>
      </c>
      <c r="E64" s="73">
        <f>IFERROR(VLOOKUP(INT($A64),'13a (2)'!$X:$Y,2,FALSE),"")</f>
      </c>
      <c r="F64" s="74">
        <f>IF($A64&lt;=$B$6,IFERROR(VLOOKUP($A64,'13a (2)'!$A:$M,13,FALSE),""),IFERROR(($B$10-$B$7)*$B$8*$B$9+($C64-$B$11)*$B$8*$B$9-($D64-$B$12)/100*$B$13-((INT($A64)-INT($B$5))/360*$B$14*$B$13-(INT($A64)-INT($B$5))/360*$B$15*$B$13*$B$12/100)-($E64/$B$16-1)*$B$17,""))</f>
      </c>
      <c r="G64" s="74">
        <f>IFERROR(VLOOKUP($A64,'13 (2)'!$A:$M,13,FALSE),"")</f>
      </c>
    </row>
    <row r="65">
      <c r="A65" s="72">
        <v>46204.625</v>
      </c>
      <c r="B65" s="73">
        <f>IFERROR(VLOOKUP($A65,'13a (2)'!$O:$P,2,FALSE),"")</f>
      </c>
      <c r="C65" s="73">
        <f>IFERROR(VLOOKUP($A65,'13a (2)'!$AI:$AJ,2,FALSE),"")</f>
      </c>
      <c r="D65" s="73">
        <f>IFERROR(VLOOKUP($A65,'13a (2)'!$Q:$R,2,FALSE),"")</f>
      </c>
      <c r="E65" s="73">
        <f>IFERROR(VLOOKUP(INT($A65),'13a (2)'!$X:$Y,2,FALSE),"")</f>
      </c>
      <c r="F65" s="74">
        <f>IF($A65&lt;=$B$6,IFERROR(VLOOKUP($A65,'13a (2)'!$A:$M,13,FALSE),""),IFERROR(($B$10-$B$7)*$B$8*$B$9+($C65-$B$11)*$B$8*$B$9-($D65-$B$12)/100*$B$13-((INT($A65)-INT($B$5))/360*$B$14*$B$13-(INT($A65)-INT($B$5))/360*$B$15*$B$13*$B$12/100)-($E65/$B$16-1)*$B$17,""))</f>
      </c>
      <c r="G65" s="74">
        <f>IFERROR(VLOOKUP($A65,'13 (2)'!$A:$M,13,FALSE),"")</f>
      </c>
    </row>
    <row r="66">
      <c r="A66" s="72">
        <v>46205.625</v>
      </c>
      <c r="B66" s="73">
        <f>IFERROR(VLOOKUP($A66,'13a (2)'!$O:$P,2,FALSE),"")</f>
      </c>
      <c r="C66" s="73">
        <f>IFERROR(VLOOKUP($A66,'13a (2)'!$AI:$AJ,2,FALSE),"")</f>
      </c>
      <c r="D66" s="73">
        <f>IFERROR(VLOOKUP($A66,'13a (2)'!$Q:$R,2,FALSE),"")</f>
      </c>
      <c r="E66" s="73">
        <f>IFERROR(VLOOKUP(INT($A66),'13a (2)'!$X:$Y,2,FALSE),"")</f>
      </c>
      <c r="F66" s="74">
        <f>IF($A66&lt;=$B$6,IFERROR(VLOOKUP($A66,'13a (2)'!$A:$M,13,FALSE),""),IFERROR(($B$10-$B$7)*$B$8*$B$9+($C66-$B$11)*$B$8*$B$9-($D66-$B$12)/100*$B$13-((INT($A66)-INT($B$5))/360*$B$14*$B$13-(INT($A66)-INT($B$5))/360*$B$15*$B$13*$B$12/100)-($E66/$B$16-1)*$B$17,""))</f>
      </c>
      <c r="G66" s="74">
        <f>IFERROR(VLOOKUP($A66,'13 (2)'!$A:$M,13,FALSE),"")</f>
      </c>
    </row>
    <row r="67">
      <c r="A67" s="72">
        <v>46206.625</v>
      </c>
      <c r="B67" s="73">
        <f>IFERROR(VLOOKUP($A67,'13a (2)'!$O:$P,2,FALSE),"")</f>
      </c>
      <c r="C67" s="73">
        <f>IFERROR(VLOOKUP($A67,'13a (2)'!$AI:$AJ,2,FALSE),"")</f>
      </c>
      <c r="D67" s="73">
        <f>IFERROR(VLOOKUP($A67,'13a (2)'!$Q:$R,2,FALSE),"")</f>
      </c>
      <c r="E67" s="73">
        <f>IFERROR(VLOOKUP(INT($A67),'13a (2)'!$X:$Y,2,FALSE),"")</f>
      </c>
      <c r="F67" s="74">
        <f>IF($A67&lt;=$B$6,IFERROR(VLOOKUP($A67,'13a (2)'!$A:$M,13,FALSE),""),IFERROR(($B$10-$B$7)*$B$8*$B$9+($C67-$B$11)*$B$8*$B$9-($D67-$B$12)/100*$B$13-((INT($A67)-INT($B$5))/360*$B$14*$B$13-(INT($A67)-INT($B$5))/360*$B$15*$B$13*$B$12/100)-($E67/$B$16-1)*$B$17,""))</f>
      </c>
      <c r="G67" s="74">
        <f>IFERROR(VLOOKUP($A67,'13 (2)'!$A:$M,13,FALSE),"")</f>
      </c>
    </row>
    <row r="68">
      <c r="A68" s="72">
        <v>46209.625</v>
      </c>
      <c r="B68" s="73">
        <f>IFERROR(VLOOKUP($A68,'13a (2)'!$O:$P,2,FALSE),"")</f>
      </c>
      <c r="C68" s="73">
        <f>IFERROR(VLOOKUP($A68,'13a (2)'!$AI:$AJ,2,FALSE),"")</f>
      </c>
      <c r="D68" s="73">
        <f>IFERROR(VLOOKUP($A68,'13a (2)'!$Q:$R,2,FALSE),"")</f>
      </c>
      <c r="E68" s="73">
        <f>IFERROR(VLOOKUP(INT($A68),'13a (2)'!$X:$Y,2,FALSE),"")</f>
      </c>
      <c r="F68" s="74">
        <f>IF($A68&lt;=$B$6,IFERROR(VLOOKUP($A68,'13a (2)'!$A:$M,13,FALSE),""),IFERROR(($B$10-$B$7)*$B$8*$B$9+($C68-$B$11)*$B$8*$B$9-($D68-$B$12)/100*$B$13-((INT($A68)-INT($B$5))/360*$B$14*$B$13-(INT($A68)-INT($B$5))/360*$B$15*$B$13*$B$12/100)-($E68/$B$16-1)*$B$17,""))</f>
      </c>
      <c r="G68" s="74">
        <f>IFERROR(VLOOKUP($A68,'13 (2)'!$A:$M,13,FALSE),"")</f>
      </c>
    </row>
    <row r="69">
      <c r="A69" s="72">
        <v>46210.625</v>
      </c>
      <c r="B69" s="73">
        <f>IFERROR(VLOOKUP($A69,'13a (2)'!$O:$P,2,FALSE),"")</f>
      </c>
      <c r="C69" s="73">
        <f>IFERROR(VLOOKUP($A69,'13a (2)'!$AI:$AJ,2,FALSE),"")</f>
      </c>
      <c r="D69" s="73">
        <f>IFERROR(VLOOKUP($A69,'13a (2)'!$Q:$R,2,FALSE),"")</f>
      </c>
      <c r="E69" s="73">
        <f>IFERROR(VLOOKUP(INT($A69),'13a (2)'!$X:$Y,2,FALSE),"")</f>
      </c>
      <c r="F69" s="74">
        <f>IF($A69&lt;=$B$6,IFERROR(VLOOKUP($A69,'13a (2)'!$A:$M,13,FALSE),""),IFERROR(($B$10-$B$7)*$B$8*$B$9+($C69-$B$11)*$B$8*$B$9-($D69-$B$12)/100*$B$13-((INT($A69)-INT($B$5))/360*$B$14*$B$13-(INT($A69)-INT($B$5))/360*$B$15*$B$13*$B$12/100)-($E69/$B$16-1)*$B$17,""))</f>
      </c>
      <c r="G69" s="74">
        <f>IFERROR(VLOOKUP($A69,'13 (2)'!$A:$M,13,FALSE),"")</f>
      </c>
    </row>
    <row r="70">
      <c r="A70" s="72">
        <v>46211.625</v>
      </c>
      <c r="B70" s="73">
        <f>IFERROR(VLOOKUP($A70,'13a (2)'!$O:$P,2,FALSE),"")</f>
      </c>
      <c r="C70" s="73">
        <f>IFERROR(VLOOKUP($A70,'13a (2)'!$AI:$AJ,2,FALSE),"")</f>
      </c>
      <c r="D70" s="73">
        <f>IFERROR(VLOOKUP($A70,'13a (2)'!$Q:$R,2,FALSE),"")</f>
      </c>
      <c r="E70" s="73">
        <f>IFERROR(VLOOKUP(INT($A70),'13a (2)'!$X:$Y,2,FALSE),"")</f>
      </c>
      <c r="F70" s="74">
        <f>IF($A70&lt;=$B$6,IFERROR(VLOOKUP($A70,'13a (2)'!$A:$M,13,FALSE),""),IFERROR(($B$10-$B$7)*$B$8*$B$9+($C70-$B$11)*$B$8*$B$9-($D70-$B$12)/100*$B$13-((INT($A70)-INT($B$5))/360*$B$14*$B$13-(INT($A70)-INT($B$5))/360*$B$15*$B$13*$B$12/100)-($E70/$B$16-1)*$B$17,""))</f>
      </c>
      <c r="G70" s="74">
        <f>IFERROR(VLOOKUP($A70,'13 (2)'!$A:$M,13,FALSE),"")</f>
      </c>
    </row>
    <row r="71">
      <c r="A71" s="72">
        <v>46212.625</v>
      </c>
      <c r="B71" s="73">
        <f>IFERROR(VLOOKUP($A71,'13a (2)'!$O:$P,2,FALSE),"")</f>
      </c>
      <c r="C71" s="73">
        <f>IFERROR(VLOOKUP($A71,'13a (2)'!$AI:$AJ,2,FALSE),"")</f>
      </c>
      <c r="D71" s="73">
        <f>IFERROR(VLOOKUP($A71,'13a (2)'!$Q:$R,2,FALSE),"")</f>
      </c>
      <c r="E71" s="73">
        <f>IFERROR(VLOOKUP(INT($A71),'13a (2)'!$X:$Y,2,FALSE),"")</f>
      </c>
      <c r="F71" s="74">
        <f>IF($A71&lt;=$B$6,IFERROR(VLOOKUP($A71,'13a (2)'!$A:$M,13,FALSE),""),IFERROR(($B$10-$B$7)*$B$8*$B$9+($C71-$B$11)*$B$8*$B$9-($D71-$B$12)/100*$B$13-((INT($A71)-INT($B$5))/360*$B$14*$B$13-(INT($A71)-INT($B$5))/360*$B$15*$B$13*$B$12/100)-($E71/$B$16-1)*$B$17,""))</f>
      </c>
      <c r="G71" s="74">
        <f>IFERROR(VLOOKUP($A71,'13 (2)'!$A:$M,13,FALSE),"")</f>
      </c>
    </row>
    <row r="72">
      <c r="A72" s="72">
        <v>46213.625</v>
      </c>
      <c r="B72" s="73">
        <f>IFERROR(VLOOKUP($A72,'13a (2)'!$O:$P,2,FALSE),"")</f>
      </c>
      <c r="C72" s="73">
        <f>IFERROR(VLOOKUP($A72,'13a (2)'!$AI:$AJ,2,FALSE),"")</f>
      </c>
      <c r="D72" s="73">
        <f>IFERROR(VLOOKUP($A72,'13a (2)'!$Q:$R,2,FALSE),"")</f>
      </c>
      <c r="E72" s="73">
        <f>IFERROR(VLOOKUP(INT($A72),'13a (2)'!$X:$Y,2,FALSE),"")</f>
      </c>
      <c r="F72" s="74">
        <f>IF($A72&lt;=$B$6,IFERROR(VLOOKUP($A72,'13a (2)'!$A:$M,13,FALSE),""),IFERROR(($B$10-$B$7)*$B$8*$B$9+($C72-$B$11)*$B$8*$B$9-($D72-$B$12)/100*$B$13-((INT($A72)-INT($B$5))/360*$B$14*$B$13-(INT($A72)-INT($B$5))/360*$B$15*$B$13*$B$12/100)-($E72/$B$16-1)*$B$17,""))</f>
      </c>
      <c r="G72" s="74">
        <f>IFERROR(VLOOKUP($A72,'13 (2)'!$A:$M,13,FALSE),"")</f>
      </c>
    </row>
    <row r="73">
      <c r="A73" s="72">
        <v>46216.625</v>
      </c>
      <c r="B73" s="73">
        <f>IFERROR(VLOOKUP($A73,'13a (2)'!$O:$P,2,FALSE),"")</f>
      </c>
      <c r="C73" s="73">
        <f>IFERROR(VLOOKUP($A73,'13a (2)'!$AI:$AJ,2,FALSE),"")</f>
      </c>
      <c r="D73" s="73">
        <f>IFERROR(VLOOKUP($A73,'13a (2)'!$Q:$R,2,FALSE),"")</f>
      </c>
      <c r="E73" s="73">
        <f>IFERROR(VLOOKUP(INT($A73),'13a (2)'!$X:$Y,2,FALSE),"")</f>
      </c>
      <c r="F73" s="74">
        <f>IF($A73&lt;=$B$6,IFERROR(VLOOKUP($A73,'13a (2)'!$A:$M,13,FALSE),""),IFERROR(($B$10-$B$7)*$B$8*$B$9+($C73-$B$11)*$B$8*$B$9-($D73-$B$12)/100*$B$13-((INT($A73)-INT($B$5))/360*$B$14*$B$13-(INT($A73)-INT($B$5))/360*$B$15*$B$13*$B$12/100)-($E73/$B$16-1)*$B$17,""))</f>
      </c>
      <c r="G73" s="74">
        <f>IFERROR(VLOOKUP($A73,'13 (2)'!$A:$M,13,FALSE),"")</f>
      </c>
    </row>
    <row r="74">
      <c r="A74" s="72">
        <v>46217.625</v>
      </c>
      <c r="B74" s="73">
        <f>IFERROR(VLOOKUP($A74,'13a (2)'!$O:$P,2,FALSE),"")</f>
      </c>
      <c r="C74" s="73">
        <f>IFERROR(VLOOKUP($A74,'13a (2)'!$AI:$AJ,2,FALSE),"")</f>
      </c>
      <c r="D74" s="73">
        <f>IFERROR(VLOOKUP($A74,'13a (2)'!$Q:$R,2,FALSE),"")</f>
      </c>
      <c r="E74" s="73">
        <f>IFERROR(VLOOKUP(INT($A74),'13a (2)'!$X:$Y,2,FALSE),"")</f>
      </c>
      <c r="F74" s="74">
        <f>IF($A74&lt;=$B$6,IFERROR(VLOOKUP($A74,'13a (2)'!$A:$M,13,FALSE),""),IFERROR(($B$10-$B$7)*$B$8*$B$9+($C74-$B$11)*$B$8*$B$9-($D74-$B$12)/100*$B$13-((INT($A74)-INT($B$5))/360*$B$14*$B$13-(INT($A74)-INT($B$5))/360*$B$15*$B$13*$B$12/100)-($E74/$B$16-1)*$B$17,""))</f>
      </c>
      <c r="G74" s="74">
        <f>IFERROR(VLOOKUP($A74,'13 (2)'!$A:$M,13,FALSE),"")</f>
      </c>
    </row>
    <row r="75">
      <c r="A75" s="72">
        <v>46218.625</v>
      </c>
      <c r="B75" s="73">
        <f>IFERROR(VLOOKUP($A75,'13a (2)'!$O:$P,2,FALSE),"")</f>
      </c>
      <c r="C75" s="73">
        <f>IFERROR(VLOOKUP($A75,'13a (2)'!$AI:$AJ,2,FALSE),"")</f>
      </c>
      <c r="D75" s="73">
        <f>IFERROR(VLOOKUP($A75,'13a (2)'!$Q:$R,2,FALSE),"")</f>
      </c>
      <c r="E75" s="73">
        <f>IFERROR(VLOOKUP(INT($A75),'13a (2)'!$X:$Y,2,FALSE),"")</f>
      </c>
      <c r="F75" s="74">
        <f>IF($A75&lt;=$B$6,IFERROR(VLOOKUP($A75,'13a (2)'!$A:$M,13,FALSE),""),IFERROR(($B$10-$B$7)*$B$8*$B$9+($C75-$B$11)*$B$8*$B$9-($D75-$B$12)/100*$B$13-((INT($A75)-INT($B$5))/360*$B$14*$B$13-(INT($A75)-INT($B$5))/360*$B$15*$B$13*$B$12/100)-($E75/$B$16-1)*$B$17,""))</f>
      </c>
      <c r="G75" s="74">
        <f>IFERROR(VLOOKUP($A75,'13 (2)'!$A:$M,13,FALSE),"")</f>
      </c>
    </row>
    <row r="76">
      <c r="A76" s="72">
        <v>46219.625</v>
      </c>
      <c r="B76" s="73">
        <f>IFERROR(VLOOKUP($A76,'13a (2)'!$O:$P,2,FALSE),"")</f>
      </c>
      <c r="C76" s="73">
        <f>IFERROR(VLOOKUP($A76,'13a (2)'!$AI:$AJ,2,FALSE),"")</f>
      </c>
      <c r="D76" s="73">
        <f>IFERROR(VLOOKUP($A76,'13a (2)'!$Q:$R,2,FALSE),"")</f>
      </c>
      <c r="E76" s="73">
        <f>IFERROR(VLOOKUP(INT($A76),'13a (2)'!$X:$Y,2,FALSE),"")</f>
      </c>
      <c r="F76" s="74">
        <f>IF($A76&lt;=$B$6,IFERROR(VLOOKUP($A76,'13a (2)'!$A:$M,13,FALSE),""),IFERROR(($B$10-$B$7)*$B$8*$B$9+($C76-$B$11)*$B$8*$B$9-($D76-$B$12)/100*$B$13-((INT($A76)-INT($B$5))/360*$B$14*$B$13-(INT($A76)-INT($B$5))/360*$B$15*$B$13*$B$12/100)-($E76/$B$16-1)*$B$17,""))</f>
      </c>
      <c r="G76" s="74">
        <f>IFERROR(VLOOKUP($A76,'13 (2)'!$A:$M,13,FALSE),"")</f>
      </c>
    </row>
    <row r="77">
      <c r="A77" s="72">
        <v>46220.625</v>
      </c>
      <c r="B77" s="73">
        <f>IFERROR(VLOOKUP($A77,'13a (2)'!$O:$P,2,FALSE),"")</f>
      </c>
      <c r="C77" s="73">
        <f>IFERROR(VLOOKUP($A77,'13a (2)'!$AI:$AJ,2,FALSE),"")</f>
      </c>
      <c r="D77" s="73">
        <f>IFERROR(VLOOKUP($A77,'13a (2)'!$Q:$R,2,FALSE),"")</f>
      </c>
      <c r="E77" s="73">
        <f>IFERROR(VLOOKUP(INT($A77),'13a (2)'!$X:$Y,2,FALSE),"")</f>
      </c>
      <c r="F77" s="74">
        <f>IF($A77&lt;=$B$6,IFERROR(VLOOKUP($A77,'13a (2)'!$A:$M,13,FALSE),""),IFERROR(($B$10-$B$7)*$B$8*$B$9+($C77-$B$11)*$B$8*$B$9-($D77-$B$12)/100*$B$13-((INT($A77)-INT($B$5))/360*$B$14*$B$13-(INT($A77)-INT($B$5))/360*$B$15*$B$13*$B$12/100)-($E77/$B$16-1)*$B$17,""))</f>
      </c>
      <c r="G77" s="74">
        <f>IFERROR(VLOOKUP($A77,'13 (2)'!$A:$M,13,FALSE),"")</f>
      </c>
    </row>
    <row r="78">
      <c r="A78" s="72">
        <v>46223.625</v>
      </c>
      <c r="B78" s="73">
        <f>IFERROR(VLOOKUP($A78,'13a (2)'!$O:$P,2,FALSE),"")</f>
      </c>
      <c r="C78" s="73">
        <f>IFERROR(VLOOKUP($A78,'13a (2)'!$AI:$AJ,2,FALSE),"")</f>
      </c>
      <c r="D78" s="73">
        <f>IFERROR(VLOOKUP($A78,'13a (2)'!$Q:$R,2,FALSE),"")</f>
      </c>
      <c r="E78" s="73">
        <f>IFERROR(VLOOKUP(INT($A78),'13a (2)'!$X:$Y,2,FALSE),"")</f>
      </c>
      <c r="F78" s="74">
        <f>IF($A78&lt;=$B$6,IFERROR(VLOOKUP($A78,'13a (2)'!$A:$M,13,FALSE),""),IFERROR(($B$10-$B$7)*$B$8*$B$9+($C78-$B$11)*$B$8*$B$9-($D78-$B$12)/100*$B$13-((INT($A78)-INT($B$5))/360*$B$14*$B$13-(INT($A78)-INT($B$5))/360*$B$15*$B$13*$B$12/100)-($E78/$B$16-1)*$B$17,""))</f>
      </c>
      <c r="G78" s="74">
        <f>IFERROR(VLOOKUP($A78,'13 (2)'!$A:$M,13,FALSE),"")</f>
      </c>
    </row>
    <row r="79">
      <c r="A79" s="72">
        <v>46224.625</v>
      </c>
      <c r="B79" s="73">
        <f>IFERROR(VLOOKUP($A79,'13a (2)'!$O:$P,2,FALSE),"")</f>
      </c>
      <c r="C79" s="73">
        <f>IFERROR(VLOOKUP($A79,'13a (2)'!$AI:$AJ,2,FALSE),"")</f>
      </c>
      <c r="D79" s="73">
        <f>IFERROR(VLOOKUP($A79,'13a (2)'!$Q:$R,2,FALSE),"")</f>
      </c>
      <c r="E79" s="73">
        <f>IFERROR(VLOOKUP(INT($A79),'13a (2)'!$X:$Y,2,FALSE),"")</f>
      </c>
      <c r="F79" s="74">
        <f>IF($A79&lt;=$B$6,IFERROR(VLOOKUP($A79,'13a (2)'!$A:$M,13,FALSE),""),IFERROR(($B$10-$B$7)*$B$8*$B$9+($C79-$B$11)*$B$8*$B$9-($D79-$B$12)/100*$B$13-((INT($A79)-INT($B$5))/360*$B$14*$B$13-(INT($A79)-INT($B$5))/360*$B$15*$B$13*$B$12/100)-($E79/$B$16-1)*$B$17,""))</f>
      </c>
      <c r="G79" s="74">
        <f>IFERROR(VLOOKUP($A79,'13 (2)'!$A:$M,13,FALSE),"")</f>
      </c>
    </row>
    <row r="80">
      <c r="A80" s="72">
        <v>46225.625</v>
      </c>
      <c r="B80" s="73">
        <f>IFERROR(VLOOKUP($A80,'13a (2)'!$O:$P,2,FALSE),"")</f>
      </c>
      <c r="C80" s="73">
        <f>IFERROR(VLOOKUP($A80,'13a (2)'!$AI:$AJ,2,FALSE),"")</f>
      </c>
      <c r="D80" s="73">
        <f>IFERROR(VLOOKUP($A80,'13a (2)'!$Q:$R,2,FALSE),"")</f>
      </c>
      <c r="E80" s="73">
        <f>IFERROR(VLOOKUP(INT($A80),'13a (2)'!$X:$Y,2,FALSE),"")</f>
      </c>
      <c r="F80" s="74">
        <f>IF($A80&lt;=$B$6,IFERROR(VLOOKUP($A80,'13a (2)'!$A:$M,13,FALSE),""),IFERROR(($B$10-$B$7)*$B$8*$B$9+($C80-$B$11)*$B$8*$B$9-($D80-$B$12)/100*$B$13-((INT($A80)-INT($B$5))/360*$B$14*$B$13-(INT($A80)-INT($B$5))/360*$B$15*$B$13*$B$12/100)-($E80/$B$16-1)*$B$17,""))</f>
      </c>
      <c r="G80" s="74">
        <f>IFERROR(VLOOKUP($A80,'13 (2)'!$A:$M,13,FALSE),"")</f>
      </c>
    </row>
    <row r="81">
      <c r="A81" s="72">
        <v>46226.625</v>
      </c>
      <c r="B81" s="73">
        <f>IFERROR(VLOOKUP($A81,'13a (2)'!$O:$P,2,FALSE),"")</f>
      </c>
      <c r="C81" s="73">
        <f>IFERROR(VLOOKUP($A81,'13a (2)'!$AI:$AJ,2,FALSE),"")</f>
      </c>
      <c r="D81" s="73">
        <f>IFERROR(VLOOKUP($A81,'13a (2)'!$Q:$R,2,FALSE),"")</f>
      </c>
      <c r="E81" s="73">
        <f>IFERROR(VLOOKUP(INT($A81),'13a (2)'!$X:$Y,2,FALSE),"")</f>
      </c>
      <c r="F81" s="74">
        <f>IF($A81&lt;=$B$6,IFERROR(VLOOKUP($A81,'13a (2)'!$A:$M,13,FALSE),""),IFERROR(($B$10-$B$7)*$B$8*$B$9+($C81-$B$11)*$B$8*$B$9-($D81-$B$12)/100*$B$13-((INT($A81)-INT($B$5))/360*$B$14*$B$13-(INT($A81)-INT($B$5))/360*$B$15*$B$13*$B$12/100)-($E81/$B$16-1)*$B$17,""))</f>
      </c>
      <c r="G81" s="74">
        <f>IFERROR(VLOOKUP($A81,'13 (2)'!$A:$M,13,FALSE),"")</f>
      </c>
    </row>
    <row r="82">
      <c r="A82" s="72">
        <v>46227.625</v>
      </c>
      <c r="B82" s="73">
        <f>IFERROR(VLOOKUP($A82,'13a (2)'!$O:$P,2,FALSE),"")</f>
      </c>
      <c r="C82" s="73">
        <f>IFERROR(VLOOKUP($A82,'13a (2)'!$AI:$AJ,2,FALSE),"")</f>
      </c>
      <c r="D82" s="73">
        <f>IFERROR(VLOOKUP($A82,'13a (2)'!$Q:$R,2,FALSE),"")</f>
      </c>
      <c r="E82" s="73">
        <f>IFERROR(VLOOKUP(INT($A82),'13a (2)'!$X:$Y,2,FALSE),"")</f>
      </c>
      <c r="F82" s="74">
        <f>IF($A82&lt;=$B$6,IFERROR(VLOOKUP($A82,'13a (2)'!$A:$M,13,FALSE),""),IFERROR(($B$10-$B$7)*$B$8*$B$9+($C82-$B$11)*$B$8*$B$9-($D82-$B$12)/100*$B$13-((INT($A82)-INT($B$5))/360*$B$14*$B$13-(INT($A82)-INT($B$5))/360*$B$15*$B$13*$B$12/100)-($E82/$B$16-1)*$B$17,""))</f>
      </c>
      <c r="G82" s="74">
        <f>IFERROR(VLOOKUP($A82,'13 (2)'!$A:$M,13,FALSE),"")</f>
      </c>
    </row>
    <row r="83">
      <c r="A83" s="72">
        <v>46230.625</v>
      </c>
      <c r="B83" s="73">
        <f>IFERROR(VLOOKUP($A83,'13a (2)'!$O:$P,2,FALSE),"")</f>
      </c>
      <c r="C83" s="73">
        <f>IFERROR(VLOOKUP($A83,'13a (2)'!$AI:$AJ,2,FALSE),"")</f>
      </c>
      <c r="D83" s="73">
        <f>IFERROR(VLOOKUP($A83,'13a (2)'!$Q:$R,2,FALSE),"")</f>
      </c>
      <c r="E83" s="73">
        <f>IFERROR(VLOOKUP(INT($A83),'13a (2)'!$X:$Y,2,FALSE),"")</f>
      </c>
      <c r="F83" s="74">
        <f>IF($A83&lt;=$B$6,IFERROR(VLOOKUP($A83,'13a (2)'!$A:$M,13,FALSE),""),IFERROR(($B$10-$B$7)*$B$8*$B$9+($C83-$B$11)*$B$8*$B$9-($D83-$B$12)/100*$B$13-((INT($A83)-INT($B$5))/360*$B$14*$B$13-(INT($A83)-INT($B$5))/360*$B$15*$B$13*$B$12/100)-($E83/$B$16-1)*$B$17,""))</f>
      </c>
      <c r="G83" s="74">
        <f>IFERROR(VLOOKUP($A83,'13 (2)'!$A:$M,13,FALSE),"")</f>
      </c>
    </row>
    <row r="84">
      <c r="A84" s="72">
        <v>46231.625</v>
      </c>
      <c r="B84" s="73">
        <f>IFERROR(VLOOKUP($A84,'13a (2)'!$O:$P,2,FALSE),"")</f>
      </c>
      <c r="C84" s="73">
        <f>IFERROR(VLOOKUP($A84,'13a (2)'!$AI:$AJ,2,FALSE),"")</f>
      </c>
      <c r="D84" s="73">
        <f>IFERROR(VLOOKUP($A84,'13a (2)'!$Q:$R,2,FALSE),"")</f>
      </c>
      <c r="E84" s="73">
        <f>IFERROR(VLOOKUP(INT($A84),'13a (2)'!$X:$Y,2,FALSE),"")</f>
      </c>
      <c r="F84" s="74">
        <f>IF($A84&lt;=$B$6,IFERROR(VLOOKUP($A84,'13a (2)'!$A:$M,13,FALSE),""),IFERROR(($B$10-$B$7)*$B$8*$B$9+($C84-$B$11)*$B$8*$B$9-($D84-$B$12)/100*$B$13-((INT($A84)-INT($B$5))/360*$B$14*$B$13-(INT($A84)-INT($B$5))/360*$B$15*$B$13*$B$12/100)-($E84/$B$16-1)*$B$17,""))</f>
      </c>
      <c r="G84" s="74">
        <f>IFERROR(VLOOKUP($A84,'13 (2)'!$A:$M,13,FALSE),"")</f>
      </c>
    </row>
    <row r="85">
      <c r="A85" s="72">
        <v>46232.625</v>
      </c>
      <c r="B85" s="73">
        <f>IFERROR(VLOOKUP($A85,'13a (2)'!$O:$P,2,FALSE),"")</f>
      </c>
      <c r="C85" s="73">
        <f>IFERROR(VLOOKUP($A85,'13a (2)'!$AI:$AJ,2,FALSE),"")</f>
      </c>
      <c r="D85" s="73">
        <f>IFERROR(VLOOKUP($A85,'13a (2)'!$Q:$R,2,FALSE),"")</f>
      </c>
      <c r="E85" s="73">
        <f>IFERROR(VLOOKUP(INT($A85),'13a (2)'!$X:$Y,2,FALSE),"")</f>
      </c>
      <c r="F85" s="74">
        <f>IF($A85&lt;=$B$6,IFERROR(VLOOKUP($A85,'13a (2)'!$A:$M,13,FALSE),""),IFERROR(($B$10-$B$7)*$B$8*$B$9+($C85-$B$11)*$B$8*$B$9-($D85-$B$12)/100*$B$13-((INT($A85)-INT($B$5))/360*$B$14*$B$13-(INT($A85)-INT($B$5))/360*$B$15*$B$13*$B$12/100)-($E85/$B$16-1)*$B$17,""))</f>
      </c>
      <c r="G85" s="74">
        <f>IFERROR(VLOOKUP($A85,'13 (2)'!$A:$M,13,FALSE),"")</f>
      </c>
    </row>
    <row r="86">
      <c r="A86" s="72">
        <v>46233.625</v>
      </c>
      <c r="B86" s="73">
        <f>IFERROR(VLOOKUP($A86,'13a (2)'!$O:$P,2,FALSE),"")</f>
      </c>
      <c r="C86" s="73">
        <f>IFERROR(VLOOKUP($A86,'13a (2)'!$AI:$AJ,2,FALSE),"")</f>
      </c>
      <c r="D86" s="73">
        <f>IFERROR(VLOOKUP($A86,'13a (2)'!$Q:$R,2,FALSE),"")</f>
      </c>
      <c r="E86" s="73">
        <f>IFERROR(VLOOKUP(INT($A86),'13a (2)'!$X:$Y,2,FALSE),"")</f>
      </c>
      <c r="F86" s="74">
        <f>IF($A86&lt;=$B$6,IFERROR(VLOOKUP($A86,'13a (2)'!$A:$M,13,FALSE),""),IFERROR(($B$10-$B$7)*$B$8*$B$9+($C86-$B$11)*$B$8*$B$9-($D86-$B$12)/100*$B$13-((INT($A86)-INT($B$5))/360*$B$14*$B$13-(INT($A86)-INT($B$5))/360*$B$15*$B$13*$B$12/100)-($E86/$B$16-1)*$B$17,""))</f>
      </c>
      <c r="G86" s="74">
        <f>IFERROR(VLOOKUP($A86,'13 (2)'!$A:$M,13,FALSE),"")</f>
      </c>
    </row>
    <row r="87">
      <c r="A87" s="72">
        <v>46234.625</v>
      </c>
      <c r="B87" s="73">
        <f>IFERROR(VLOOKUP($A87,'13a (2)'!$O:$P,2,FALSE),"")</f>
      </c>
      <c r="C87" s="73">
        <f>IFERROR(VLOOKUP($A87,'13a (2)'!$AI:$AJ,2,FALSE),"")</f>
      </c>
      <c r="D87" s="73">
        <f>IFERROR(VLOOKUP($A87,'13a (2)'!$Q:$R,2,FALSE),"")</f>
      </c>
      <c r="E87" s="73">
        <f>IFERROR(VLOOKUP(INT($A87),'13a (2)'!$X:$Y,2,FALSE),"")</f>
      </c>
      <c r="F87" s="74">
        <f>IF($A87&lt;=$B$6,IFERROR(VLOOKUP($A87,'13a (2)'!$A:$M,13,FALSE),""),IFERROR(($B$10-$B$7)*$B$8*$B$9+($C87-$B$11)*$B$8*$B$9-($D87-$B$12)/100*$B$13-((INT($A87)-INT($B$5))/360*$B$14*$B$13-(INT($A87)-INT($B$5))/360*$B$15*$B$13*$B$12/100)-($E87/$B$16-1)*$B$17,""))</f>
      </c>
      <c r="G87" s="74">
        <f>IFERROR(VLOOKUP($A87,'13 (2)'!$A:$M,13,FALSE),"")</f>
      </c>
    </row>
    <row r="88">
      <c r="A88" s="72">
        <v>46237.625</v>
      </c>
      <c r="B88" s="73">
        <f>IFERROR(VLOOKUP($A88,'13a (2)'!$O:$P,2,FALSE),"")</f>
      </c>
      <c r="C88" s="73">
        <f>IFERROR(VLOOKUP($A88,'13a (2)'!$AI:$AJ,2,FALSE),"")</f>
      </c>
      <c r="D88" s="73">
        <f>IFERROR(VLOOKUP($A88,'13a (2)'!$Q:$R,2,FALSE),"")</f>
      </c>
      <c r="E88" s="73">
        <f>IFERROR(VLOOKUP(INT($A88),'13a (2)'!$X:$Y,2,FALSE),"")</f>
      </c>
      <c r="F88" s="74">
        <f>IF($A88&lt;=$B$6,IFERROR(VLOOKUP($A88,'13a (2)'!$A:$M,13,FALSE),""),IFERROR(($B$10-$B$7)*$B$8*$B$9+($C88-$B$11)*$B$8*$B$9-($D88-$B$12)/100*$B$13-((INT($A88)-INT($B$5))/360*$B$14*$B$13-(INT($A88)-INT($B$5))/360*$B$15*$B$13*$B$12/100)-($E88/$B$16-1)*$B$17,""))</f>
      </c>
      <c r="G88" s="74">
        <f>IFERROR(VLOOKUP($A88,'13 (2)'!$A:$M,13,FALSE),"")</f>
      </c>
    </row>
    <row r="89">
      <c r="A89" s="72">
        <v>46238.625</v>
      </c>
      <c r="B89" s="73">
        <f>IFERROR(VLOOKUP($A89,'13a (2)'!$O:$P,2,FALSE),"")</f>
      </c>
      <c r="C89" s="73">
        <f>IFERROR(VLOOKUP($A89,'13a (2)'!$AI:$AJ,2,FALSE),"")</f>
      </c>
      <c r="D89" s="73">
        <f>IFERROR(VLOOKUP($A89,'13a (2)'!$Q:$R,2,FALSE),"")</f>
      </c>
      <c r="E89" s="73">
        <f>IFERROR(VLOOKUP(INT($A89),'13a (2)'!$X:$Y,2,FALSE),"")</f>
      </c>
      <c r="F89" s="74">
        <f>IF($A89&lt;=$B$6,IFERROR(VLOOKUP($A89,'13a (2)'!$A:$M,13,FALSE),""),IFERROR(($B$10-$B$7)*$B$8*$B$9+($C89-$B$11)*$B$8*$B$9-($D89-$B$12)/100*$B$13-((INT($A89)-INT($B$5))/360*$B$14*$B$13-(INT($A89)-INT($B$5))/360*$B$15*$B$13*$B$12/100)-($E89/$B$16-1)*$B$17,""))</f>
      </c>
      <c r="G89" s="74">
        <f>IFERROR(VLOOKUP($A89,'13 (2)'!$A:$M,13,FALSE),"")</f>
      </c>
    </row>
    <row r="90">
      <c r="A90" s="72">
        <v>46239.625</v>
      </c>
      <c r="B90" s="73">
        <f>IFERROR(VLOOKUP($A90,'13a (2)'!$O:$P,2,FALSE),"")</f>
      </c>
      <c r="C90" s="73">
        <f>IFERROR(VLOOKUP($A90,'13a (2)'!$AI:$AJ,2,FALSE),"")</f>
      </c>
      <c r="D90" s="73">
        <f>IFERROR(VLOOKUP($A90,'13a (2)'!$Q:$R,2,FALSE),"")</f>
      </c>
      <c r="E90" s="73">
        <f>IFERROR(VLOOKUP(INT($A90),'13a (2)'!$X:$Y,2,FALSE),"")</f>
      </c>
      <c r="F90" s="74">
        <f>IF($A90&lt;=$B$6,IFERROR(VLOOKUP($A90,'13a (2)'!$A:$M,13,FALSE),""),IFERROR(($B$10-$B$7)*$B$8*$B$9+($C90-$B$11)*$B$8*$B$9-($D90-$B$12)/100*$B$13-((INT($A90)-INT($B$5))/360*$B$14*$B$13-(INT($A90)-INT($B$5))/360*$B$15*$B$13*$B$12/100)-($E90/$B$16-1)*$B$17,""))</f>
      </c>
      <c r="G90" s="74">
        <f>IFERROR(VLOOKUP($A90,'13 (2)'!$A:$M,13,FALSE),"")</f>
      </c>
    </row>
    <row r="91">
      <c r="A91" s="72">
        <v>46240.625</v>
      </c>
      <c r="B91" s="73">
        <f>IFERROR(VLOOKUP($A91,'13a (2)'!$O:$P,2,FALSE),"")</f>
      </c>
      <c r="C91" s="73">
        <f>IFERROR(VLOOKUP($A91,'13a (2)'!$AI:$AJ,2,FALSE),"")</f>
      </c>
      <c r="D91" s="73">
        <f>IFERROR(VLOOKUP($A91,'13a (2)'!$Q:$R,2,FALSE),"")</f>
      </c>
      <c r="E91" s="73">
        <f>IFERROR(VLOOKUP(INT($A91),'13a (2)'!$X:$Y,2,FALSE),"")</f>
      </c>
      <c r="F91" s="74">
        <f>IF($A91&lt;=$B$6,IFERROR(VLOOKUP($A91,'13a (2)'!$A:$M,13,FALSE),""),IFERROR(($B$10-$B$7)*$B$8*$B$9+($C91-$B$11)*$B$8*$B$9-($D91-$B$12)/100*$B$13-((INT($A91)-INT($B$5))/360*$B$14*$B$13-(INT($A91)-INT($B$5))/360*$B$15*$B$13*$B$12/100)-($E91/$B$16-1)*$B$17,""))</f>
      </c>
      <c r="G91" s="74">
        <f>IFERROR(VLOOKUP($A91,'13 (2)'!$A:$M,13,FALSE),"")</f>
      </c>
    </row>
    <row r="92">
      <c r="A92" s="72">
        <v>46241.625</v>
      </c>
      <c r="B92" s="73">
        <f>IFERROR(VLOOKUP($A92,'13a (2)'!$O:$P,2,FALSE),"")</f>
      </c>
      <c r="C92" s="73">
        <f>IFERROR(VLOOKUP($A92,'13a (2)'!$AI:$AJ,2,FALSE),"")</f>
      </c>
      <c r="D92" s="73">
        <f>IFERROR(VLOOKUP($A92,'13a (2)'!$Q:$R,2,FALSE),"")</f>
      </c>
      <c r="E92" s="73">
        <f>IFERROR(VLOOKUP(INT($A92),'13a (2)'!$X:$Y,2,FALSE),"")</f>
      </c>
      <c r="F92" s="74">
        <f>IF($A92&lt;=$B$6,IFERROR(VLOOKUP($A92,'13a (2)'!$A:$M,13,FALSE),""),IFERROR(($B$10-$B$7)*$B$8*$B$9+($C92-$B$11)*$B$8*$B$9-($D92-$B$12)/100*$B$13-((INT($A92)-INT($B$5))/360*$B$14*$B$13-(INT($A92)-INT($B$5))/360*$B$15*$B$13*$B$12/100)-($E92/$B$16-1)*$B$17,""))</f>
      </c>
      <c r="G92" s="74">
        <f>IFERROR(VLOOKUP($A92,'13 (2)'!$A:$M,13,FALSE),"")</f>
      </c>
    </row>
    <row r="93">
      <c r="A93" s="72">
        <v>46244.625</v>
      </c>
      <c r="B93" s="73">
        <f>IFERROR(VLOOKUP($A93,'13a (2)'!$O:$P,2,FALSE),"")</f>
      </c>
      <c r="C93" s="73">
        <f>IFERROR(VLOOKUP($A93,'13a (2)'!$AI:$AJ,2,FALSE),"")</f>
      </c>
      <c r="D93" s="73">
        <f>IFERROR(VLOOKUP($A93,'13a (2)'!$Q:$R,2,FALSE),"")</f>
      </c>
      <c r="E93" s="73">
        <f>IFERROR(VLOOKUP(INT($A93),'13a (2)'!$X:$Y,2,FALSE),"")</f>
      </c>
      <c r="F93" s="74">
        <f>IF($A93&lt;=$B$6,IFERROR(VLOOKUP($A93,'13a (2)'!$A:$M,13,FALSE),""),IFERROR(($B$10-$B$7)*$B$8*$B$9+($C93-$B$11)*$B$8*$B$9-($D93-$B$12)/100*$B$13-((INT($A93)-INT($B$5))/360*$B$14*$B$13-(INT($A93)-INT($B$5))/360*$B$15*$B$13*$B$12/100)-($E93/$B$16-1)*$B$17,""))</f>
      </c>
      <c r="G93" s="74">
        <f>IFERROR(VLOOKUP($A93,'13 (2)'!$A:$M,13,FALSE),"")</f>
      </c>
    </row>
    <row r="94">
      <c r="A94" s="72">
        <v>46245.625</v>
      </c>
      <c r="B94" s="73">
        <f>IFERROR(VLOOKUP($A94,'13a (2)'!$O:$P,2,FALSE),"")</f>
      </c>
      <c r="C94" s="73">
        <f>IFERROR(VLOOKUP($A94,'13a (2)'!$AI:$AJ,2,FALSE),"")</f>
      </c>
      <c r="D94" s="73">
        <f>IFERROR(VLOOKUP($A94,'13a (2)'!$Q:$R,2,FALSE),"")</f>
      </c>
      <c r="E94" s="73">
        <f>IFERROR(VLOOKUP(INT($A94),'13a (2)'!$X:$Y,2,FALSE),"")</f>
      </c>
      <c r="F94" s="74">
        <f>IF($A94&lt;=$B$6,IFERROR(VLOOKUP($A94,'13a (2)'!$A:$M,13,FALSE),""),IFERROR(($B$10-$B$7)*$B$8*$B$9+($C94-$B$11)*$B$8*$B$9-($D94-$B$12)/100*$B$13-((INT($A94)-INT($B$5))/360*$B$14*$B$13-(INT($A94)-INT($B$5))/360*$B$15*$B$13*$B$12/100)-($E94/$B$16-1)*$B$17,""))</f>
      </c>
      <c r="G94" s="74">
        <f>IFERROR(VLOOKUP($A94,'13 (2)'!$A:$M,13,FALSE),"")</f>
      </c>
    </row>
    <row r="95">
      <c r="A95" s="72">
        <v>46246.625</v>
      </c>
      <c r="B95" s="73">
        <f>IFERROR(VLOOKUP($A95,'13a (2)'!$O:$P,2,FALSE),"")</f>
      </c>
      <c r="C95" s="73">
        <f>IFERROR(VLOOKUP($A95,'13a (2)'!$AI:$AJ,2,FALSE),"")</f>
      </c>
      <c r="D95" s="73">
        <f>IFERROR(VLOOKUP($A95,'13a (2)'!$Q:$R,2,FALSE),"")</f>
      </c>
      <c r="E95" s="73">
        <f>IFERROR(VLOOKUP(INT($A95),'13a (2)'!$X:$Y,2,FALSE),"")</f>
      </c>
      <c r="F95" s="74">
        <f>IF($A95&lt;=$B$6,IFERROR(VLOOKUP($A95,'13a (2)'!$A:$M,13,FALSE),""),IFERROR(($B$10-$B$7)*$B$8*$B$9+($C95-$B$11)*$B$8*$B$9-($D95-$B$12)/100*$B$13-((INT($A95)-INT($B$5))/360*$B$14*$B$13-(INT($A95)-INT($B$5))/360*$B$15*$B$13*$B$12/100)-($E95/$B$16-1)*$B$17,""))</f>
      </c>
      <c r="G95" s="74">
        <f>IFERROR(VLOOKUP($A95,'13 (2)'!$A:$M,13,FALSE),"")</f>
      </c>
    </row>
    <row r="96">
      <c r="A96" s="72">
        <v>46247.625</v>
      </c>
      <c r="B96" s="73">
        <f>IFERROR(VLOOKUP($A96,'13a (2)'!$O:$P,2,FALSE),"")</f>
      </c>
      <c r="C96" s="73">
        <f>IFERROR(VLOOKUP($A96,'13a (2)'!$AI:$AJ,2,FALSE),"")</f>
      </c>
      <c r="D96" s="73">
        <f>IFERROR(VLOOKUP($A96,'13a (2)'!$Q:$R,2,FALSE),"")</f>
      </c>
      <c r="E96" s="73">
        <f>IFERROR(VLOOKUP(INT($A96),'13a (2)'!$X:$Y,2,FALSE),"")</f>
      </c>
      <c r="F96" s="74">
        <f>IF($A96&lt;=$B$6,IFERROR(VLOOKUP($A96,'13a (2)'!$A:$M,13,FALSE),""),IFERROR(($B$10-$B$7)*$B$8*$B$9+($C96-$B$11)*$B$8*$B$9-($D96-$B$12)/100*$B$13-((INT($A96)-INT($B$5))/360*$B$14*$B$13-(INT($A96)-INT($B$5))/360*$B$15*$B$13*$B$12/100)-($E96/$B$16-1)*$B$17,""))</f>
      </c>
      <c r="G96" s="74">
        <f>IFERROR(VLOOKUP($A96,'13 (2)'!$A:$M,13,FALSE),"")</f>
      </c>
    </row>
    <row r="97">
      <c r="A97" s="72">
        <v>46248.625</v>
      </c>
      <c r="B97" s="73">
        <f>IFERROR(VLOOKUP($A97,'13a (2)'!$O:$P,2,FALSE),"")</f>
      </c>
      <c r="C97" s="73">
        <f>IFERROR(VLOOKUP($A97,'13a (2)'!$AI:$AJ,2,FALSE),"")</f>
      </c>
      <c r="D97" s="73">
        <f>IFERROR(VLOOKUP($A97,'13a (2)'!$Q:$R,2,FALSE),"")</f>
      </c>
      <c r="E97" s="73">
        <f>IFERROR(VLOOKUP(INT($A97),'13a (2)'!$X:$Y,2,FALSE),"")</f>
      </c>
      <c r="F97" s="74">
        <f>IF($A97&lt;=$B$6,IFERROR(VLOOKUP($A97,'13a (2)'!$A:$M,13,FALSE),""),IFERROR(($B$10-$B$7)*$B$8*$B$9+($C97-$B$11)*$B$8*$B$9-($D97-$B$12)/100*$B$13-((INT($A97)-INT($B$5))/360*$B$14*$B$13-(INT($A97)-INT($B$5))/360*$B$15*$B$13*$B$12/100)-($E97/$B$16-1)*$B$17,""))</f>
      </c>
      <c r="G97" s="74">
        <f>IFERROR(VLOOKUP($A97,'13 (2)'!$A:$M,13,FALSE),"")</f>
      </c>
    </row>
    <row r="98">
      <c r="A98" s="72">
        <v>46251.625</v>
      </c>
      <c r="B98" s="73">
        <f>IFERROR(VLOOKUP($A98,'13a (2)'!$O:$P,2,FALSE),"")</f>
      </c>
      <c r="C98" s="73">
        <f>IFERROR(VLOOKUP($A98,'13a (2)'!$AI:$AJ,2,FALSE),"")</f>
      </c>
      <c r="D98" s="73">
        <f>IFERROR(VLOOKUP($A98,'13a (2)'!$Q:$R,2,FALSE),"")</f>
      </c>
      <c r="E98" s="73">
        <f>IFERROR(VLOOKUP(INT($A98),'13a (2)'!$X:$Y,2,FALSE),"")</f>
      </c>
      <c r="F98" s="74">
        <f>IF($A98&lt;=$B$6,IFERROR(VLOOKUP($A98,'13a (2)'!$A:$M,13,FALSE),""),IFERROR(($B$10-$B$7)*$B$8*$B$9+($C98-$B$11)*$B$8*$B$9-($D98-$B$12)/100*$B$13-((INT($A98)-INT($B$5))/360*$B$14*$B$13-(INT($A98)-INT($B$5))/360*$B$15*$B$13*$B$12/100)-($E98/$B$16-1)*$B$17,""))</f>
      </c>
      <c r="G98" s="74">
        <f>IFERROR(VLOOKUP($A98,'13 (2)'!$A:$M,13,FALSE),"")</f>
      </c>
    </row>
    <row r="99">
      <c r="A99" s="72">
        <v>46252.625</v>
      </c>
      <c r="B99" s="73">
        <f>IFERROR(VLOOKUP($A99,'13a (2)'!$O:$P,2,FALSE),"")</f>
      </c>
      <c r="C99" s="73">
        <f>IFERROR(VLOOKUP($A99,'13a (2)'!$AI:$AJ,2,FALSE),"")</f>
      </c>
      <c r="D99" s="73">
        <f>IFERROR(VLOOKUP($A99,'13a (2)'!$Q:$R,2,FALSE),"")</f>
      </c>
      <c r="E99" s="73">
        <f>IFERROR(VLOOKUP(INT($A99),'13a (2)'!$X:$Y,2,FALSE),"")</f>
      </c>
      <c r="F99" s="74">
        <f>IF($A99&lt;=$B$6,IFERROR(VLOOKUP($A99,'13a (2)'!$A:$M,13,FALSE),""),IFERROR(($B$10-$B$7)*$B$8*$B$9+($C99-$B$11)*$B$8*$B$9-($D99-$B$12)/100*$B$13-((INT($A99)-INT($B$5))/360*$B$14*$B$13-(INT($A99)-INT($B$5))/360*$B$15*$B$13*$B$12/100)-($E99/$B$16-1)*$B$17,""))</f>
      </c>
      <c r="G99" s="74">
        <f>IFERROR(VLOOKUP($A99,'13 (2)'!$A:$M,13,FALSE),"")</f>
      </c>
    </row>
    <row r="100">
      <c r="A100" s="72">
        <v>46253.625</v>
      </c>
      <c r="B100" s="73">
        <f>IFERROR(VLOOKUP($A100,'13a (2)'!$O:$P,2,FALSE),"")</f>
      </c>
      <c r="C100" s="73">
        <f>IFERROR(VLOOKUP($A100,'13a (2)'!$AI:$AJ,2,FALSE),"")</f>
      </c>
      <c r="D100" s="73">
        <f>IFERROR(VLOOKUP($A100,'13a (2)'!$Q:$R,2,FALSE),"")</f>
      </c>
      <c r="E100" s="73">
        <f>IFERROR(VLOOKUP(INT($A100),'13a (2)'!$X:$Y,2,FALSE),"")</f>
      </c>
      <c r="F100" s="74">
        <f>IF($A100&lt;=$B$6,IFERROR(VLOOKUP($A100,'13a (2)'!$A:$M,13,FALSE),""),IFERROR(($B$10-$B$7)*$B$8*$B$9+($C100-$B$11)*$B$8*$B$9-($D100-$B$12)/100*$B$13-((INT($A100)-INT($B$5))/360*$B$14*$B$13-(INT($A100)-INT($B$5))/360*$B$15*$B$13*$B$12/100)-($E100/$B$16-1)*$B$17,""))</f>
      </c>
      <c r="G100" s="74">
        <f>IFERROR(VLOOKUP($A100,'13 (2)'!$A:$M,13,FALSE),"")</f>
      </c>
    </row>
    <row r="101">
      <c r="A101" s="72">
        <v>46254.625</v>
      </c>
      <c r="B101" s="73">
        <f>IFERROR(VLOOKUP($A101,'13a (2)'!$O:$P,2,FALSE),"")</f>
      </c>
      <c r="C101" s="73">
        <f>IFERROR(VLOOKUP($A101,'13a (2)'!$AI:$AJ,2,FALSE),"")</f>
      </c>
      <c r="D101" s="73">
        <f>IFERROR(VLOOKUP($A101,'13a (2)'!$Q:$R,2,FALSE),"")</f>
      </c>
      <c r="E101" s="73">
        <f>IFERROR(VLOOKUP(INT($A101),'13a (2)'!$X:$Y,2,FALSE),"")</f>
      </c>
      <c r="F101" s="74">
        <f>IF($A101&lt;=$B$6,IFERROR(VLOOKUP($A101,'13a (2)'!$A:$M,13,FALSE),""),IFERROR(($B$10-$B$7)*$B$8*$B$9+($C101-$B$11)*$B$8*$B$9-($D101-$B$12)/100*$B$13-((INT($A101)-INT($B$5))/360*$B$14*$B$13-(INT($A101)-INT($B$5))/360*$B$15*$B$13*$B$12/100)-($E101/$B$16-1)*$B$17,""))</f>
      </c>
      <c r="G101" s="74">
        <f>IFERROR(VLOOKUP($A101,'13 (2)'!$A:$M,13,FALSE),"")</f>
      </c>
    </row>
    <row r="102">
      <c r="A102" s="72">
        <v>46255.625</v>
      </c>
      <c r="B102" s="73">
        <f>IFERROR(VLOOKUP($A102,'13a (2)'!$O:$P,2,FALSE),"")</f>
      </c>
      <c r="C102" s="73">
        <f>IFERROR(VLOOKUP($A102,'13a (2)'!$AI:$AJ,2,FALSE),"")</f>
      </c>
      <c r="D102" s="73">
        <f>IFERROR(VLOOKUP($A102,'13a (2)'!$Q:$R,2,FALSE),"")</f>
      </c>
      <c r="E102" s="73">
        <f>IFERROR(VLOOKUP(INT($A102),'13a (2)'!$X:$Y,2,FALSE),"")</f>
      </c>
      <c r="F102" s="74">
        <f>IF($A102&lt;=$B$6,IFERROR(VLOOKUP($A102,'13a (2)'!$A:$M,13,FALSE),""),IFERROR(($B$10-$B$7)*$B$8*$B$9+($C102-$B$11)*$B$8*$B$9-($D102-$B$12)/100*$B$13-((INT($A102)-INT($B$5))/360*$B$14*$B$13-(INT($A102)-INT($B$5))/360*$B$15*$B$13*$B$12/100)-($E102/$B$16-1)*$B$17,""))</f>
      </c>
      <c r="G102" s="74">
        <f>IFERROR(VLOOKUP($A102,'13 (2)'!$A:$M,13,FALSE),"")</f>
      </c>
    </row>
    <row r="103">
      <c r="A103" s="72">
        <v>46258.625</v>
      </c>
      <c r="B103" s="73">
        <f>IFERROR(VLOOKUP($A103,'13a (2)'!$O:$P,2,FALSE),"")</f>
      </c>
      <c r="C103" s="73">
        <f>IFERROR(VLOOKUP($A103,'13a (2)'!$AI:$AJ,2,FALSE),"")</f>
      </c>
      <c r="D103" s="73">
        <f>IFERROR(VLOOKUP($A103,'13a (2)'!$Q:$R,2,FALSE),"")</f>
      </c>
      <c r="E103" s="73">
        <f>IFERROR(VLOOKUP(INT($A103),'13a (2)'!$X:$Y,2,FALSE),"")</f>
      </c>
      <c r="F103" s="74">
        <f>IF($A103&lt;=$B$6,IFERROR(VLOOKUP($A103,'13a (2)'!$A:$M,13,FALSE),""),IFERROR(($B$10-$B$7)*$B$8*$B$9+($C103-$B$11)*$B$8*$B$9-($D103-$B$12)/100*$B$13-((INT($A103)-INT($B$5))/360*$B$14*$B$13-(INT($A103)-INT($B$5))/360*$B$15*$B$13*$B$12/100)-($E103/$B$16-1)*$B$17,""))</f>
      </c>
      <c r="G103" s="74">
        <f>IFERROR(VLOOKUP($A103,'13 (2)'!$A:$M,13,FALSE),"")</f>
      </c>
    </row>
    <row r="104">
      <c r="A104" s="72">
        <v>46259.625</v>
      </c>
      <c r="B104" s="73">
        <f>IFERROR(VLOOKUP($A104,'13a (2)'!$O:$P,2,FALSE),"")</f>
      </c>
      <c r="C104" s="73">
        <f>IFERROR(VLOOKUP($A104,'13a (2)'!$AI:$AJ,2,FALSE),"")</f>
      </c>
      <c r="D104" s="73">
        <f>IFERROR(VLOOKUP($A104,'13a (2)'!$Q:$R,2,FALSE),"")</f>
      </c>
      <c r="E104" s="73">
        <f>IFERROR(VLOOKUP(INT($A104),'13a (2)'!$X:$Y,2,FALSE),"")</f>
      </c>
      <c r="F104" s="74">
        <f>IF($A104&lt;=$B$6,IFERROR(VLOOKUP($A104,'13a (2)'!$A:$M,13,FALSE),""),IFERROR(($B$10-$B$7)*$B$8*$B$9+($C104-$B$11)*$B$8*$B$9-($D104-$B$12)/100*$B$13-((INT($A104)-INT($B$5))/360*$B$14*$B$13-(INT($A104)-INT($B$5))/360*$B$15*$B$13*$B$12/100)-($E104/$B$16-1)*$B$17,""))</f>
      </c>
      <c r="G104" s="74">
        <f>IFERROR(VLOOKUP($A104,'13 (2)'!$A:$M,13,FALSE),"")</f>
      </c>
    </row>
    <row r="105">
      <c r="A105" s="72">
        <v>46260.625</v>
      </c>
      <c r="B105" s="73">
        <f>IFERROR(VLOOKUP($A105,'13a (2)'!$O:$P,2,FALSE),"")</f>
      </c>
      <c r="C105" s="73">
        <f>IFERROR(VLOOKUP($A105,'13a (2)'!$AI:$AJ,2,FALSE),"")</f>
      </c>
      <c r="D105" s="73">
        <f>IFERROR(VLOOKUP($A105,'13a (2)'!$Q:$R,2,FALSE),"")</f>
      </c>
      <c r="E105" s="73">
        <f>IFERROR(VLOOKUP(INT($A105),'13a (2)'!$X:$Y,2,FALSE),"")</f>
      </c>
      <c r="F105" s="74">
        <f>IF($A105&lt;=$B$6,IFERROR(VLOOKUP($A105,'13a (2)'!$A:$M,13,FALSE),""),IFERROR(($B$10-$B$7)*$B$8*$B$9+($C105-$B$11)*$B$8*$B$9-($D105-$B$12)/100*$B$13-((INT($A105)-INT($B$5))/360*$B$14*$B$13-(INT($A105)-INT($B$5))/360*$B$15*$B$13*$B$12/100)-($E105/$B$16-1)*$B$17,""))</f>
      </c>
      <c r="G105" s="74">
        <f>IFERROR(VLOOKUP($A105,'13 (2)'!$A:$M,13,FALSE),"")</f>
      </c>
    </row>
    <row r="106">
      <c r="A106" s="72">
        <v>46261.625</v>
      </c>
      <c r="B106" s="73">
        <f>IFERROR(VLOOKUP($A106,'13a (2)'!$O:$P,2,FALSE),"")</f>
      </c>
      <c r="C106" s="73">
        <f>IFERROR(VLOOKUP($A106,'13a (2)'!$AI:$AJ,2,FALSE),"")</f>
      </c>
      <c r="D106" s="73">
        <f>IFERROR(VLOOKUP($A106,'13a (2)'!$Q:$R,2,FALSE),"")</f>
      </c>
      <c r="E106" s="73">
        <f>IFERROR(VLOOKUP(INT($A106),'13a (2)'!$X:$Y,2,FALSE),"")</f>
      </c>
      <c r="F106" s="74">
        <f>IF($A106&lt;=$B$6,IFERROR(VLOOKUP($A106,'13a (2)'!$A:$M,13,FALSE),""),IFERROR(($B$10-$B$7)*$B$8*$B$9+($C106-$B$11)*$B$8*$B$9-($D106-$B$12)/100*$B$13-((INT($A106)-INT($B$5))/360*$B$14*$B$13-(INT($A106)-INT($B$5))/360*$B$15*$B$13*$B$12/100)-($E106/$B$16-1)*$B$17,""))</f>
      </c>
      <c r="G106" s="74">
        <f>IFERROR(VLOOKUP($A106,'13 (2)'!$A:$M,13,FALSE),"")</f>
      </c>
    </row>
    <row r="107">
      <c r="A107" s="72">
        <v>46262.625</v>
      </c>
      <c r="B107" s="73">
        <f>IFERROR(VLOOKUP($A107,'13a (2)'!$O:$P,2,FALSE),"")</f>
      </c>
      <c r="C107" s="73">
        <f>IFERROR(VLOOKUP($A107,'13a (2)'!$AI:$AJ,2,FALSE),"")</f>
      </c>
      <c r="D107" s="73">
        <f>IFERROR(VLOOKUP($A107,'13a (2)'!$Q:$R,2,FALSE),"")</f>
      </c>
      <c r="E107" s="73">
        <f>IFERROR(VLOOKUP(INT($A107),'13a (2)'!$X:$Y,2,FALSE),"")</f>
      </c>
      <c r="F107" s="74">
        <f>IF($A107&lt;=$B$6,IFERROR(VLOOKUP($A107,'13a (2)'!$A:$M,13,FALSE),""),IFERROR(($B$10-$B$7)*$B$8*$B$9+($C107-$B$11)*$B$8*$B$9-($D107-$B$12)/100*$B$13-((INT($A107)-INT($B$5))/360*$B$14*$B$13-(INT($A107)-INT($B$5))/360*$B$15*$B$13*$B$12/100)-($E107/$B$16-1)*$B$17,""))</f>
      </c>
      <c r="G107" s="74">
        <f>IFERROR(VLOOKUP($A107,'13 (2)'!$A:$M,13,FALSE),"")</f>
      </c>
    </row>
    <row r="108">
      <c r="A108" s="72">
        <v>46265.625</v>
      </c>
      <c r="B108" s="73">
        <f>IFERROR(VLOOKUP($A108,'13a (2)'!$O:$P,2,FALSE),"")</f>
      </c>
      <c r="C108" s="73">
        <f>IFERROR(VLOOKUP($A108,'13a (2)'!$AI:$AJ,2,FALSE),"")</f>
      </c>
      <c r="D108" s="73">
        <f>IFERROR(VLOOKUP($A108,'13a (2)'!$Q:$R,2,FALSE),"")</f>
      </c>
      <c r="E108" s="73">
        <f>IFERROR(VLOOKUP(INT($A108),'13a (2)'!$X:$Y,2,FALSE),"")</f>
      </c>
      <c r="F108" s="74">
        <f>IF($A108&lt;=$B$6,IFERROR(VLOOKUP($A108,'13a (2)'!$A:$M,13,FALSE),""),IFERROR(($B$10-$B$7)*$B$8*$B$9+($C108-$B$11)*$B$8*$B$9-($D108-$B$12)/100*$B$13-((INT($A108)-INT($B$5))/360*$B$14*$B$13-(INT($A108)-INT($B$5))/360*$B$15*$B$13*$B$12/100)-($E108/$B$16-1)*$B$17,""))</f>
      </c>
      <c r="G108" s="74">
        <f>IFERROR(VLOOKUP($A108,'13 (2)'!$A:$M,13,FALSE),"")</f>
      </c>
    </row>
    <row r="109">
      <c r="A109" s="72">
        <v>46266.625</v>
      </c>
      <c r="B109" s="73">
        <f>IFERROR(VLOOKUP($A109,'13a (2)'!$O:$P,2,FALSE),"")</f>
      </c>
      <c r="C109" s="73">
        <f>IFERROR(VLOOKUP($A109,'13a (2)'!$AI:$AJ,2,FALSE),"")</f>
      </c>
      <c r="D109" s="73">
        <f>IFERROR(VLOOKUP($A109,'13a (2)'!$Q:$R,2,FALSE),"")</f>
      </c>
      <c r="E109" s="73">
        <f>IFERROR(VLOOKUP(INT($A109),'13a (2)'!$X:$Y,2,FALSE),"")</f>
      </c>
      <c r="F109" s="74">
        <f>IF($A109&lt;=$B$6,IFERROR(VLOOKUP($A109,'13a (2)'!$A:$M,13,FALSE),""),IFERROR(($B$10-$B$7)*$B$8*$B$9+($C109-$B$11)*$B$8*$B$9-($D109-$B$12)/100*$B$13-((INT($A109)-INT($B$5))/360*$B$14*$B$13-(INT($A109)-INT($B$5))/360*$B$15*$B$13*$B$12/100)-($E109/$B$16-1)*$B$17,""))</f>
      </c>
      <c r="G109" s="74">
        <f>IFERROR(VLOOKUP($A109,'13 (2)'!$A:$M,13,FALSE),"")</f>
      </c>
    </row>
    <row r="110">
      <c r="A110" s="72">
        <v>46267.625</v>
      </c>
      <c r="B110" s="73">
        <f>IFERROR(VLOOKUP($A110,'13a (2)'!$O:$P,2,FALSE),"")</f>
      </c>
      <c r="C110" s="73">
        <f>IFERROR(VLOOKUP($A110,'13a (2)'!$AI:$AJ,2,FALSE),"")</f>
      </c>
      <c r="D110" s="73">
        <f>IFERROR(VLOOKUP($A110,'13a (2)'!$Q:$R,2,FALSE),"")</f>
      </c>
      <c r="E110" s="73">
        <f>IFERROR(VLOOKUP(INT($A110),'13a (2)'!$X:$Y,2,FALSE),"")</f>
      </c>
      <c r="F110" s="74">
        <f>IF($A110&lt;=$B$6,IFERROR(VLOOKUP($A110,'13a (2)'!$A:$M,13,FALSE),""),IFERROR(($B$10-$B$7)*$B$8*$B$9+($C110-$B$11)*$B$8*$B$9-($D110-$B$12)/100*$B$13-((INT($A110)-INT($B$5))/360*$B$14*$B$13-(INT($A110)-INT($B$5))/360*$B$15*$B$13*$B$12/100)-($E110/$B$16-1)*$B$17,""))</f>
      </c>
      <c r="G110" s="74">
        <f>IFERROR(VLOOKUP($A110,'13 (2)'!$A:$M,13,FALSE),"")</f>
      </c>
    </row>
    <row r="111">
      <c r="A111" s="72">
        <v>46268.625</v>
      </c>
      <c r="B111" s="73">
        <f>IFERROR(VLOOKUP($A111,'13a (2)'!$O:$P,2,FALSE),"")</f>
      </c>
      <c r="C111" s="73">
        <f>IFERROR(VLOOKUP($A111,'13a (2)'!$AI:$AJ,2,FALSE),"")</f>
      </c>
      <c r="D111" s="73">
        <f>IFERROR(VLOOKUP($A111,'13a (2)'!$Q:$R,2,FALSE),"")</f>
      </c>
      <c r="E111" s="73">
        <f>IFERROR(VLOOKUP(INT($A111),'13a (2)'!$X:$Y,2,FALSE),"")</f>
      </c>
      <c r="F111" s="74">
        <f>IF($A111&lt;=$B$6,IFERROR(VLOOKUP($A111,'13a (2)'!$A:$M,13,FALSE),""),IFERROR(($B$10-$B$7)*$B$8*$B$9+($C111-$B$11)*$B$8*$B$9-($D111-$B$12)/100*$B$13-((INT($A111)-INT($B$5))/360*$B$14*$B$13-(INT($A111)-INT($B$5))/360*$B$15*$B$13*$B$12/100)-($E111/$B$16-1)*$B$17,""))</f>
      </c>
      <c r="G111" s="74">
        <f>IFERROR(VLOOKUP($A111,'13 (2)'!$A:$M,13,FALSE),"")</f>
      </c>
    </row>
    <row r="112">
      <c r="A112" s="72">
        <v>46269.625</v>
      </c>
      <c r="B112" s="73">
        <f>IFERROR(VLOOKUP($A112,'13a (2)'!$O:$P,2,FALSE),"")</f>
      </c>
      <c r="C112" s="73">
        <f>IFERROR(VLOOKUP($A112,'13a (2)'!$AI:$AJ,2,FALSE),"")</f>
      </c>
      <c r="D112" s="73">
        <f>IFERROR(VLOOKUP($A112,'13a (2)'!$Q:$R,2,FALSE),"")</f>
      </c>
      <c r="E112" s="73">
        <f>IFERROR(VLOOKUP(INT($A112),'13a (2)'!$X:$Y,2,FALSE),"")</f>
      </c>
      <c r="F112" s="74">
        <f>IF($A112&lt;=$B$6,IFERROR(VLOOKUP($A112,'13a (2)'!$A:$M,13,FALSE),""),IFERROR(($B$10-$B$7)*$B$8*$B$9+($C112-$B$11)*$B$8*$B$9-($D112-$B$12)/100*$B$13-((INT($A112)-INT($B$5))/360*$B$14*$B$13-(INT($A112)-INT($B$5))/360*$B$15*$B$13*$B$12/100)-($E112/$B$16-1)*$B$17,""))</f>
      </c>
      <c r="G112" s="74">
        <f>IFERROR(VLOOKUP($A112,'13 (2)'!$A:$M,13,FALSE),"")</f>
      </c>
    </row>
    <row r="113">
      <c r="A113" s="72">
        <v>46272.625</v>
      </c>
      <c r="B113" s="73">
        <f>IFERROR(VLOOKUP($A113,'13a (2)'!$O:$P,2,FALSE),"")</f>
      </c>
      <c r="C113" s="73">
        <f>IFERROR(VLOOKUP($A113,'13a (2)'!$AI:$AJ,2,FALSE),"")</f>
      </c>
      <c r="D113" s="73">
        <f>IFERROR(VLOOKUP($A113,'13a (2)'!$Q:$R,2,FALSE),"")</f>
      </c>
      <c r="E113" s="73">
        <f>IFERROR(VLOOKUP(INT($A113),'13a (2)'!$X:$Y,2,FALSE),"")</f>
      </c>
      <c r="F113" s="74">
        <f>IF($A113&lt;=$B$6,IFERROR(VLOOKUP($A113,'13a (2)'!$A:$M,13,FALSE),""),IFERROR(($B$10-$B$7)*$B$8*$B$9+($C113-$B$11)*$B$8*$B$9-($D113-$B$12)/100*$B$13-((INT($A113)-INT($B$5))/360*$B$14*$B$13-(INT($A113)-INT($B$5))/360*$B$15*$B$13*$B$12/100)-($E113/$B$16-1)*$B$17,""))</f>
      </c>
      <c r="G113" s="74">
        <f>IFERROR(VLOOKUP($A113,'13 (2)'!$A:$M,13,FALSE),"")</f>
      </c>
    </row>
    <row r="114">
      <c r="A114" s="72">
        <v>46273.625</v>
      </c>
      <c r="B114" s="73">
        <f>IFERROR(VLOOKUP($A114,'13a (2)'!$O:$P,2,FALSE),"")</f>
      </c>
      <c r="C114" s="73">
        <f>IFERROR(VLOOKUP($A114,'13a (2)'!$AI:$AJ,2,FALSE),"")</f>
      </c>
      <c r="D114" s="73">
        <f>IFERROR(VLOOKUP($A114,'13a (2)'!$Q:$R,2,FALSE),"")</f>
      </c>
      <c r="E114" s="73">
        <f>IFERROR(VLOOKUP(INT($A114),'13a (2)'!$X:$Y,2,FALSE),"")</f>
      </c>
      <c r="F114" s="74">
        <f>IF($A114&lt;=$B$6,IFERROR(VLOOKUP($A114,'13a (2)'!$A:$M,13,FALSE),""),IFERROR(($B$10-$B$7)*$B$8*$B$9+($C114-$B$11)*$B$8*$B$9-($D114-$B$12)/100*$B$13-((INT($A114)-INT($B$5))/360*$B$14*$B$13-(INT($A114)-INT($B$5))/360*$B$15*$B$13*$B$12/100)-($E114/$B$16-1)*$B$17,""))</f>
      </c>
      <c r="G114" s="74">
        <f>IFERROR(VLOOKUP($A114,'13 (2)'!$A:$M,13,FALSE),"")</f>
      </c>
    </row>
    <row r="115">
      <c r="A115" s="72">
        <v>46274.625</v>
      </c>
      <c r="B115" s="73">
        <f>IFERROR(VLOOKUP($A115,'13a (2)'!$O:$P,2,FALSE),"")</f>
      </c>
      <c r="C115" s="73">
        <f>IFERROR(VLOOKUP($A115,'13a (2)'!$AI:$AJ,2,FALSE),"")</f>
      </c>
      <c r="D115" s="73">
        <f>IFERROR(VLOOKUP($A115,'13a (2)'!$Q:$R,2,FALSE),"")</f>
      </c>
      <c r="E115" s="73">
        <f>IFERROR(VLOOKUP(INT($A115),'13a (2)'!$X:$Y,2,FALSE),"")</f>
      </c>
      <c r="F115" s="74">
        <f>IF($A115&lt;=$B$6,IFERROR(VLOOKUP($A115,'13a (2)'!$A:$M,13,FALSE),""),IFERROR(($B$10-$B$7)*$B$8*$B$9+($C115-$B$11)*$B$8*$B$9-($D115-$B$12)/100*$B$13-((INT($A115)-INT($B$5))/360*$B$14*$B$13-(INT($A115)-INT($B$5))/360*$B$15*$B$13*$B$12/100)-($E115/$B$16-1)*$B$17,""))</f>
      </c>
      <c r="G115" s="74">
        <f>IFERROR(VLOOKUP($A115,'13 (2)'!$A:$M,13,FALSE),"")</f>
      </c>
    </row>
    <row r="116">
      <c r="A116" s="72">
        <v>46275.625</v>
      </c>
      <c r="B116" s="73">
        <f>IFERROR(VLOOKUP($A116,'13a (2)'!$O:$P,2,FALSE),"")</f>
      </c>
      <c r="C116" s="73">
        <f>IFERROR(VLOOKUP($A116,'13a (2)'!$AI:$AJ,2,FALSE),"")</f>
      </c>
      <c r="D116" s="73">
        <f>IFERROR(VLOOKUP($A116,'13a (2)'!$Q:$R,2,FALSE),"")</f>
      </c>
      <c r="E116" s="73">
        <f>IFERROR(VLOOKUP(INT($A116),'13a (2)'!$X:$Y,2,FALSE),"")</f>
      </c>
      <c r="F116" s="74">
        <f>IF($A116&lt;=$B$6,IFERROR(VLOOKUP($A116,'13a (2)'!$A:$M,13,FALSE),""),IFERROR(($B$10-$B$7)*$B$8*$B$9+($C116-$B$11)*$B$8*$B$9-($D116-$B$12)/100*$B$13-((INT($A116)-INT($B$5))/360*$B$14*$B$13-(INT($A116)-INT($B$5))/360*$B$15*$B$13*$B$12/100)-($E116/$B$16-1)*$B$17,""))</f>
      </c>
      <c r="G116" s="74">
        <f>IFERROR(VLOOKUP($A116,'13 (2)'!$A:$M,13,FALSE),"")</f>
      </c>
    </row>
    <row r="117">
      <c r="A117" s="72">
        <v>46276.625</v>
      </c>
      <c r="B117" s="73">
        <f>IFERROR(VLOOKUP($A117,'13a (2)'!$O:$P,2,FALSE),"")</f>
      </c>
      <c r="C117" s="73">
        <f>IFERROR(VLOOKUP($A117,'13a (2)'!$AI:$AJ,2,FALSE),"")</f>
      </c>
      <c r="D117" s="73">
        <f>IFERROR(VLOOKUP($A117,'13a (2)'!$Q:$R,2,FALSE),"")</f>
      </c>
      <c r="E117" s="73">
        <f>IFERROR(VLOOKUP(INT($A117),'13a (2)'!$X:$Y,2,FALSE),"")</f>
      </c>
      <c r="F117" s="74">
        <f>IF($A117&lt;=$B$6,IFERROR(VLOOKUP($A117,'13a (2)'!$A:$M,13,FALSE),""),IFERROR(($B$10-$B$7)*$B$8*$B$9+($C117-$B$11)*$B$8*$B$9-($D117-$B$12)/100*$B$13-((INT($A117)-INT($B$5))/360*$B$14*$B$13-(INT($A117)-INT($B$5))/360*$B$15*$B$13*$B$12/100)-($E117/$B$16-1)*$B$17,""))</f>
      </c>
      <c r="G117" s="74">
        <f>IFERROR(VLOOKUP($A117,'13 (2)'!$A:$M,13,FALSE),"")</f>
      </c>
    </row>
    <row r="118">
      <c r="A118" s="72">
        <v>46279.625</v>
      </c>
      <c r="B118" s="73">
        <f>IFERROR(VLOOKUP($A118,'13a (2)'!$O:$P,2,FALSE),"")</f>
      </c>
      <c r="C118" s="73">
        <f>IFERROR(VLOOKUP($A118,'13a (2)'!$AI:$AJ,2,FALSE),"")</f>
      </c>
      <c r="D118" s="73">
        <f>IFERROR(VLOOKUP($A118,'13a (2)'!$Q:$R,2,FALSE),"")</f>
      </c>
      <c r="E118" s="73">
        <f>IFERROR(VLOOKUP(INT($A118),'13a (2)'!$X:$Y,2,FALSE),"")</f>
      </c>
      <c r="F118" s="74">
        <f>IF($A118&lt;=$B$6,IFERROR(VLOOKUP($A118,'13a (2)'!$A:$M,13,FALSE),""),IFERROR(($B$10-$B$7)*$B$8*$B$9+($C118-$B$11)*$B$8*$B$9-($D118-$B$12)/100*$B$13-((INT($A118)-INT($B$5))/360*$B$14*$B$13-(INT($A118)-INT($B$5))/360*$B$15*$B$13*$B$12/100)-($E118/$B$16-1)*$B$17,""))</f>
      </c>
      <c r="G118" s="74">
        <f>IFERROR(VLOOKUP($A118,'13 (2)'!$A:$M,13,FALSE),"")</f>
      </c>
    </row>
    <row r="119">
      <c r="A119" s="72">
        <v>46280.625</v>
      </c>
      <c r="B119" s="73">
        <f>IFERROR(VLOOKUP($A119,'13a (2)'!$O:$P,2,FALSE),"")</f>
      </c>
      <c r="C119" s="73">
        <f>IFERROR(VLOOKUP($A119,'13a (2)'!$AI:$AJ,2,FALSE),"")</f>
      </c>
      <c r="D119" s="73">
        <f>IFERROR(VLOOKUP($A119,'13a (2)'!$Q:$R,2,FALSE),"")</f>
      </c>
      <c r="E119" s="73">
        <f>IFERROR(VLOOKUP(INT($A119),'13a (2)'!$X:$Y,2,FALSE),"")</f>
      </c>
      <c r="F119" s="74">
        <f>IF($A119&lt;=$B$6,IFERROR(VLOOKUP($A119,'13a (2)'!$A:$M,13,FALSE),""),IFERROR(($B$10-$B$7)*$B$8*$B$9+($C119-$B$11)*$B$8*$B$9-($D119-$B$12)/100*$B$13-((INT($A119)-INT($B$5))/360*$B$14*$B$13-(INT($A119)-INT($B$5))/360*$B$15*$B$13*$B$12/100)-($E119/$B$16-1)*$B$17,""))</f>
      </c>
      <c r="G119" s="74">
        <f>IFERROR(VLOOKUP($A119,'13 (2)'!$A:$M,13,FALSE),"")</f>
      </c>
    </row>
    <row r="120">
      <c r="A120" s="72">
        <v>46281.625</v>
      </c>
      <c r="B120" s="73">
        <f>IFERROR(VLOOKUP($A120,'13a (2)'!$O:$P,2,FALSE),"")</f>
      </c>
      <c r="C120" s="73">
        <f>IFERROR(VLOOKUP($A120,'13a (2)'!$AI:$AJ,2,FALSE),"")</f>
      </c>
      <c r="D120" s="73">
        <f>IFERROR(VLOOKUP($A120,'13a (2)'!$Q:$R,2,FALSE),"")</f>
      </c>
      <c r="E120" s="73">
        <f>IFERROR(VLOOKUP(INT($A120),'13a (2)'!$X:$Y,2,FALSE),"")</f>
      </c>
      <c r="F120" s="74">
        <f>IF($A120&lt;=$B$6,IFERROR(VLOOKUP($A120,'13a (2)'!$A:$M,13,FALSE),""),IFERROR(($B$10-$B$7)*$B$8*$B$9+($C120-$B$11)*$B$8*$B$9-($D120-$B$12)/100*$B$13-((INT($A120)-INT($B$5))/360*$B$14*$B$13-(INT($A120)-INT($B$5))/360*$B$15*$B$13*$B$12/100)-($E120/$B$16-1)*$B$17,""))</f>
      </c>
      <c r="G120" s="74">
        <f>IFERROR(VLOOKUP($A120,'13 (2)'!$A:$M,13,FALSE),"")</f>
      </c>
    </row>
    <row r="121">
      <c r="A121" s="72">
        <v>46282.625</v>
      </c>
      <c r="B121" s="73">
        <f>IFERROR(VLOOKUP($A121,'13a (2)'!$O:$P,2,FALSE),"")</f>
      </c>
      <c r="C121" s="73">
        <f>IFERROR(VLOOKUP($A121,'13a (2)'!$AI:$AJ,2,FALSE),"")</f>
      </c>
      <c r="D121" s="73">
        <f>IFERROR(VLOOKUP($A121,'13a (2)'!$Q:$R,2,FALSE),"")</f>
      </c>
      <c r="E121" s="73">
        <f>IFERROR(VLOOKUP(INT($A121),'13a (2)'!$X:$Y,2,FALSE),"")</f>
      </c>
      <c r="F121" s="74">
        <f>IF($A121&lt;=$B$6,IFERROR(VLOOKUP($A121,'13a (2)'!$A:$M,13,FALSE),""),IFERROR(($B$10-$B$7)*$B$8*$B$9+($C121-$B$11)*$B$8*$B$9-($D121-$B$12)/100*$B$13-((INT($A121)-INT($B$5))/360*$B$14*$B$13-(INT($A121)-INT($B$5))/360*$B$15*$B$13*$B$12/100)-($E121/$B$16-1)*$B$17,""))</f>
      </c>
      <c r="G121" s="74">
        <f>IFERROR(VLOOKUP($A121,'13 (2)'!$A:$M,13,FALSE),"")</f>
      </c>
    </row>
    <row r="122">
      <c r="A122" s="72">
        <v>46283.625</v>
      </c>
      <c r="B122" s="73">
        <f>IFERROR(VLOOKUP($A122,'13a (2)'!$O:$P,2,FALSE),"")</f>
      </c>
      <c r="C122" s="73">
        <f>IFERROR(VLOOKUP($A122,'13a (2)'!$AI:$AJ,2,FALSE),"")</f>
      </c>
      <c r="D122" s="73">
        <f>IFERROR(VLOOKUP($A122,'13a (2)'!$Q:$R,2,FALSE),"")</f>
      </c>
      <c r="E122" s="73">
        <f>IFERROR(VLOOKUP(INT($A122),'13a (2)'!$X:$Y,2,FALSE),"")</f>
      </c>
      <c r="F122" s="74">
        <f>IF($A122&lt;=$B$6,IFERROR(VLOOKUP($A122,'13a (2)'!$A:$M,13,FALSE),""),IFERROR(($B$10-$B$7)*$B$8*$B$9+($C122-$B$11)*$B$8*$B$9-($D122-$B$12)/100*$B$13-((INT($A122)-INT($B$5))/360*$B$14*$B$13-(INT($A122)-INT($B$5))/360*$B$15*$B$13*$B$12/100)-($E122/$B$16-1)*$B$17,""))</f>
      </c>
      <c r="G122" s="74">
        <f>IFERROR(VLOOKUP($A122,'13 (2)'!$A:$M,13,FALSE),"")</f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Dividends</vt:lpstr>
      <vt:lpstr>13a</vt:lpstr>
      <vt:lpstr>13</vt:lpstr>
      <vt:lpstr>13a (2)</vt:lpstr>
      <vt:lpstr>13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2026-06-25T22:46:10Z</dcterms:modified>
</cp:coreProperties>
</file>